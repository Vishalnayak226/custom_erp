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ABCD\AppData\Local\Temp\claude\c--Users-ABCD-Documents-Antigravity-Projects-ERP\72dc218c-bf0a-493e-9ce0-9daf9779f302\scratchpad\out\"/>
    </mc:Choice>
  </mc:AlternateContent>
  <xr:revisionPtr revIDLastSave="0" documentId="13_ncr:1_{86C96B57-41AC-4180-A70B-051EFF423BA2}" xr6:coauthVersionLast="47" xr6:coauthVersionMax="47" xr10:uidLastSave="{00000000-0000-0000-0000-000000000000}"/>
  <bookViews>
    <workbookView xWindow="6140" yWindow="2810" windowWidth="13060" windowHeight="7270" xr2:uid="{00000000-000D-0000-FFFF-FFFF00000000}"/>
  </bookViews>
  <sheets>
    <sheet name="Start Here" sheetId="1" r:id="rId1"/>
    <sheet name="Vendors" sheetId="2" r:id="rId2"/>
    <sheet name="Purchase" sheetId="3" r:id="rId3"/>
    <sheet name="Bills" sheetId="4" r:id="rId4"/>
    <sheet name="Example" sheetId="5" r:id="rId5"/>
    <sheet name="Lists" sheetId="6" r:id="rId6"/>
    <sheet name="Code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0" i="5" l="1"/>
  <c r="T10" i="5"/>
  <c r="I10" i="5"/>
  <c r="A10" i="5"/>
  <c r="W9" i="5"/>
  <c r="T9" i="5"/>
  <c r="I9" i="5"/>
  <c r="A9" i="5"/>
  <c r="W8" i="5"/>
  <c r="T8" i="5"/>
  <c r="I8" i="5"/>
  <c r="A8" i="5"/>
  <c r="W7" i="5"/>
  <c r="T7" i="5"/>
  <c r="I7" i="5"/>
  <c r="A7" i="5"/>
  <c r="W6" i="5"/>
  <c r="T6" i="5"/>
  <c r="I6" i="5"/>
  <c r="A6" i="5"/>
  <c r="W5" i="5"/>
  <c r="T5" i="5"/>
  <c r="I5" i="5"/>
  <c r="A5" i="5"/>
  <c r="W4" i="5"/>
  <c r="T4" i="5"/>
  <c r="I4" i="5"/>
  <c r="A4" i="5"/>
  <c r="W3" i="5"/>
  <c r="F15" i="5" s="1"/>
  <c r="T3" i="5"/>
  <c r="I3" i="5"/>
  <c r="A3" i="5"/>
  <c r="G302" i="4"/>
  <c r="F302" i="4"/>
  <c r="A302" i="4"/>
  <c r="G301" i="4"/>
  <c r="F301" i="4"/>
  <c r="A301" i="4"/>
  <c r="G300" i="4"/>
  <c r="F300" i="4"/>
  <c r="A300" i="4"/>
  <c r="G299" i="4"/>
  <c r="F299" i="4"/>
  <c r="A299" i="4"/>
  <c r="G298" i="4"/>
  <c r="F298" i="4"/>
  <c r="A298" i="4"/>
  <c r="G297" i="4"/>
  <c r="F297" i="4"/>
  <c r="A297" i="4"/>
  <c r="G296" i="4"/>
  <c r="F296" i="4"/>
  <c r="A296" i="4"/>
  <c r="G295" i="4"/>
  <c r="F295" i="4"/>
  <c r="A295" i="4"/>
  <c r="G294" i="4"/>
  <c r="F294" i="4"/>
  <c r="A294" i="4"/>
  <c r="G293" i="4"/>
  <c r="F293" i="4"/>
  <c r="A293" i="4"/>
  <c r="G292" i="4"/>
  <c r="F292" i="4"/>
  <c r="A292" i="4"/>
  <c r="G291" i="4"/>
  <c r="F291" i="4"/>
  <c r="A291" i="4"/>
  <c r="G290" i="4"/>
  <c r="F290" i="4"/>
  <c r="A290" i="4"/>
  <c r="G289" i="4"/>
  <c r="F289" i="4"/>
  <c r="A289" i="4"/>
  <c r="G288" i="4"/>
  <c r="F288" i="4"/>
  <c r="A288" i="4"/>
  <c r="G287" i="4"/>
  <c r="F287" i="4"/>
  <c r="A287" i="4"/>
  <c r="G286" i="4"/>
  <c r="F286" i="4"/>
  <c r="A286" i="4"/>
  <c r="G285" i="4"/>
  <c r="F285" i="4"/>
  <c r="A285" i="4"/>
  <c r="G284" i="4"/>
  <c r="F284" i="4"/>
  <c r="A284" i="4"/>
  <c r="G283" i="4"/>
  <c r="F283" i="4"/>
  <c r="A283" i="4"/>
  <c r="G282" i="4"/>
  <c r="F282" i="4"/>
  <c r="A282" i="4"/>
  <c r="G281" i="4"/>
  <c r="F281" i="4"/>
  <c r="A281" i="4"/>
  <c r="G280" i="4"/>
  <c r="F280" i="4"/>
  <c r="A280" i="4"/>
  <c r="G279" i="4"/>
  <c r="F279" i="4"/>
  <c r="A279" i="4"/>
  <c r="G278" i="4"/>
  <c r="F278" i="4"/>
  <c r="A278" i="4"/>
  <c r="G277" i="4"/>
  <c r="F277" i="4"/>
  <c r="A277" i="4"/>
  <c r="G276" i="4"/>
  <c r="F276" i="4"/>
  <c r="A276" i="4"/>
  <c r="G275" i="4"/>
  <c r="F275" i="4"/>
  <c r="A275" i="4"/>
  <c r="G274" i="4"/>
  <c r="F274" i="4"/>
  <c r="A274" i="4"/>
  <c r="G273" i="4"/>
  <c r="F273" i="4"/>
  <c r="A273" i="4"/>
  <c r="G272" i="4"/>
  <c r="F272" i="4"/>
  <c r="A272" i="4"/>
  <c r="G271" i="4"/>
  <c r="F271" i="4"/>
  <c r="A271" i="4"/>
  <c r="G270" i="4"/>
  <c r="F270" i="4"/>
  <c r="A270" i="4"/>
  <c r="G269" i="4"/>
  <c r="F269" i="4"/>
  <c r="A269" i="4"/>
  <c r="G268" i="4"/>
  <c r="F268" i="4"/>
  <c r="A268" i="4"/>
  <c r="G267" i="4"/>
  <c r="F267" i="4"/>
  <c r="A267" i="4"/>
  <c r="G266" i="4"/>
  <c r="F266" i="4"/>
  <c r="A266" i="4"/>
  <c r="G265" i="4"/>
  <c r="F265" i="4"/>
  <c r="A265" i="4"/>
  <c r="G264" i="4"/>
  <c r="F264" i="4"/>
  <c r="A264" i="4"/>
  <c r="G263" i="4"/>
  <c r="F263" i="4"/>
  <c r="A263" i="4"/>
  <c r="G262" i="4"/>
  <c r="F262" i="4"/>
  <c r="A262" i="4"/>
  <c r="G261" i="4"/>
  <c r="F261" i="4"/>
  <c r="A261" i="4"/>
  <c r="G260" i="4"/>
  <c r="F260" i="4"/>
  <c r="A260" i="4"/>
  <c r="G259" i="4"/>
  <c r="F259" i="4"/>
  <c r="A259" i="4"/>
  <c r="G258" i="4"/>
  <c r="F258" i="4"/>
  <c r="A258" i="4"/>
  <c r="G257" i="4"/>
  <c r="F257" i="4"/>
  <c r="A257" i="4"/>
  <c r="G256" i="4"/>
  <c r="F256" i="4"/>
  <c r="A256" i="4"/>
  <c r="G255" i="4"/>
  <c r="F255" i="4"/>
  <c r="A255" i="4"/>
  <c r="G254" i="4"/>
  <c r="F254" i="4"/>
  <c r="A254" i="4"/>
  <c r="G253" i="4"/>
  <c r="F253" i="4"/>
  <c r="A253" i="4"/>
  <c r="G252" i="4"/>
  <c r="F252" i="4"/>
  <c r="A252" i="4"/>
  <c r="G251" i="4"/>
  <c r="F251" i="4"/>
  <c r="A251" i="4"/>
  <c r="G250" i="4"/>
  <c r="F250" i="4"/>
  <c r="A250" i="4"/>
  <c r="G249" i="4"/>
  <c r="F249" i="4"/>
  <c r="A249" i="4"/>
  <c r="G248" i="4"/>
  <c r="F248" i="4"/>
  <c r="A248" i="4"/>
  <c r="G247" i="4"/>
  <c r="F247" i="4"/>
  <c r="A247" i="4"/>
  <c r="G246" i="4"/>
  <c r="F246" i="4"/>
  <c r="A246" i="4"/>
  <c r="G245" i="4"/>
  <c r="F245" i="4"/>
  <c r="A245" i="4"/>
  <c r="G244" i="4"/>
  <c r="F244" i="4"/>
  <c r="A244" i="4"/>
  <c r="G243" i="4"/>
  <c r="F243" i="4"/>
  <c r="A243" i="4"/>
  <c r="G242" i="4"/>
  <c r="F242" i="4"/>
  <c r="A242" i="4"/>
  <c r="G241" i="4"/>
  <c r="F241" i="4"/>
  <c r="A241" i="4"/>
  <c r="G240" i="4"/>
  <c r="F240" i="4"/>
  <c r="A240" i="4"/>
  <c r="G239" i="4"/>
  <c r="F239" i="4"/>
  <c r="A239" i="4"/>
  <c r="G238" i="4"/>
  <c r="F238" i="4"/>
  <c r="A238" i="4"/>
  <c r="G237" i="4"/>
  <c r="F237" i="4"/>
  <c r="A237" i="4"/>
  <c r="G236" i="4"/>
  <c r="F236" i="4"/>
  <c r="A236" i="4"/>
  <c r="G235" i="4"/>
  <c r="F235" i="4"/>
  <c r="A235" i="4"/>
  <c r="G234" i="4"/>
  <c r="F234" i="4"/>
  <c r="A234" i="4"/>
  <c r="G233" i="4"/>
  <c r="F233" i="4"/>
  <c r="A233" i="4"/>
  <c r="G232" i="4"/>
  <c r="F232" i="4"/>
  <c r="A232" i="4"/>
  <c r="G231" i="4"/>
  <c r="F231" i="4"/>
  <c r="A231" i="4"/>
  <c r="G230" i="4"/>
  <c r="F230" i="4"/>
  <c r="A230" i="4"/>
  <c r="G229" i="4"/>
  <c r="F229" i="4"/>
  <c r="A229" i="4"/>
  <c r="G228" i="4"/>
  <c r="F228" i="4"/>
  <c r="A228" i="4"/>
  <c r="G227" i="4"/>
  <c r="F227" i="4"/>
  <c r="A227" i="4"/>
  <c r="G226" i="4"/>
  <c r="F226" i="4"/>
  <c r="A226" i="4"/>
  <c r="G225" i="4"/>
  <c r="F225" i="4"/>
  <c r="A225" i="4"/>
  <c r="G224" i="4"/>
  <c r="F224" i="4"/>
  <c r="A224" i="4"/>
  <c r="G223" i="4"/>
  <c r="F223" i="4"/>
  <c r="A223" i="4"/>
  <c r="G222" i="4"/>
  <c r="F222" i="4"/>
  <c r="A222" i="4"/>
  <c r="G221" i="4"/>
  <c r="F221" i="4"/>
  <c r="A221" i="4"/>
  <c r="G220" i="4"/>
  <c r="F220" i="4"/>
  <c r="A220" i="4"/>
  <c r="G219" i="4"/>
  <c r="F219" i="4"/>
  <c r="A219" i="4"/>
  <c r="G218" i="4"/>
  <c r="F218" i="4"/>
  <c r="A218" i="4"/>
  <c r="G217" i="4"/>
  <c r="F217" i="4"/>
  <c r="A217" i="4"/>
  <c r="G216" i="4"/>
  <c r="F216" i="4"/>
  <c r="A216" i="4"/>
  <c r="G215" i="4"/>
  <c r="F215" i="4"/>
  <c r="A215" i="4"/>
  <c r="G214" i="4"/>
  <c r="F214" i="4"/>
  <c r="A214" i="4"/>
  <c r="G213" i="4"/>
  <c r="F213" i="4"/>
  <c r="A213" i="4"/>
  <c r="G212" i="4"/>
  <c r="F212" i="4"/>
  <c r="A212" i="4"/>
  <c r="G211" i="4"/>
  <c r="F211" i="4"/>
  <c r="A211" i="4"/>
  <c r="G210" i="4"/>
  <c r="F210" i="4"/>
  <c r="A210" i="4"/>
  <c r="G209" i="4"/>
  <c r="F209" i="4"/>
  <c r="A209" i="4"/>
  <c r="G208" i="4"/>
  <c r="F208" i="4"/>
  <c r="A208" i="4"/>
  <c r="G207" i="4"/>
  <c r="F207" i="4"/>
  <c r="A207" i="4"/>
  <c r="G206" i="4"/>
  <c r="F206" i="4"/>
  <c r="A206" i="4"/>
  <c r="G205" i="4"/>
  <c r="F205" i="4"/>
  <c r="A205" i="4"/>
  <c r="G204" i="4"/>
  <c r="F204" i="4"/>
  <c r="A204" i="4"/>
  <c r="G203" i="4"/>
  <c r="F203" i="4"/>
  <c r="A203" i="4"/>
  <c r="G202" i="4"/>
  <c r="F202" i="4"/>
  <c r="A202" i="4"/>
  <c r="G201" i="4"/>
  <c r="F201" i="4"/>
  <c r="A201" i="4"/>
  <c r="G200" i="4"/>
  <c r="F200" i="4"/>
  <c r="A200" i="4"/>
  <c r="G199" i="4"/>
  <c r="F199" i="4"/>
  <c r="A199" i="4"/>
  <c r="G198" i="4"/>
  <c r="F198" i="4"/>
  <c r="A198" i="4"/>
  <c r="G197" i="4"/>
  <c r="F197" i="4"/>
  <c r="A197" i="4"/>
  <c r="G196" i="4"/>
  <c r="F196" i="4"/>
  <c r="A196" i="4"/>
  <c r="G195" i="4"/>
  <c r="F195" i="4"/>
  <c r="A195" i="4"/>
  <c r="G194" i="4"/>
  <c r="F194" i="4"/>
  <c r="A194" i="4"/>
  <c r="G193" i="4"/>
  <c r="F193" i="4"/>
  <c r="A193" i="4"/>
  <c r="G192" i="4"/>
  <c r="F192" i="4"/>
  <c r="A192" i="4"/>
  <c r="G191" i="4"/>
  <c r="F191" i="4"/>
  <c r="A191" i="4"/>
  <c r="G190" i="4"/>
  <c r="F190" i="4"/>
  <c r="A190" i="4"/>
  <c r="G189" i="4"/>
  <c r="F189" i="4"/>
  <c r="A189" i="4"/>
  <c r="G188" i="4"/>
  <c r="F188" i="4"/>
  <c r="A188" i="4"/>
  <c r="G187" i="4"/>
  <c r="F187" i="4"/>
  <c r="A187" i="4"/>
  <c r="G186" i="4"/>
  <c r="F186" i="4"/>
  <c r="A186" i="4"/>
  <c r="G185" i="4"/>
  <c r="F185" i="4"/>
  <c r="A185" i="4"/>
  <c r="G184" i="4"/>
  <c r="F184" i="4"/>
  <c r="A184" i="4"/>
  <c r="G183" i="4"/>
  <c r="F183" i="4"/>
  <c r="A183" i="4"/>
  <c r="G182" i="4"/>
  <c r="F182" i="4"/>
  <c r="A182" i="4"/>
  <c r="G181" i="4"/>
  <c r="F181" i="4"/>
  <c r="A181" i="4"/>
  <c r="G180" i="4"/>
  <c r="F180" i="4"/>
  <c r="A180" i="4"/>
  <c r="G179" i="4"/>
  <c r="F179" i="4"/>
  <c r="A179" i="4"/>
  <c r="G178" i="4"/>
  <c r="F178" i="4"/>
  <c r="A178" i="4"/>
  <c r="G177" i="4"/>
  <c r="F177" i="4"/>
  <c r="A177" i="4"/>
  <c r="G176" i="4"/>
  <c r="F176" i="4"/>
  <c r="A176" i="4"/>
  <c r="G175" i="4"/>
  <c r="F175" i="4"/>
  <c r="A175" i="4"/>
  <c r="G174" i="4"/>
  <c r="F174" i="4"/>
  <c r="A174" i="4"/>
  <c r="G173" i="4"/>
  <c r="F173" i="4"/>
  <c r="A173" i="4"/>
  <c r="G172" i="4"/>
  <c r="F172" i="4"/>
  <c r="A172" i="4"/>
  <c r="G171" i="4"/>
  <c r="F171" i="4"/>
  <c r="A171" i="4"/>
  <c r="G170" i="4"/>
  <c r="F170" i="4"/>
  <c r="A170" i="4"/>
  <c r="G169" i="4"/>
  <c r="F169" i="4"/>
  <c r="A169" i="4"/>
  <c r="G168" i="4"/>
  <c r="F168" i="4"/>
  <c r="A168" i="4"/>
  <c r="G167" i="4"/>
  <c r="F167" i="4"/>
  <c r="A167" i="4"/>
  <c r="G166" i="4"/>
  <c r="F166" i="4"/>
  <c r="A166" i="4"/>
  <c r="G165" i="4"/>
  <c r="F165" i="4"/>
  <c r="A165" i="4"/>
  <c r="G164" i="4"/>
  <c r="F164" i="4"/>
  <c r="A164" i="4"/>
  <c r="G163" i="4"/>
  <c r="F163" i="4"/>
  <c r="A163" i="4"/>
  <c r="G162" i="4"/>
  <c r="F162" i="4"/>
  <c r="A162" i="4"/>
  <c r="G161" i="4"/>
  <c r="F161" i="4"/>
  <c r="A161" i="4"/>
  <c r="G160" i="4"/>
  <c r="F160" i="4"/>
  <c r="A160" i="4"/>
  <c r="G159" i="4"/>
  <c r="F159" i="4"/>
  <c r="A159" i="4"/>
  <c r="G158" i="4"/>
  <c r="F158" i="4"/>
  <c r="A158" i="4"/>
  <c r="G157" i="4"/>
  <c r="F157" i="4"/>
  <c r="A157" i="4"/>
  <c r="G156" i="4"/>
  <c r="F156" i="4"/>
  <c r="A156" i="4"/>
  <c r="G155" i="4"/>
  <c r="F155" i="4"/>
  <c r="A155" i="4"/>
  <c r="G154" i="4"/>
  <c r="F154" i="4"/>
  <c r="A154" i="4"/>
  <c r="G153" i="4"/>
  <c r="F153" i="4"/>
  <c r="A153" i="4"/>
  <c r="G152" i="4"/>
  <c r="F152" i="4"/>
  <c r="A152" i="4"/>
  <c r="G151" i="4"/>
  <c r="F151" i="4"/>
  <c r="A151" i="4"/>
  <c r="G150" i="4"/>
  <c r="F150" i="4"/>
  <c r="A150" i="4"/>
  <c r="G149" i="4"/>
  <c r="F149" i="4"/>
  <c r="A149" i="4"/>
  <c r="G148" i="4"/>
  <c r="F148" i="4"/>
  <c r="A148" i="4"/>
  <c r="G147" i="4"/>
  <c r="F147" i="4"/>
  <c r="A147" i="4"/>
  <c r="G146" i="4"/>
  <c r="F146" i="4"/>
  <c r="A146" i="4"/>
  <c r="G145" i="4"/>
  <c r="F145" i="4"/>
  <c r="A145" i="4"/>
  <c r="G144" i="4"/>
  <c r="F144" i="4"/>
  <c r="A144" i="4"/>
  <c r="G143" i="4"/>
  <c r="F143" i="4"/>
  <c r="A143" i="4"/>
  <c r="G142" i="4"/>
  <c r="F142" i="4"/>
  <c r="A142" i="4"/>
  <c r="G141" i="4"/>
  <c r="F141" i="4"/>
  <c r="A141" i="4"/>
  <c r="G140" i="4"/>
  <c r="F140" i="4"/>
  <c r="A140" i="4"/>
  <c r="G139" i="4"/>
  <c r="F139" i="4"/>
  <c r="A139" i="4"/>
  <c r="G138" i="4"/>
  <c r="F138" i="4"/>
  <c r="A138" i="4"/>
  <c r="G137" i="4"/>
  <c r="F137" i="4"/>
  <c r="A137" i="4"/>
  <c r="G136" i="4"/>
  <c r="F136" i="4"/>
  <c r="A136" i="4"/>
  <c r="G135" i="4"/>
  <c r="F135" i="4"/>
  <c r="A135" i="4"/>
  <c r="G134" i="4"/>
  <c r="F134" i="4"/>
  <c r="A134" i="4"/>
  <c r="G133" i="4"/>
  <c r="F133" i="4"/>
  <c r="A133" i="4"/>
  <c r="G132" i="4"/>
  <c r="F132" i="4"/>
  <c r="A132" i="4"/>
  <c r="G131" i="4"/>
  <c r="F131" i="4"/>
  <c r="A131" i="4"/>
  <c r="G130" i="4"/>
  <c r="F130" i="4"/>
  <c r="A130" i="4"/>
  <c r="G129" i="4"/>
  <c r="F129" i="4"/>
  <c r="A129" i="4"/>
  <c r="G128" i="4"/>
  <c r="F128" i="4"/>
  <c r="A128" i="4"/>
  <c r="G127" i="4"/>
  <c r="F127" i="4"/>
  <c r="A127" i="4"/>
  <c r="G126" i="4"/>
  <c r="F126" i="4"/>
  <c r="A126" i="4"/>
  <c r="G125" i="4"/>
  <c r="F125" i="4"/>
  <c r="A125" i="4"/>
  <c r="G124" i="4"/>
  <c r="F124" i="4"/>
  <c r="A124" i="4"/>
  <c r="G123" i="4"/>
  <c r="F123" i="4"/>
  <c r="A123" i="4"/>
  <c r="G122" i="4"/>
  <c r="F122" i="4"/>
  <c r="A122" i="4"/>
  <c r="G121" i="4"/>
  <c r="F121" i="4"/>
  <c r="A121" i="4"/>
  <c r="G120" i="4"/>
  <c r="F120" i="4"/>
  <c r="A120" i="4"/>
  <c r="G119" i="4"/>
  <c r="F119" i="4"/>
  <c r="A119" i="4"/>
  <c r="G118" i="4"/>
  <c r="F118" i="4"/>
  <c r="A118" i="4"/>
  <c r="G117" i="4"/>
  <c r="F117" i="4"/>
  <c r="A117" i="4"/>
  <c r="G116" i="4"/>
  <c r="F116" i="4"/>
  <c r="A116" i="4"/>
  <c r="G115" i="4"/>
  <c r="F115" i="4"/>
  <c r="A115" i="4"/>
  <c r="G114" i="4"/>
  <c r="F114" i="4"/>
  <c r="A114" i="4"/>
  <c r="G113" i="4"/>
  <c r="F113" i="4"/>
  <c r="A113" i="4"/>
  <c r="G112" i="4"/>
  <c r="F112" i="4"/>
  <c r="A112" i="4"/>
  <c r="G111" i="4"/>
  <c r="F111" i="4"/>
  <c r="A111" i="4"/>
  <c r="G110" i="4"/>
  <c r="F110" i="4"/>
  <c r="A110" i="4"/>
  <c r="G109" i="4"/>
  <c r="F109" i="4"/>
  <c r="A109" i="4"/>
  <c r="G108" i="4"/>
  <c r="F108" i="4"/>
  <c r="A108" i="4"/>
  <c r="G107" i="4"/>
  <c r="F107" i="4"/>
  <c r="A107" i="4"/>
  <c r="G106" i="4"/>
  <c r="F106" i="4"/>
  <c r="A106" i="4"/>
  <c r="G105" i="4"/>
  <c r="F105" i="4"/>
  <c r="A105" i="4"/>
  <c r="G104" i="4"/>
  <c r="F104" i="4"/>
  <c r="A104" i="4"/>
  <c r="G103" i="4"/>
  <c r="F103" i="4"/>
  <c r="A103" i="4"/>
  <c r="G102" i="4"/>
  <c r="F102" i="4"/>
  <c r="A102" i="4"/>
  <c r="G101" i="4"/>
  <c r="F101" i="4"/>
  <c r="A101" i="4"/>
  <c r="G100" i="4"/>
  <c r="F100" i="4"/>
  <c r="A100" i="4"/>
  <c r="G99" i="4"/>
  <c r="F99" i="4"/>
  <c r="A99" i="4"/>
  <c r="G98" i="4"/>
  <c r="F98" i="4"/>
  <c r="A98" i="4"/>
  <c r="G97" i="4"/>
  <c r="F97" i="4"/>
  <c r="A97" i="4"/>
  <c r="G96" i="4"/>
  <c r="F96" i="4"/>
  <c r="A96" i="4"/>
  <c r="G95" i="4"/>
  <c r="F95" i="4"/>
  <c r="A95" i="4"/>
  <c r="G94" i="4"/>
  <c r="F94" i="4"/>
  <c r="A94" i="4"/>
  <c r="G93" i="4"/>
  <c r="F93" i="4"/>
  <c r="A93" i="4"/>
  <c r="G92" i="4"/>
  <c r="F92" i="4"/>
  <c r="A92" i="4"/>
  <c r="G91" i="4"/>
  <c r="F91" i="4"/>
  <c r="A91" i="4"/>
  <c r="G90" i="4"/>
  <c r="F90" i="4"/>
  <c r="A90" i="4"/>
  <c r="G89" i="4"/>
  <c r="F89" i="4"/>
  <c r="A89" i="4"/>
  <c r="G88" i="4"/>
  <c r="F88" i="4"/>
  <c r="A88" i="4"/>
  <c r="G87" i="4"/>
  <c r="F87" i="4"/>
  <c r="A87" i="4"/>
  <c r="G86" i="4"/>
  <c r="F86" i="4"/>
  <c r="A86" i="4"/>
  <c r="G85" i="4"/>
  <c r="F85" i="4"/>
  <c r="A85" i="4"/>
  <c r="G84" i="4"/>
  <c r="F84" i="4"/>
  <c r="A84" i="4"/>
  <c r="G83" i="4"/>
  <c r="F83" i="4"/>
  <c r="A83" i="4"/>
  <c r="G82" i="4"/>
  <c r="F82" i="4"/>
  <c r="A82" i="4"/>
  <c r="G81" i="4"/>
  <c r="F81" i="4"/>
  <c r="A81" i="4"/>
  <c r="G80" i="4"/>
  <c r="F80" i="4"/>
  <c r="A80" i="4"/>
  <c r="G79" i="4"/>
  <c r="F79" i="4"/>
  <c r="A79" i="4"/>
  <c r="G78" i="4"/>
  <c r="F78" i="4"/>
  <c r="A78" i="4"/>
  <c r="G77" i="4"/>
  <c r="F77" i="4"/>
  <c r="A77" i="4"/>
  <c r="G76" i="4"/>
  <c r="F76" i="4"/>
  <c r="A76" i="4"/>
  <c r="G75" i="4"/>
  <c r="F75" i="4"/>
  <c r="A75" i="4"/>
  <c r="G74" i="4"/>
  <c r="F74" i="4"/>
  <c r="A74" i="4"/>
  <c r="G73" i="4"/>
  <c r="F73" i="4"/>
  <c r="A73" i="4"/>
  <c r="G72" i="4"/>
  <c r="F72" i="4"/>
  <c r="A72" i="4"/>
  <c r="G71" i="4"/>
  <c r="F71" i="4"/>
  <c r="A71" i="4"/>
  <c r="G70" i="4"/>
  <c r="F70" i="4"/>
  <c r="A70" i="4"/>
  <c r="G69" i="4"/>
  <c r="F69" i="4"/>
  <c r="A69" i="4"/>
  <c r="G68" i="4"/>
  <c r="F68" i="4"/>
  <c r="A68" i="4"/>
  <c r="G67" i="4"/>
  <c r="F67" i="4"/>
  <c r="A67" i="4"/>
  <c r="G66" i="4"/>
  <c r="F66" i="4"/>
  <c r="A66" i="4"/>
  <c r="G65" i="4"/>
  <c r="F65" i="4"/>
  <c r="A65" i="4"/>
  <c r="G64" i="4"/>
  <c r="F64" i="4"/>
  <c r="A64" i="4"/>
  <c r="G63" i="4"/>
  <c r="F63" i="4"/>
  <c r="A63" i="4"/>
  <c r="G62" i="4"/>
  <c r="F62" i="4"/>
  <c r="A62" i="4"/>
  <c r="G61" i="4"/>
  <c r="F61" i="4"/>
  <c r="A61" i="4"/>
  <c r="G60" i="4"/>
  <c r="F60" i="4"/>
  <c r="A60" i="4"/>
  <c r="G59" i="4"/>
  <c r="F59" i="4"/>
  <c r="A59" i="4"/>
  <c r="G58" i="4"/>
  <c r="F58" i="4"/>
  <c r="A58" i="4"/>
  <c r="G57" i="4"/>
  <c r="F57" i="4"/>
  <c r="A57" i="4"/>
  <c r="G56" i="4"/>
  <c r="F56" i="4"/>
  <c r="A56" i="4"/>
  <c r="G55" i="4"/>
  <c r="F55" i="4"/>
  <c r="A55" i="4"/>
  <c r="G54" i="4"/>
  <c r="F54" i="4"/>
  <c r="A54" i="4"/>
  <c r="G53" i="4"/>
  <c r="F53" i="4"/>
  <c r="A53" i="4"/>
  <c r="G52" i="4"/>
  <c r="F52" i="4"/>
  <c r="A52" i="4"/>
  <c r="G51" i="4"/>
  <c r="F51" i="4"/>
  <c r="A51" i="4"/>
  <c r="G50" i="4"/>
  <c r="F50" i="4"/>
  <c r="A50" i="4"/>
  <c r="G49" i="4"/>
  <c r="F49" i="4"/>
  <c r="A49" i="4"/>
  <c r="G48" i="4"/>
  <c r="F48" i="4"/>
  <c r="A48" i="4"/>
  <c r="G47" i="4"/>
  <c r="F47" i="4"/>
  <c r="A47" i="4"/>
  <c r="G46" i="4"/>
  <c r="F46" i="4"/>
  <c r="A46" i="4"/>
  <c r="G45" i="4"/>
  <c r="F45" i="4"/>
  <c r="A45" i="4"/>
  <c r="G44" i="4"/>
  <c r="F44" i="4"/>
  <c r="A44" i="4"/>
  <c r="G43" i="4"/>
  <c r="F43" i="4"/>
  <c r="A43" i="4"/>
  <c r="G42" i="4"/>
  <c r="F42" i="4"/>
  <c r="A42" i="4"/>
  <c r="G41" i="4"/>
  <c r="F41" i="4"/>
  <c r="A41" i="4"/>
  <c r="G40" i="4"/>
  <c r="F40" i="4"/>
  <c r="A40" i="4"/>
  <c r="G39" i="4"/>
  <c r="F39" i="4"/>
  <c r="A39" i="4"/>
  <c r="G38" i="4"/>
  <c r="F38" i="4"/>
  <c r="A38" i="4"/>
  <c r="G37" i="4"/>
  <c r="F37" i="4"/>
  <c r="A37" i="4"/>
  <c r="G36" i="4"/>
  <c r="F36" i="4"/>
  <c r="A36" i="4"/>
  <c r="G35" i="4"/>
  <c r="F35" i="4"/>
  <c r="A35" i="4"/>
  <c r="G34" i="4"/>
  <c r="F34" i="4"/>
  <c r="A34" i="4"/>
  <c r="G33" i="4"/>
  <c r="F33" i="4"/>
  <c r="A33" i="4"/>
  <c r="G32" i="4"/>
  <c r="F32" i="4"/>
  <c r="A32" i="4"/>
  <c r="G31" i="4"/>
  <c r="F31" i="4"/>
  <c r="A31" i="4"/>
  <c r="G30" i="4"/>
  <c r="F30" i="4"/>
  <c r="A30" i="4"/>
  <c r="G29" i="4"/>
  <c r="F29" i="4"/>
  <c r="A29" i="4"/>
  <c r="G28" i="4"/>
  <c r="F28" i="4"/>
  <c r="A28" i="4"/>
  <c r="G27" i="4"/>
  <c r="F27" i="4"/>
  <c r="A27" i="4"/>
  <c r="G26" i="4"/>
  <c r="F26" i="4"/>
  <c r="A26" i="4"/>
  <c r="G25" i="4"/>
  <c r="F25" i="4"/>
  <c r="A25" i="4"/>
  <c r="G24" i="4"/>
  <c r="F24" i="4"/>
  <c r="A24" i="4"/>
  <c r="G23" i="4"/>
  <c r="F23" i="4"/>
  <c r="A23" i="4"/>
  <c r="G22" i="4"/>
  <c r="F22" i="4"/>
  <c r="A22" i="4"/>
  <c r="G21" i="4"/>
  <c r="F21" i="4"/>
  <c r="A21" i="4"/>
  <c r="G20" i="4"/>
  <c r="F20" i="4"/>
  <c r="A20" i="4"/>
  <c r="G19" i="4"/>
  <c r="F19" i="4"/>
  <c r="A19" i="4"/>
  <c r="G18" i="4"/>
  <c r="F18" i="4"/>
  <c r="A18" i="4"/>
  <c r="G17" i="4"/>
  <c r="F17" i="4"/>
  <c r="A17" i="4"/>
  <c r="G16" i="4"/>
  <c r="F16" i="4"/>
  <c r="A16" i="4"/>
  <c r="G15" i="4"/>
  <c r="F15" i="4"/>
  <c r="A15" i="4"/>
  <c r="G14" i="4"/>
  <c r="F14" i="4"/>
  <c r="A14" i="4"/>
  <c r="G13" i="4"/>
  <c r="F13" i="4"/>
  <c r="A13" i="4"/>
  <c r="G12" i="4"/>
  <c r="F12" i="4"/>
  <c r="A12" i="4"/>
  <c r="G11" i="4"/>
  <c r="F11" i="4"/>
  <c r="A11" i="4"/>
  <c r="G10" i="4"/>
  <c r="F10" i="4"/>
  <c r="A10" i="4"/>
  <c r="G9" i="4"/>
  <c r="F9" i="4"/>
  <c r="A9" i="4"/>
  <c r="G8" i="4"/>
  <c r="F8" i="4"/>
  <c r="A8" i="4"/>
  <c r="G7" i="4"/>
  <c r="F7" i="4"/>
  <c r="A7" i="4"/>
  <c r="G6" i="4"/>
  <c r="F6" i="4"/>
  <c r="A6" i="4"/>
  <c r="G5" i="4"/>
  <c r="F5" i="4"/>
  <c r="A5" i="4"/>
  <c r="G4" i="4"/>
  <c r="F4" i="4"/>
  <c r="A4" i="4"/>
  <c r="G3" i="4"/>
  <c r="F3" i="4"/>
  <c r="A3" i="4"/>
  <c r="W1002" i="3"/>
  <c r="T1002" i="3"/>
  <c r="I1002" i="3"/>
  <c r="A1002" i="3"/>
  <c r="W1001" i="3"/>
  <c r="T1001" i="3"/>
  <c r="I1001" i="3"/>
  <c r="A1001" i="3"/>
  <c r="W1000" i="3"/>
  <c r="T1000" i="3"/>
  <c r="I1000" i="3"/>
  <c r="A1000" i="3"/>
  <c r="W999" i="3"/>
  <c r="T999" i="3"/>
  <c r="I999" i="3"/>
  <c r="A999" i="3"/>
  <c r="W998" i="3"/>
  <c r="T998" i="3"/>
  <c r="I998" i="3"/>
  <c r="A998" i="3"/>
  <c r="W997" i="3"/>
  <c r="T997" i="3"/>
  <c r="I997" i="3"/>
  <c r="A997" i="3"/>
  <c r="W996" i="3"/>
  <c r="T996" i="3"/>
  <c r="I996" i="3"/>
  <c r="A996" i="3"/>
  <c r="W995" i="3"/>
  <c r="T995" i="3"/>
  <c r="I995" i="3"/>
  <c r="A995" i="3"/>
  <c r="W994" i="3"/>
  <c r="T994" i="3"/>
  <c r="I994" i="3"/>
  <c r="A994" i="3"/>
  <c r="W993" i="3"/>
  <c r="T993" i="3"/>
  <c r="I993" i="3"/>
  <c r="A993" i="3"/>
  <c r="W992" i="3"/>
  <c r="T992" i="3"/>
  <c r="I992" i="3"/>
  <c r="A992" i="3"/>
  <c r="W991" i="3"/>
  <c r="T991" i="3"/>
  <c r="I991" i="3"/>
  <c r="A991" i="3"/>
  <c r="W990" i="3"/>
  <c r="T990" i="3"/>
  <c r="I990" i="3"/>
  <c r="A990" i="3"/>
  <c r="W989" i="3"/>
  <c r="T989" i="3"/>
  <c r="I989" i="3"/>
  <c r="A989" i="3"/>
  <c r="W988" i="3"/>
  <c r="T988" i="3"/>
  <c r="I988" i="3"/>
  <c r="A988" i="3"/>
  <c r="W987" i="3"/>
  <c r="T987" i="3"/>
  <c r="I987" i="3"/>
  <c r="A987" i="3"/>
  <c r="W986" i="3"/>
  <c r="T986" i="3"/>
  <c r="I986" i="3"/>
  <c r="A986" i="3"/>
  <c r="W985" i="3"/>
  <c r="T985" i="3"/>
  <c r="I985" i="3"/>
  <c r="A985" i="3"/>
  <c r="W984" i="3"/>
  <c r="T984" i="3"/>
  <c r="I984" i="3"/>
  <c r="A984" i="3"/>
  <c r="W983" i="3"/>
  <c r="T983" i="3"/>
  <c r="I983" i="3"/>
  <c r="A983" i="3"/>
  <c r="W982" i="3"/>
  <c r="T982" i="3"/>
  <c r="I982" i="3"/>
  <c r="A982" i="3"/>
  <c r="W981" i="3"/>
  <c r="T981" i="3"/>
  <c r="I981" i="3"/>
  <c r="A981" i="3"/>
  <c r="W980" i="3"/>
  <c r="T980" i="3"/>
  <c r="I980" i="3"/>
  <c r="A980" i="3"/>
  <c r="W979" i="3"/>
  <c r="T979" i="3"/>
  <c r="I979" i="3"/>
  <c r="A979" i="3"/>
  <c r="W978" i="3"/>
  <c r="T978" i="3"/>
  <c r="I978" i="3"/>
  <c r="A978" i="3"/>
  <c r="W977" i="3"/>
  <c r="T977" i="3"/>
  <c r="I977" i="3"/>
  <c r="A977" i="3"/>
  <c r="W976" i="3"/>
  <c r="T976" i="3"/>
  <c r="I976" i="3"/>
  <c r="A976" i="3"/>
  <c r="W975" i="3"/>
  <c r="T975" i="3"/>
  <c r="I975" i="3"/>
  <c r="A975" i="3"/>
  <c r="W974" i="3"/>
  <c r="T974" i="3"/>
  <c r="I974" i="3"/>
  <c r="A974" i="3"/>
  <c r="W973" i="3"/>
  <c r="T973" i="3"/>
  <c r="I973" i="3"/>
  <c r="A973" i="3"/>
  <c r="W972" i="3"/>
  <c r="T972" i="3"/>
  <c r="I972" i="3"/>
  <c r="A972" i="3"/>
  <c r="W971" i="3"/>
  <c r="T971" i="3"/>
  <c r="I971" i="3"/>
  <c r="A971" i="3"/>
  <c r="W970" i="3"/>
  <c r="T970" i="3"/>
  <c r="I970" i="3"/>
  <c r="A970" i="3"/>
  <c r="W969" i="3"/>
  <c r="T969" i="3"/>
  <c r="I969" i="3"/>
  <c r="A969" i="3"/>
  <c r="W968" i="3"/>
  <c r="T968" i="3"/>
  <c r="I968" i="3"/>
  <c r="A968" i="3"/>
  <c r="W967" i="3"/>
  <c r="T967" i="3"/>
  <c r="I967" i="3"/>
  <c r="A967" i="3"/>
  <c r="W966" i="3"/>
  <c r="T966" i="3"/>
  <c r="I966" i="3"/>
  <c r="A966" i="3"/>
  <c r="W965" i="3"/>
  <c r="T965" i="3"/>
  <c r="I965" i="3"/>
  <c r="A965" i="3"/>
  <c r="W964" i="3"/>
  <c r="T964" i="3"/>
  <c r="I964" i="3"/>
  <c r="A964" i="3"/>
  <c r="W963" i="3"/>
  <c r="T963" i="3"/>
  <c r="I963" i="3"/>
  <c r="A963" i="3"/>
  <c r="W962" i="3"/>
  <c r="T962" i="3"/>
  <c r="I962" i="3"/>
  <c r="A962" i="3"/>
  <c r="W961" i="3"/>
  <c r="T961" i="3"/>
  <c r="I961" i="3"/>
  <c r="A961" i="3"/>
  <c r="W960" i="3"/>
  <c r="T960" i="3"/>
  <c r="I960" i="3"/>
  <c r="A960" i="3"/>
  <c r="W959" i="3"/>
  <c r="T959" i="3"/>
  <c r="I959" i="3"/>
  <c r="A959" i="3"/>
  <c r="W958" i="3"/>
  <c r="T958" i="3"/>
  <c r="I958" i="3"/>
  <c r="A958" i="3"/>
  <c r="W957" i="3"/>
  <c r="T957" i="3"/>
  <c r="I957" i="3"/>
  <c r="A957" i="3"/>
  <c r="W956" i="3"/>
  <c r="T956" i="3"/>
  <c r="I956" i="3"/>
  <c r="A956" i="3"/>
  <c r="W955" i="3"/>
  <c r="T955" i="3"/>
  <c r="I955" i="3"/>
  <c r="A955" i="3"/>
  <c r="W954" i="3"/>
  <c r="T954" i="3"/>
  <c r="I954" i="3"/>
  <c r="A954" i="3"/>
  <c r="W953" i="3"/>
  <c r="T953" i="3"/>
  <c r="I953" i="3"/>
  <c r="A953" i="3"/>
  <c r="W952" i="3"/>
  <c r="T952" i="3"/>
  <c r="I952" i="3"/>
  <c r="A952" i="3"/>
  <c r="W951" i="3"/>
  <c r="T951" i="3"/>
  <c r="I951" i="3"/>
  <c r="A951" i="3"/>
  <c r="W950" i="3"/>
  <c r="T950" i="3"/>
  <c r="I950" i="3"/>
  <c r="A950" i="3"/>
  <c r="W949" i="3"/>
  <c r="T949" i="3"/>
  <c r="I949" i="3"/>
  <c r="A949" i="3"/>
  <c r="W948" i="3"/>
  <c r="T948" i="3"/>
  <c r="I948" i="3"/>
  <c r="A948" i="3"/>
  <c r="W947" i="3"/>
  <c r="T947" i="3"/>
  <c r="I947" i="3"/>
  <c r="A947" i="3"/>
  <c r="W946" i="3"/>
  <c r="T946" i="3"/>
  <c r="I946" i="3"/>
  <c r="A946" i="3"/>
  <c r="W945" i="3"/>
  <c r="T945" i="3"/>
  <c r="I945" i="3"/>
  <c r="A945" i="3"/>
  <c r="W944" i="3"/>
  <c r="T944" i="3"/>
  <c r="I944" i="3"/>
  <c r="A944" i="3"/>
  <c r="W943" i="3"/>
  <c r="T943" i="3"/>
  <c r="I943" i="3"/>
  <c r="A943" i="3"/>
  <c r="W942" i="3"/>
  <c r="T942" i="3"/>
  <c r="I942" i="3"/>
  <c r="A942" i="3"/>
  <c r="W941" i="3"/>
  <c r="T941" i="3"/>
  <c r="I941" i="3"/>
  <c r="A941" i="3"/>
  <c r="W940" i="3"/>
  <c r="T940" i="3"/>
  <c r="I940" i="3"/>
  <c r="A940" i="3"/>
  <c r="W939" i="3"/>
  <c r="T939" i="3"/>
  <c r="I939" i="3"/>
  <c r="A939" i="3"/>
  <c r="W938" i="3"/>
  <c r="T938" i="3"/>
  <c r="I938" i="3"/>
  <c r="A938" i="3"/>
  <c r="W937" i="3"/>
  <c r="T937" i="3"/>
  <c r="I937" i="3"/>
  <c r="A937" i="3"/>
  <c r="W936" i="3"/>
  <c r="T936" i="3"/>
  <c r="I936" i="3"/>
  <c r="A936" i="3"/>
  <c r="W935" i="3"/>
  <c r="T935" i="3"/>
  <c r="I935" i="3"/>
  <c r="A935" i="3"/>
  <c r="W934" i="3"/>
  <c r="T934" i="3"/>
  <c r="I934" i="3"/>
  <c r="A934" i="3"/>
  <c r="W933" i="3"/>
  <c r="T933" i="3"/>
  <c r="I933" i="3"/>
  <c r="A933" i="3"/>
  <c r="W932" i="3"/>
  <c r="T932" i="3"/>
  <c r="I932" i="3"/>
  <c r="A932" i="3"/>
  <c r="W931" i="3"/>
  <c r="T931" i="3"/>
  <c r="I931" i="3"/>
  <c r="A931" i="3"/>
  <c r="W930" i="3"/>
  <c r="T930" i="3"/>
  <c r="I930" i="3"/>
  <c r="A930" i="3"/>
  <c r="W929" i="3"/>
  <c r="T929" i="3"/>
  <c r="I929" i="3"/>
  <c r="A929" i="3"/>
  <c r="W928" i="3"/>
  <c r="T928" i="3"/>
  <c r="I928" i="3"/>
  <c r="A928" i="3"/>
  <c r="W927" i="3"/>
  <c r="T927" i="3"/>
  <c r="I927" i="3"/>
  <c r="A927" i="3"/>
  <c r="W926" i="3"/>
  <c r="T926" i="3"/>
  <c r="I926" i="3"/>
  <c r="A926" i="3"/>
  <c r="W925" i="3"/>
  <c r="T925" i="3"/>
  <c r="I925" i="3"/>
  <c r="A925" i="3"/>
  <c r="W924" i="3"/>
  <c r="T924" i="3"/>
  <c r="I924" i="3"/>
  <c r="A924" i="3"/>
  <c r="W923" i="3"/>
  <c r="T923" i="3"/>
  <c r="I923" i="3"/>
  <c r="A923" i="3"/>
  <c r="W922" i="3"/>
  <c r="T922" i="3"/>
  <c r="I922" i="3"/>
  <c r="A922" i="3"/>
  <c r="W921" i="3"/>
  <c r="T921" i="3"/>
  <c r="I921" i="3"/>
  <c r="A921" i="3"/>
  <c r="W920" i="3"/>
  <c r="T920" i="3"/>
  <c r="I920" i="3"/>
  <c r="A920" i="3"/>
  <c r="W919" i="3"/>
  <c r="T919" i="3"/>
  <c r="I919" i="3"/>
  <c r="A919" i="3"/>
  <c r="W918" i="3"/>
  <c r="T918" i="3"/>
  <c r="I918" i="3"/>
  <c r="A918" i="3"/>
  <c r="W917" i="3"/>
  <c r="T917" i="3"/>
  <c r="I917" i="3"/>
  <c r="A917" i="3"/>
  <c r="W916" i="3"/>
  <c r="T916" i="3"/>
  <c r="I916" i="3"/>
  <c r="A916" i="3"/>
  <c r="W915" i="3"/>
  <c r="T915" i="3"/>
  <c r="I915" i="3"/>
  <c r="A915" i="3"/>
  <c r="W914" i="3"/>
  <c r="T914" i="3"/>
  <c r="I914" i="3"/>
  <c r="A914" i="3"/>
  <c r="W913" i="3"/>
  <c r="T913" i="3"/>
  <c r="I913" i="3"/>
  <c r="A913" i="3"/>
  <c r="W912" i="3"/>
  <c r="T912" i="3"/>
  <c r="I912" i="3"/>
  <c r="A912" i="3"/>
  <c r="W911" i="3"/>
  <c r="T911" i="3"/>
  <c r="I911" i="3"/>
  <c r="A911" i="3"/>
  <c r="W910" i="3"/>
  <c r="T910" i="3"/>
  <c r="I910" i="3"/>
  <c r="A910" i="3"/>
  <c r="W909" i="3"/>
  <c r="T909" i="3"/>
  <c r="I909" i="3"/>
  <c r="A909" i="3"/>
  <c r="W908" i="3"/>
  <c r="T908" i="3"/>
  <c r="I908" i="3"/>
  <c r="A908" i="3"/>
  <c r="W907" i="3"/>
  <c r="T907" i="3"/>
  <c r="I907" i="3"/>
  <c r="A907" i="3"/>
  <c r="W906" i="3"/>
  <c r="T906" i="3"/>
  <c r="I906" i="3"/>
  <c r="A906" i="3"/>
  <c r="W905" i="3"/>
  <c r="T905" i="3"/>
  <c r="I905" i="3"/>
  <c r="A905" i="3"/>
  <c r="W904" i="3"/>
  <c r="T904" i="3"/>
  <c r="I904" i="3"/>
  <c r="A904" i="3"/>
  <c r="W903" i="3"/>
  <c r="T903" i="3"/>
  <c r="I903" i="3"/>
  <c r="A903" i="3"/>
  <c r="W902" i="3"/>
  <c r="T902" i="3"/>
  <c r="I902" i="3"/>
  <c r="A902" i="3"/>
  <c r="W901" i="3"/>
  <c r="T901" i="3"/>
  <c r="I901" i="3"/>
  <c r="A901" i="3"/>
  <c r="W900" i="3"/>
  <c r="T900" i="3"/>
  <c r="I900" i="3"/>
  <c r="A900" i="3"/>
  <c r="W899" i="3"/>
  <c r="T899" i="3"/>
  <c r="I899" i="3"/>
  <c r="A899" i="3"/>
  <c r="W898" i="3"/>
  <c r="T898" i="3"/>
  <c r="I898" i="3"/>
  <c r="A898" i="3"/>
  <c r="W897" i="3"/>
  <c r="T897" i="3"/>
  <c r="I897" i="3"/>
  <c r="A897" i="3"/>
  <c r="W896" i="3"/>
  <c r="T896" i="3"/>
  <c r="I896" i="3"/>
  <c r="A896" i="3"/>
  <c r="W895" i="3"/>
  <c r="T895" i="3"/>
  <c r="I895" i="3"/>
  <c r="A895" i="3"/>
  <c r="W894" i="3"/>
  <c r="T894" i="3"/>
  <c r="I894" i="3"/>
  <c r="A894" i="3"/>
  <c r="W893" i="3"/>
  <c r="T893" i="3"/>
  <c r="I893" i="3"/>
  <c r="A893" i="3"/>
  <c r="W892" i="3"/>
  <c r="T892" i="3"/>
  <c r="I892" i="3"/>
  <c r="A892" i="3"/>
  <c r="W891" i="3"/>
  <c r="T891" i="3"/>
  <c r="I891" i="3"/>
  <c r="A891" i="3"/>
  <c r="W890" i="3"/>
  <c r="T890" i="3"/>
  <c r="I890" i="3"/>
  <c r="A890" i="3"/>
  <c r="W889" i="3"/>
  <c r="T889" i="3"/>
  <c r="I889" i="3"/>
  <c r="A889" i="3"/>
  <c r="W888" i="3"/>
  <c r="T888" i="3"/>
  <c r="I888" i="3"/>
  <c r="A888" i="3"/>
  <c r="W887" i="3"/>
  <c r="T887" i="3"/>
  <c r="I887" i="3"/>
  <c r="A887" i="3"/>
  <c r="W886" i="3"/>
  <c r="T886" i="3"/>
  <c r="I886" i="3"/>
  <c r="A886" i="3"/>
  <c r="W885" i="3"/>
  <c r="T885" i="3"/>
  <c r="I885" i="3"/>
  <c r="A885" i="3"/>
  <c r="W884" i="3"/>
  <c r="T884" i="3"/>
  <c r="I884" i="3"/>
  <c r="A884" i="3"/>
  <c r="W883" i="3"/>
  <c r="T883" i="3"/>
  <c r="I883" i="3"/>
  <c r="A883" i="3"/>
  <c r="W882" i="3"/>
  <c r="T882" i="3"/>
  <c r="I882" i="3"/>
  <c r="A882" i="3"/>
  <c r="W881" i="3"/>
  <c r="T881" i="3"/>
  <c r="I881" i="3"/>
  <c r="A881" i="3"/>
  <c r="W880" i="3"/>
  <c r="T880" i="3"/>
  <c r="I880" i="3"/>
  <c r="A880" i="3"/>
  <c r="W879" i="3"/>
  <c r="T879" i="3"/>
  <c r="I879" i="3"/>
  <c r="A879" i="3"/>
  <c r="W878" i="3"/>
  <c r="T878" i="3"/>
  <c r="I878" i="3"/>
  <c r="A878" i="3"/>
  <c r="W877" i="3"/>
  <c r="T877" i="3"/>
  <c r="I877" i="3"/>
  <c r="A877" i="3"/>
  <c r="W876" i="3"/>
  <c r="T876" i="3"/>
  <c r="I876" i="3"/>
  <c r="A876" i="3"/>
  <c r="W875" i="3"/>
  <c r="T875" i="3"/>
  <c r="I875" i="3"/>
  <c r="A875" i="3"/>
  <c r="W874" i="3"/>
  <c r="T874" i="3"/>
  <c r="I874" i="3"/>
  <c r="A874" i="3"/>
  <c r="W873" i="3"/>
  <c r="T873" i="3"/>
  <c r="I873" i="3"/>
  <c r="A873" i="3"/>
  <c r="W872" i="3"/>
  <c r="T872" i="3"/>
  <c r="I872" i="3"/>
  <c r="A872" i="3"/>
  <c r="W871" i="3"/>
  <c r="T871" i="3"/>
  <c r="I871" i="3"/>
  <c r="A871" i="3"/>
  <c r="W870" i="3"/>
  <c r="T870" i="3"/>
  <c r="I870" i="3"/>
  <c r="A870" i="3"/>
  <c r="W869" i="3"/>
  <c r="T869" i="3"/>
  <c r="I869" i="3"/>
  <c r="A869" i="3"/>
  <c r="W868" i="3"/>
  <c r="T868" i="3"/>
  <c r="I868" i="3"/>
  <c r="A868" i="3"/>
  <c r="W867" i="3"/>
  <c r="T867" i="3"/>
  <c r="I867" i="3"/>
  <c r="A867" i="3"/>
  <c r="W866" i="3"/>
  <c r="T866" i="3"/>
  <c r="I866" i="3"/>
  <c r="A866" i="3"/>
  <c r="W865" i="3"/>
  <c r="T865" i="3"/>
  <c r="I865" i="3"/>
  <c r="A865" i="3"/>
  <c r="W864" i="3"/>
  <c r="T864" i="3"/>
  <c r="I864" i="3"/>
  <c r="A864" i="3"/>
  <c r="W863" i="3"/>
  <c r="T863" i="3"/>
  <c r="I863" i="3"/>
  <c r="A863" i="3"/>
  <c r="W862" i="3"/>
  <c r="T862" i="3"/>
  <c r="I862" i="3"/>
  <c r="A862" i="3"/>
  <c r="W861" i="3"/>
  <c r="T861" i="3"/>
  <c r="I861" i="3"/>
  <c r="A861" i="3"/>
  <c r="W860" i="3"/>
  <c r="T860" i="3"/>
  <c r="I860" i="3"/>
  <c r="A860" i="3"/>
  <c r="W859" i="3"/>
  <c r="T859" i="3"/>
  <c r="I859" i="3"/>
  <c r="A859" i="3"/>
  <c r="W858" i="3"/>
  <c r="T858" i="3"/>
  <c r="I858" i="3"/>
  <c r="A858" i="3"/>
  <c r="W857" i="3"/>
  <c r="T857" i="3"/>
  <c r="I857" i="3"/>
  <c r="A857" i="3"/>
  <c r="W856" i="3"/>
  <c r="T856" i="3"/>
  <c r="I856" i="3"/>
  <c r="A856" i="3"/>
  <c r="W855" i="3"/>
  <c r="T855" i="3"/>
  <c r="I855" i="3"/>
  <c r="A855" i="3"/>
  <c r="W854" i="3"/>
  <c r="T854" i="3"/>
  <c r="I854" i="3"/>
  <c r="A854" i="3"/>
  <c r="W853" i="3"/>
  <c r="T853" i="3"/>
  <c r="I853" i="3"/>
  <c r="A853" i="3"/>
  <c r="W852" i="3"/>
  <c r="T852" i="3"/>
  <c r="I852" i="3"/>
  <c r="A852" i="3"/>
  <c r="W851" i="3"/>
  <c r="T851" i="3"/>
  <c r="I851" i="3"/>
  <c r="A851" i="3"/>
  <c r="W850" i="3"/>
  <c r="T850" i="3"/>
  <c r="I850" i="3"/>
  <c r="A850" i="3"/>
  <c r="W849" i="3"/>
  <c r="T849" i="3"/>
  <c r="I849" i="3"/>
  <c r="A849" i="3"/>
  <c r="W848" i="3"/>
  <c r="T848" i="3"/>
  <c r="I848" i="3"/>
  <c r="A848" i="3"/>
  <c r="W847" i="3"/>
  <c r="T847" i="3"/>
  <c r="I847" i="3"/>
  <c r="A847" i="3"/>
  <c r="W846" i="3"/>
  <c r="T846" i="3"/>
  <c r="I846" i="3"/>
  <c r="A846" i="3"/>
  <c r="W845" i="3"/>
  <c r="T845" i="3"/>
  <c r="I845" i="3"/>
  <c r="A845" i="3"/>
  <c r="W844" i="3"/>
  <c r="T844" i="3"/>
  <c r="I844" i="3"/>
  <c r="A844" i="3"/>
  <c r="W843" i="3"/>
  <c r="T843" i="3"/>
  <c r="I843" i="3"/>
  <c r="A843" i="3"/>
  <c r="W842" i="3"/>
  <c r="T842" i="3"/>
  <c r="I842" i="3"/>
  <c r="A842" i="3"/>
  <c r="W841" i="3"/>
  <c r="T841" i="3"/>
  <c r="I841" i="3"/>
  <c r="A841" i="3"/>
  <c r="W840" i="3"/>
  <c r="T840" i="3"/>
  <c r="I840" i="3"/>
  <c r="A840" i="3"/>
  <c r="W839" i="3"/>
  <c r="T839" i="3"/>
  <c r="I839" i="3"/>
  <c r="A839" i="3"/>
  <c r="W838" i="3"/>
  <c r="T838" i="3"/>
  <c r="I838" i="3"/>
  <c r="A838" i="3"/>
  <c r="W837" i="3"/>
  <c r="T837" i="3"/>
  <c r="I837" i="3"/>
  <c r="A837" i="3"/>
  <c r="W836" i="3"/>
  <c r="T836" i="3"/>
  <c r="I836" i="3"/>
  <c r="A836" i="3"/>
  <c r="W835" i="3"/>
  <c r="T835" i="3"/>
  <c r="I835" i="3"/>
  <c r="A835" i="3"/>
  <c r="W834" i="3"/>
  <c r="T834" i="3"/>
  <c r="I834" i="3"/>
  <c r="A834" i="3"/>
  <c r="W833" i="3"/>
  <c r="T833" i="3"/>
  <c r="I833" i="3"/>
  <c r="A833" i="3"/>
  <c r="W832" i="3"/>
  <c r="T832" i="3"/>
  <c r="I832" i="3"/>
  <c r="A832" i="3"/>
  <c r="W831" i="3"/>
  <c r="T831" i="3"/>
  <c r="I831" i="3"/>
  <c r="A831" i="3"/>
  <c r="W830" i="3"/>
  <c r="T830" i="3"/>
  <c r="I830" i="3"/>
  <c r="A830" i="3"/>
  <c r="W829" i="3"/>
  <c r="T829" i="3"/>
  <c r="I829" i="3"/>
  <c r="A829" i="3"/>
  <c r="W828" i="3"/>
  <c r="T828" i="3"/>
  <c r="I828" i="3"/>
  <c r="A828" i="3"/>
  <c r="W827" i="3"/>
  <c r="T827" i="3"/>
  <c r="I827" i="3"/>
  <c r="A827" i="3"/>
  <c r="W826" i="3"/>
  <c r="T826" i="3"/>
  <c r="I826" i="3"/>
  <c r="A826" i="3"/>
  <c r="W825" i="3"/>
  <c r="T825" i="3"/>
  <c r="I825" i="3"/>
  <c r="A825" i="3"/>
  <c r="W824" i="3"/>
  <c r="T824" i="3"/>
  <c r="I824" i="3"/>
  <c r="A824" i="3"/>
  <c r="W823" i="3"/>
  <c r="T823" i="3"/>
  <c r="I823" i="3"/>
  <c r="A823" i="3"/>
  <c r="W822" i="3"/>
  <c r="T822" i="3"/>
  <c r="I822" i="3"/>
  <c r="A822" i="3"/>
  <c r="W821" i="3"/>
  <c r="T821" i="3"/>
  <c r="I821" i="3"/>
  <c r="A821" i="3"/>
  <c r="W820" i="3"/>
  <c r="T820" i="3"/>
  <c r="I820" i="3"/>
  <c r="A820" i="3"/>
  <c r="W819" i="3"/>
  <c r="T819" i="3"/>
  <c r="I819" i="3"/>
  <c r="A819" i="3"/>
  <c r="W818" i="3"/>
  <c r="T818" i="3"/>
  <c r="I818" i="3"/>
  <c r="A818" i="3"/>
  <c r="W817" i="3"/>
  <c r="T817" i="3"/>
  <c r="I817" i="3"/>
  <c r="A817" i="3"/>
  <c r="W816" i="3"/>
  <c r="T816" i="3"/>
  <c r="I816" i="3"/>
  <c r="A816" i="3"/>
  <c r="W815" i="3"/>
  <c r="T815" i="3"/>
  <c r="I815" i="3"/>
  <c r="A815" i="3"/>
  <c r="W814" i="3"/>
  <c r="T814" i="3"/>
  <c r="I814" i="3"/>
  <c r="A814" i="3"/>
  <c r="W813" i="3"/>
  <c r="T813" i="3"/>
  <c r="I813" i="3"/>
  <c r="A813" i="3"/>
  <c r="W812" i="3"/>
  <c r="T812" i="3"/>
  <c r="I812" i="3"/>
  <c r="A812" i="3"/>
  <c r="W811" i="3"/>
  <c r="T811" i="3"/>
  <c r="I811" i="3"/>
  <c r="A811" i="3"/>
  <c r="W810" i="3"/>
  <c r="T810" i="3"/>
  <c r="I810" i="3"/>
  <c r="A810" i="3"/>
  <c r="W809" i="3"/>
  <c r="T809" i="3"/>
  <c r="I809" i="3"/>
  <c r="A809" i="3"/>
  <c r="W808" i="3"/>
  <c r="T808" i="3"/>
  <c r="I808" i="3"/>
  <c r="A808" i="3"/>
  <c r="W807" i="3"/>
  <c r="T807" i="3"/>
  <c r="I807" i="3"/>
  <c r="A807" i="3"/>
  <c r="W806" i="3"/>
  <c r="T806" i="3"/>
  <c r="I806" i="3"/>
  <c r="A806" i="3"/>
  <c r="W805" i="3"/>
  <c r="T805" i="3"/>
  <c r="I805" i="3"/>
  <c r="A805" i="3"/>
  <c r="W804" i="3"/>
  <c r="T804" i="3"/>
  <c r="I804" i="3"/>
  <c r="A804" i="3"/>
  <c r="W803" i="3"/>
  <c r="T803" i="3"/>
  <c r="I803" i="3"/>
  <c r="A803" i="3"/>
  <c r="W802" i="3"/>
  <c r="T802" i="3"/>
  <c r="I802" i="3"/>
  <c r="A802" i="3"/>
  <c r="W801" i="3"/>
  <c r="T801" i="3"/>
  <c r="I801" i="3"/>
  <c r="A801" i="3"/>
  <c r="W800" i="3"/>
  <c r="T800" i="3"/>
  <c r="I800" i="3"/>
  <c r="A800" i="3"/>
  <c r="W799" i="3"/>
  <c r="T799" i="3"/>
  <c r="I799" i="3"/>
  <c r="A799" i="3"/>
  <c r="W798" i="3"/>
  <c r="T798" i="3"/>
  <c r="I798" i="3"/>
  <c r="A798" i="3"/>
  <c r="W797" i="3"/>
  <c r="T797" i="3"/>
  <c r="I797" i="3"/>
  <c r="A797" i="3"/>
  <c r="W796" i="3"/>
  <c r="T796" i="3"/>
  <c r="I796" i="3"/>
  <c r="A796" i="3"/>
  <c r="W795" i="3"/>
  <c r="T795" i="3"/>
  <c r="I795" i="3"/>
  <c r="A795" i="3"/>
  <c r="W794" i="3"/>
  <c r="T794" i="3"/>
  <c r="I794" i="3"/>
  <c r="A794" i="3"/>
  <c r="W793" i="3"/>
  <c r="T793" i="3"/>
  <c r="I793" i="3"/>
  <c r="A793" i="3"/>
  <c r="W792" i="3"/>
  <c r="T792" i="3"/>
  <c r="I792" i="3"/>
  <c r="A792" i="3"/>
  <c r="W791" i="3"/>
  <c r="T791" i="3"/>
  <c r="I791" i="3"/>
  <c r="A791" i="3"/>
  <c r="W790" i="3"/>
  <c r="T790" i="3"/>
  <c r="I790" i="3"/>
  <c r="A790" i="3"/>
  <c r="W789" i="3"/>
  <c r="T789" i="3"/>
  <c r="I789" i="3"/>
  <c r="A789" i="3"/>
  <c r="W788" i="3"/>
  <c r="T788" i="3"/>
  <c r="I788" i="3"/>
  <c r="A788" i="3"/>
  <c r="W787" i="3"/>
  <c r="T787" i="3"/>
  <c r="I787" i="3"/>
  <c r="A787" i="3"/>
  <c r="W786" i="3"/>
  <c r="T786" i="3"/>
  <c r="I786" i="3"/>
  <c r="A786" i="3"/>
  <c r="W785" i="3"/>
  <c r="T785" i="3"/>
  <c r="I785" i="3"/>
  <c r="A785" i="3"/>
  <c r="W784" i="3"/>
  <c r="T784" i="3"/>
  <c r="I784" i="3"/>
  <c r="A784" i="3"/>
  <c r="W783" i="3"/>
  <c r="T783" i="3"/>
  <c r="I783" i="3"/>
  <c r="A783" i="3"/>
  <c r="W782" i="3"/>
  <c r="T782" i="3"/>
  <c r="I782" i="3"/>
  <c r="A782" i="3"/>
  <c r="W781" i="3"/>
  <c r="T781" i="3"/>
  <c r="I781" i="3"/>
  <c r="A781" i="3"/>
  <c r="W780" i="3"/>
  <c r="T780" i="3"/>
  <c r="I780" i="3"/>
  <c r="A780" i="3"/>
  <c r="W779" i="3"/>
  <c r="T779" i="3"/>
  <c r="I779" i="3"/>
  <c r="A779" i="3"/>
  <c r="W778" i="3"/>
  <c r="T778" i="3"/>
  <c r="I778" i="3"/>
  <c r="A778" i="3"/>
  <c r="W777" i="3"/>
  <c r="T777" i="3"/>
  <c r="I777" i="3"/>
  <c r="A777" i="3"/>
  <c r="W776" i="3"/>
  <c r="T776" i="3"/>
  <c r="I776" i="3"/>
  <c r="A776" i="3"/>
  <c r="W775" i="3"/>
  <c r="T775" i="3"/>
  <c r="I775" i="3"/>
  <c r="A775" i="3"/>
  <c r="W774" i="3"/>
  <c r="T774" i="3"/>
  <c r="I774" i="3"/>
  <c r="A774" i="3"/>
  <c r="W773" i="3"/>
  <c r="T773" i="3"/>
  <c r="I773" i="3"/>
  <c r="A773" i="3"/>
  <c r="W772" i="3"/>
  <c r="T772" i="3"/>
  <c r="I772" i="3"/>
  <c r="A772" i="3"/>
  <c r="W771" i="3"/>
  <c r="T771" i="3"/>
  <c r="I771" i="3"/>
  <c r="A771" i="3"/>
  <c r="W770" i="3"/>
  <c r="T770" i="3"/>
  <c r="I770" i="3"/>
  <c r="A770" i="3"/>
  <c r="W769" i="3"/>
  <c r="T769" i="3"/>
  <c r="I769" i="3"/>
  <c r="A769" i="3"/>
  <c r="W768" i="3"/>
  <c r="T768" i="3"/>
  <c r="I768" i="3"/>
  <c r="A768" i="3"/>
  <c r="W767" i="3"/>
  <c r="T767" i="3"/>
  <c r="I767" i="3"/>
  <c r="A767" i="3"/>
  <c r="W766" i="3"/>
  <c r="T766" i="3"/>
  <c r="I766" i="3"/>
  <c r="A766" i="3"/>
  <c r="W765" i="3"/>
  <c r="T765" i="3"/>
  <c r="I765" i="3"/>
  <c r="A765" i="3"/>
  <c r="W764" i="3"/>
  <c r="T764" i="3"/>
  <c r="I764" i="3"/>
  <c r="A764" i="3"/>
  <c r="W763" i="3"/>
  <c r="T763" i="3"/>
  <c r="I763" i="3"/>
  <c r="A763" i="3"/>
  <c r="W762" i="3"/>
  <c r="T762" i="3"/>
  <c r="I762" i="3"/>
  <c r="A762" i="3"/>
  <c r="W761" i="3"/>
  <c r="T761" i="3"/>
  <c r="I761" i="3"/>
  <c r="A761" i="3"/>
  <c r="W760" i="3"/>
  <c r="T760" i="3"/>
  <c r="I760" i="3"/>
  <c r="A760" i="3"/>
  <c r="W759" i="3"/>
  <c r="T759" i="3"/>
  <c r="I759" i="3"/>
  <c r="A759" i="3"/>
  <c r="W758" i="3"/>
  <c r="T758" i="3"/>
  <c r="I758" i="3"/>
  <c r="A758" i="3"/>
  <c r="W757" i="3"/>
  <c r="T757" i="3"/>
  <c r="I757" i="3"/>
  <c r="A757" i="3"/>
  <c r="W756" i="3"/>
  <c r="T756" i="3"/>
  <c r="I756" i="3"/>
  <c r="A756" i="3"/>
  <c r="W755" i="3"/>
  <c r="T755" i="3"/>
  <c r="I755" i="3"/>
  <c r="A755" i="3"/>
  <c r="W754" i="3"/>
  <c r="T754" i="3"/>
  <c r="I754" i="3"/>
  <c r="A754" i="3"/>
  <c r="W753" i="3"/>
  <c r="T753" i="3"/>
  <c r="I753" i="3"/>
  <c r="A753" i="3"/>
  <c r="W752" i="3"/>
  <c r="T752" i="3"/>
  <c r="I752" i="3"/>
  <c r="A752" i="3"/>
  <c r="W751" i="3"/>
  <c r="T751" i="3"/>
  <c r="I751" i="3"/>
  <c r="A751" i="3"/>
  <c r="W750" i="3"/>
  <c r="T750" i="3"/>
  <c r="I750" i="3"/>
  <c r="A750" i="3"/>
  <c r="W749" i="3"/>
  <c r="T749" i="3"/>
  <c r="I749" i="3"/>
  <c r="A749" i="3"/>
  <c r="W748" i="3"/>
  <c r="T748" i="3"/>
  <c r="I748" i="3"/>
  <c r="A748" i="3"/>
  <c r="W747" i="3"/>
  <c r="T747" i="3"/>
  <c r="I747" i="3"/>
  <c r="A747" i="3"/>
  <c r="W746" i="3"/>
  <c r="T746" i="3"/>
  <c r="I746" i="3"/>
  <c r="A746" i="3"/>
  <c r="W745" i="3"/>
  <c r="T745" i="3"/>
  <c r="I745" i="3"/>
  <c r="A745" i="3"/>
  <c r="W744" i="3"/>
  <c r="T744" i="3"/>
  <c r="I744" i="3"/>
  <c r="A744" i="3"/>
  <c r="W743" i="3"/>
  <c r="T743" i="3"/>
  <c r="I743" i="3"/>
  <c r="A743" i="3"/>
  <c r="W742" i="3"/>
  <c r="T742" i="3"/>
  <c r="I742" i="3"/>
  <c r="A742" i="3"/>
  <c r="W741" i="3"/>
  <c r="T741" i="3"/>
  <c r="I741" i="3"/>
  <c r="A741" i="3"/>
  <c r="W740" i="3"/>
  <c r="T740" i="3"/>
  <c r="I740" i="3"/>
  <c r="A740" i="3"/>
  <c r="W739" i="3"/>
  <c r="T739" i="3"/>
  <c r="I739" i="3"/>
  <c r="A739" i="3"/>
  <c r="W738" i="3"/>
  <c r="T738" i="3"/>
  <c r="I738" i="3"/>
  <c r="A738" i="3"/>
  <c r="W737" i="3"/>
  <c r="T737" i="3"/>
  <c r="I737" i="3"/>
  <c r="A737" i="3"/>
  <c r="W736" i="3"/>
  <c r="T736" i="3"/>
  <c r="I736" i="3"/>
  <c r="A736" i="3"/>
  <c r="W735" i="3"/>
  <c r="T735" i="3"/>
  <c r="I735" i="3"/>
  <c r="A735" i="3"/>
  <c r="W734" i="3"/>
  <c r="T734" i="3"/>
  <c r="I734" i="3"/>
  <c r="A734" i="3"/>
  <c r="W733" i="3"/>
  <c r="T733" i="3"/>
  <c r="I733" i="3"/>
  <c r="A733" i="3"/>
  <c r="W732" i="3"/>
  <c r="T732" i="3"/>
  <c r="I732" i="3"/>
  <c r="A732" i="3"/>
  <c r="W731" i="3"/>
  <c r="T731" i="3"/>
  <c r="I731" i="3"/>
  <c r="A731" i="3"/>
  <c r="W730" i="3"/>
  <c r="T730" i="3"/>
  <c r="I730" i="3"/>
  <c r="A730" i="3"/>
  <c r="W729" i="3"/>
  <c r="T729" i="3"/>
  <c r="I729" i="3"/>
  <c r="A729" i="3"/>
  <c r="W728" i="3"/>
  <c r="T728" i="3"/>
  <c r="I728" i="3"/>
  <c r="A728" i="3"/>
  <c r="W727" i="3"/>
  <c r="T727" i="3"/>
  <c r="I727" i="3"/>
  <c r="A727" i="3"/>
  <c r="W726" i="3"/>
  <c r="T726" i="3"/>
  <c r="I726" i="3"/>
  <c r="A726" i="3"/>
  <c r="W725" i="3"/>
  <c r="T725" i="3"/>
  <c r="I725" i="3"/>
  <c r="A725" i="3"/>
  <c r="W724" i="3"/>
  <c r="T724" i="3"/>
  <c r="I724" i="3"/>
  <c r="A724" i="3"/>
  <c r="W723" i="3"/>
  <c r="T723" i="3"/>
  <c r="I723" i="3"/>
  <c r="A723" i="3"/>
  <c r="W722" i="3"/>
  <c r="T722" i="3"/>
  <c r="I722" i="3"/>
  <c r="A722" i="3"/>
  <c r="W721" i="3"/>
  <c r="T721" i="3"/>
  <c r="I721" i="3"/>
  <c r="A721" i="3"/>
  <c r="W720" i="3"/>
  <c r="T720" i="3"/>
  <c r="I720" i="3"/>
  <c r="A720" i="3"/>
  <c r="W719" i="3"/>
  <c r="T719" i="3"/>
  <c r="I719" i="3"/>
  <c r="A719" i="3"/>
  <c r="W718" i="3"/>
  <c r="T718" i="3"/>
  <c r="I718" i="3"/>
  <c r="A718" i="3"/>
  <c r="W717" i="3"/>
  <c r="T717" i="3"/>
  <c r="I717" i="3"/>
  <c r="A717" i="3"/>
  <c r="W716" i="3"/>
  <c r="T716" i="3"/>
  <c r="I716" i="3"/>
  <c r="A716" i="3"/>
  <c r="W715" i="3"/>
  <c r="T715" i="3"/>
  <c r="I715" i="3"/>
  <c r="A715" i="3"/>
  <c r="W714" i="3"/>
  <c r="T714" i="3"/>
  <c r="I714" i="3"/>
  <c r="A714" i="3"/>
  <c r="W713" i="3"/>
  <c r="T713" i="3"/>
  <c r="I713" i="3"/>
  <c r="A713" i="3"/>
  <c r="W712" i="3"/>
  <c r="T712" i="3"/>
  <c r="I712" i="3"/>
  <c r="A712" i="3"/>
  <c r="W711" i="3"/>
  <c r="T711" i="3"/>
  <c r="I711" i="3"/>
  <c r="A711" i="3"/>
  <c r="W710" i="3"/>
  <c r="T710" i="3"/>
  <c r="I710" i="3"/>
  <c r="A710" i="3"/>
  <c r="W709" i="3"/>
  <c r="T709" i="3"/>
  <c r="I709" i="3"/>
  <c r="A709" i="3"/>
  <c r="W708" i="3"/>
  <c r="T708" i="3"/>
  <c r="I708" i="3"/>
  <c r="A708" i="3"/>
  <c r="W707" i="3"/>
  <c r="T707" i="3"/>
  <c r="I707" i="3"/>
  <c r="A707" i="3"/>
  <c r="W706" i="3"/>
  <c r="T706" i="3"/>
  <c r="I706" i="3"/>
  <c r="A706" i="3"/>
  <c r="W705" i="3"/>
  <c r="T705" i="3"/>
  <c r="I705" i="3"/>
  <c r="A705" i="3"/>
  <c r="W704" i="3"/>
  <c r="T704" i="3"/>
  <c r="I704" i="3"/>
  <c r="A704" i="3"/>
  <c r="W703" i="3"/>
  <c r="T703" i="3"/>
  <c r="I703" i="3"/>
  <c r="A703" i="3"/>
  <c r="W702" i="3"/>
  <c r="T702" i="3"/>
  <c r="I702" i="3"/>
  <c r="A702" i="3"/>
  <c r="W701" i="3"/>
  <c r="T701" i="3"/>
  <c r="I701" i="3"/>
  <c r="A701" i="3"/>
  <c r="W700" i="3"/>
  <c r="T700" i="3"/>
  <c r="I700" i="3"/>
  <c r="A700" i="3"/>
  <c r="W699" i="3"/>
  <c r="T699" i="3"/>
  <c r="I699" i="3"/>
  <c r="A699" i="3"/>
  <c r="W698" i="3"/>
  <c r="T698" i="3"/>
  <c r="I698" i="3"/>
  <c r="A698" i="3"/>
  <c r="W697" i="3"/>
  <c r="T697" i="3"/>
  <c r="I697" i="3"/>
  <c r="A697" i="3"/>
  <c r="W696" i="3"/>
  <c r="T696" i="3"/>
  <c r="I696" i="3"/>
  <c r="A696" i="3"/>
  <c r="W695" i="3"/>
  <c r="T695" i="3"/>
  <c r="I695" i="3"/>
  <c r="A695" i="3"/>
  <c r="W694" i="3"/>
  <c r="T694" i="3"/>
  <c r="I694" i="3"/>
  <c r="A694" i="3"/>
  <c r="W693" i="3"/>
  <c r="T693" i="3"/>
  <c r="I693" i="3"/>
  <c r="A693" i="3"/>
  <c r="W692" i="3"/>
  <c r="T692" i="3"/>
  <c r="I692" i="3"/>
  <c r="A692" i="3"/>
  <c r="W691" i="3"/>
  <c r="T691" i="3"/>
  <c r="I691" i="3"/>
  <c r="A691" i="3"/>
  <c r="W690" i="3"/>
  <c r="T690" i="3"/>
  <c r="I690" i="3"/>
  <c r="A690" i="3"/>
  <c r="W689" i="3"/>
  <c r="T689" i="3"/>
  <c r="I689" i="3"/>
  <c r="A689" i="3"/>
  <c r="W688" i="3"/>
  <c r="T688" i="3"/>
  <c r="I688" i="3"/>
  <c r="A688" i="3"/>
  <c r="W687" i="3"/>
  <c r="T687" i="3"/>
  <c r="I687" i="3"/>
  <c r="A687" i="3"/>
  <c r="W686" i="3"/>
  <c r="T686" i="3"/>
  <c r="I686" i="3"/>
  <c r="A686" i="3"/>
  <c r="W685" i="3"/>
  <c r="T685" i="3"/>
  <c r="I685" i="3"/>
  <c r="A685" i="3"/>
  <c r="W684" i="3"/>
  <c r="T684" i="3"/>
  <c r="I684" i="3"/>
  <c r="A684" i="3"/>
  <c r="W683" i="3"/>
  <c r="T683" i="3"/>
  <c r="I683" i="3"/>
  <c r="A683" i="3"/>
  <c r="W682" i="3"/>
  <c r="T682" i="3"/>
  <c r="I682" i="3"/>
  <c r="A682" i="3"/>
  <c r="W681" i="3"/>
  <c r="T681" i="3"/>
  <c r="I681" i="3"/>
  <c r="A681" i="3"/>
  <c r="W680" i="3"/>
  <c r="T680" i="3"/>
  <c r="I680" i="3"/>
  <c r="A680" i="3"/>
  <c r="W679" i="3"/>
  <c r="T679" i="3"/>
  <c r="I679" i="3"/>
  <c r="A679" i="3"/>
  <c r="W678" i="3"/>
  <c r="T678" i="3"/>
  <c r="I678" i="3"/>
  <c r="A678" i="3"/>
  <c r="W677" i="3"/>
  <c r="T677" i="3"/>
  <c r="I677" i="3"/>
  <c r="A677" i="3"/>
  <c r="W676" i="3"/>
  <c r="T676" i="3"/>
  <c r="I676" i="3"/>
  <c r="A676" i="3"/>
  <c r="W675" i="3"/>
  <c r="T675" i="3"/>
  <c r="I675" i="3"/>
  <c r="A675" i="3"/>
  <c r="W674" i="3"/>
  <c r="T674" i="3"/>
  <c r="I674" i="3"/>
  <c r="A674" i="3"/>
  <c r="W673" i="3"/>
  <c r="T673" i="3"/>
  <c r="I673" i="3"/>
  <c r="A673" i="3"/>
  <c r="W672" i="3"/>
  <c r="T672" i="3"/>
  <c r="I672" i="3"/>
  <c r="A672" i="3"/>
  <c r="W671" i="3"/>
  <c r="T671" i="3"/>
  <c r="I671" i="3"/>
  <c r="A671" i="3"/>
  <c r="W670" i="3"/>
  <c r="T670" i="3"/>
  <c r="I670" i="3"/>
  <c r="A670" i="3"/>
  <c r="W669" i="3"/>
  <c r="T669" i="3"/>
  <c r="I669" i="3"/>
  <c r="A669" i="3"/>
  <c r="W668" i="3"/>
  <c r="T668" i="3"/>
  <c r="I668" i="3"/>
  <c r="A668" i="3"/>
  <c r="W667" i="3"/>
  <c r="T667" i="3"/>
  <c r="I667" i="3"/>
  <c r="A667" i="3"/>
  <c r="W666" i="3"/>
  <c r="T666" i="3"/>
  <c r="I666" i="3"/>
  <c r="A666" i="3"/>
  <c r="W665" i="3"/>
  <c r="T665" i="3"/>
  <c r="I665" i="3"/>
  <c r="A665" i="3"/>
  <c r="W664" i="3"/>
  <c r="T664" i="3"/>
  <c r="I664" i="3"/>
  <c r="A664" i="3"/>
  <c r="W663" i="3"/>
  <c r="T663" i="3"/>
  <c r="I663" i="3"/>
  <c r="A663" i="3"/>
  <c r="W662" i="3"/>
  <c r="T662" i="3"/>
  <c r="I662" i="3"/>
  <c r="A662" i="3"/>
  <c r="W661" i="3"/>
  <c r="T661" i="3"/>
  <c r="I661" i="3"/>
  <c r="A661" i="3"/>
  <c r="W660" i="3"/>
  <c r="T660" i="3"/>
  <c r="I660" i="3"/>
  <c r="A660" i="3"/>
  <c r="W659" i="3"/>
  <c r="T659" i="3"/>
  <c r="I659" i="3"/>
  <c r="A659" i="3"/>
  <c r="W658" i="3"/>
  <c r="T658" i="3"/>
  <c r="I658" i="3"/>
  <c r="A658" i="3"/>
  <c r="W657" i="3"/>
  <c r="T657" i="3"/>
  <c r="I657" i="3"/>
  <c r="A657" i="3"/>
  <c r="W656" i="3"/>
  <c r="T656" i="3"/>
  <c r="I656" i="3"/>
  <c r="A656" i="3"/>
  <c r="W655" i="3"/>
  <c r="T655" i="3"/>
  <c r="I655" i="3"/>
  <c r="A655" i="3"/>
  <c r="W654" i="3"/>
  <c r="T654" i="3"/>
  <c r="I654" i="3"/>
  <c r="A654" i="3"/>
  <c r="W653" i="3"/>
  <c r="T653" i="3"/>
  <c r="I653" i="3"/>
  <c r="A653" i="3"/>
  <c r="W652" i="3"/>
  <c r="T652" i="3"/>
  <c r="I652" i="3"/>
  <c r="A652" i="3"/>
  <c r="W651" i="3"/>
  <c r="T651" i="3"/>
  <c r="I651" i="3"/>
  <c r="A651" i="3"/>
  <c r="W650" i="3"/>
  <c r="T650" i="3"/>
  <c r="I650" i="3"/>
  <c r="A650" i="3"/>
  <c r="W649" i="3"/>
  <c r="T649" i="3"/>
  <c r="I649" i="3"/>
  <c r="A649" i="3"/>
  <c r="W648" i="3"/>
  <c r="T648" i="3"/>
  <c r="I648" i="3"/>
  <c r="A648" i="3"/>
  <c r="W647" i="3"/>
  <c r="T647" i="3"/>
  <c r="I647" i="3"/>
  <c r="A647" i="3"/>
  <c r="W646" i="3"/>
  <c r="T646" i="3"/>
  <c r="I646" i="3"/>
  <c r="A646" i="3"/>
  <c r="W645" i="3"/>
  <c r="T645" i="3"/>
  <c r="I645" i="3"/>
  <c r="A645" i="3"/>
  <c r="W644" i="3"/>
  <c r="T644" i="3"/>
  <c r="I644" i="3"/>
  <c r="A644" i="3"/>
  <c r="W643" i="3"/>
  <c r="T643" i="3"/>
  <c r="I643" i="3"/>
  <c r="A643" i="3"/>
  <c r="W642" i="3"/>
  <c r="T642" i="3"/>
  <c r="I642" i="3"/>
  <c r="A642" i="3"/>
  <c r="W641" i="3"/>
  <c r="T641" i="3"/>
  <c r="I641" i="3"/>
  <c r="A641" i="3"/>
  <c r="W640" i="3"/>
  <c r="T640" i="3"/>
  <c r="I640" i="3"/>
  <c r="A640" i="3"/>
  <c r="W639" i="3"/>
  <c r="T639" i="3"/>
  <c r="I639" i="3"/>
  <c r="A639" i="3"/>
  <c r="W638" i="3"/>
  <c r="T638" i="3"/>
  <c r="I638" i="3"/>
  <c r="A638" i="3"/>
  <c r="W637" i="3"/>
  <c r="T637" i="3"/>
  <c r="I637" i="3"/>
  <c r="A637" i="3"/>
  <c r="W636" i="3"/>
  <c r="T636" i="3"/>
  <c r="I636" i="3"/>
  <c r="A636" i="3"/>
  <c r="W635" i="3"/>
  <c r="T635" i="3"/>
  <c r="I635" i="3"/>
  <c r="A635" i="3"/>
  <c r="W634" i="3"/>
  <c r="T634" i="3"/>
  <c r="I634" i="3"/>
  <c r="A634" i="3"/>
  <c r="W633" i="3"/>
  <c r="T633" i="3"/>
  <c r="I633" i="3"/>
  <c r="A633" i="3"/>
  <c r="W632" i="3"/>
  <c r="T632" i="3"/>
  <c r="I632" i="3"/>
  <c r="A632" i="3"/>
  <c r="W631" i="3"/>
  <c r="T631" i="3"/>
  <c r="I631" i="3"/>
  <c r="A631" i="3"/>
  <c r="W630" i="3"/>
  <c r="T630" i="3"/>
  <c r="I630" i="3"/>
  <c r="A630" i="3"/>
  <c r="W629" i="3"/>
  <c r="T629" i="3"/>
  <c r="I629" i="3"/>
  <c r="A629" i="3"/>
  <c r="W628" i="3"/>
  <c r="T628" i="3"/>
  <c r="I628" i="3"/>
  <c r="A628" i="3"/>
  <c r="W627" i="3"/>
  <c r="T627" i="3"/>
  <c r="I627" i="3"/>
  <c r="A627" i="3"/>
  <c r="W626" i="3"/>
  <c r="T626" i="3"/>
  <c r="I626" i="3"/>
  <c r="A626" i="3"/>
  <c r="W625" i="3"/>
  <c r="T625" i="3"/>
  <c r="I625" i="3"/>
  <c r="A625" i="3"/>
  <c r="W624" i="3"/>
  <c r="T624" i="3"/>
  <c r="I624" i="3"/>
  <c r="A624" i="3"/>
  <c r="W623" i="3"/>
  <c r="T623" i="3"/>
  <c r="I623" i="3"/>
  <c r="A623" i="3"/>
  <c r="W622" i="3"/>
  <c r="T622" i="3"/>
  <c r="I622" i="3"/>
  <c r="A622" i="3"/>
  <c r="W621" i="3"/>
  <c r="T621" i="3"/>
  <c r="I621" i="3"/>
  <c r="A621" i="3"/>
  <c r="W620" i="3"/>
  <c r="T620" i="3"/>
  <c r="I620" i="3"/>
  <c r="A620" i="3"/>
  <c r="W619" i="3"/>
  <c r="T619" i="3"/>
  <c r="I619" i="3"/>
  <c r="A619" i="3"/>
  <c r="W618" i="3"/>
  <c r="T618" i="3"/>
  <c r="I618" i="3"/>
  <c r="A618" i="3"/>
  <c r="W617" i="3"/>
  <c r="T617" i="3"/>
  <c r="I617" i="3"/>
  <c r="A617" i="3"/>
  <c r="W616" i="3"/>
  <c r="T616" i="3"/>
  <c r="I616" i="3"/>
  <c r="A616" i="3"/>
  <c r="W615" i="3"/>
  <c r="T615" i="3"/>
  <c r="I615" i="3"/>
  <c r="A615" i="3"/>
  <c r="W614" i="3"/>
  <c r="T614" i="3"/>
  <c r="I614" i="3"/>
  <c r="A614" i="3"/>
  <c r="W613" i="3"/>
  <c r="T613" i="3"/>
  <c r="I613" i="3"/>
  <c r="A613" i="3"/>
  <c r="W612" i="3"/>
  <c r="T612" i="3"/>
  <c r="I612" i="3"/>
  <c r="A612" i="3"/>
  <c r="W611" i="3"/>
  <c r="T611" i="3"/>
  <c r="I611" i="3"/>
  <c r="A611" i="3"/>
  <c r="W610" i="3"/>
  <c r="T610" i="3"/>
  <c r="I610" i="3"/>
  <c r="A610" i="3"/>
  <c r="W609" i="3"/>
  <c r="T609" i="3"/>
  <c r="I609" i="3"/>
  <c r="A609" i="3"/>
  <c r="W608" i="3"/>
  <c r="T608" i="3"/>
  <c r="I608" i="3"/>
  <c r="A608" i="3"/>
  <c r="W607" i="3"/>
  <c r="T607" i="3"/>
  <c r="I607" i="3"/>
  <c r="A607" i="3"/>
  <c r="W606" i="3"/>
  <c r="T606" i="3"/>
  <c r="I606" i="3"/>
  <c r="A606" i="3"/>
  <c r="W605" i="3"/>
  <c r="T605" i="3"/>
  <c r="I605" i="3"/>
  <c r="A605" i="3"/>
  <c r="W604" i="3"/>
  <c r="T604" i="3"/>
  <c r="I604" i="3"/>
  <c r="A604" i="3"/>
  <c r="W603" i="3"/>
  <c r="T603" i="3"/>
  <c r="I603" i="3"/>
  <c r="A603" i="3"/>
  <c r="W602" i="3"/>
  <c r="T602" i="3"/>
  <c r="I602" i="3"/>
  <c r="A602" i="3"/>
  <c r="W601" i="3"/>
  <c r="T601" i="3"/>
  <c r="I601" i="3"/>
  <c r="A601" i="3"/>
  <c r="W600" i="3"/>
  <c r="T600" i="3"/>
  <c r="I600" i="3"/>
  <c r="A600" i="3"/>
  <c r="W599" i="3"/>
  <c r="T599" i="3"/>
  <c r="I599" i="3"/>
  <c r="A599" i="3"/>
  <c r="W598" i="3"/>
  <c r="T598" i="3"/>
  <c r="I598" i="3"/>
  <c r="A598" i="3"/>
  <c r="W597" i="3"/>
  <c r="T597" i="3"/>
  <c r="I597" i="3"/>
  <c r="A597" i="3"/>
  <c r="W596" i="3"/>
  <c r="T596" i="3"/>
  <c r="I596" i="3"/>
  <c r="A596" i="3"/>
  <c r="W595" i="3"/>
  <c r="T595" i="3"/>
  <c r="I595" i="3"/>
  <c r="A595" i="3"/>
  <c r="W594" i="3"/>
  <c r="T594" i="3"/>
  <c r="I594" i="3"/>
  <c r="A594" i="3"/>
  <c r="W593" i="3"/>
  <c r="T593" i="3"/>
  <c r="I593" i="3"/>
  <c r="A593" i="3"/>
  <c r="W592" i="3"/>
  <c r="T592" i="3"/>
  <c r="I592" i="3"/>
  <c r="A592" i="3"/>
  <c r="W591" i="3"/>
  <c r="T591" i="3"/>
  <c r="I591" i="3"/>
  <c r="A591" i="3"/>
  <c r="W590" i="3"/>
  <c r="T590" i="3"/>
  <c r="I590" i="3"/>
  <c r="A590" i="3"/>
  <c r="W589" i="3"/>
  <c r="T589" i="3"/>
  <c r="I589" i="3"/>
  <c r="A589" i="3"/>
  <c r="W588" i="3"/>
  <c r="T588" i="3"/>
  <c r="I588" i="3"/>
  <c r="A588" i="3"/>
  <c r="W587" i="3"/>
  <c r="T587" i="3"/>
  <c r="I587" i="3"/>
  <c r="A587" i="3"/>
  <c r="W586" i="3"/>
  <c r="T586" i="3"/>
  <c r="I586" i="3"/>
  <c r="A586" i="3"/>
  <c r="W585" i="3"/>
  <c r="T585" i="3"/>
  <c r="I585" i="3"/>
  <c r="A585" i="3"/>
  <c r="W584" i="3"/>
  <c r="T584" i="3"/>
  <c r="I584" i="3"/>
  <c r="A584" i="3"/>
  <c r="W583" i="3"/>
  <c r="T583" i="3"/>
  <c r="I583" i="3"/>
  <c r="A583" i="3"/>
  <c r="W582" i="3"/>
  <c r="T582" i="3"/>
  <c r="I582" i="3"/>
  <c r="A582" i="3"/>
  <c r="W581" i="3"/>
  <c r="T581" i="3"/>
  <c r="I581" i="3"/>
  <c r="A581" i="3"/>
  <c r="W580" i="3"/>
  <c r="T580" i="3"/>
  <c r="I580" i="3"/>
  <c r="A580" i="3"/>
  <c r="W579" i="3"/>
  <c r="T579" i="3"/>
  <c r="I579" i="3"/>
  <c r="A579" i="3"/>
  <c r="W578" i="3"/>
  <c r="T578" i="3"/>
  <c r="I578" i="3"/>
  <c r="A578" i="3"/>
  <c r="W577" i="3"/>
  <c r="T577" i="3"/>
  <c r="I577" i="3"/>
  <c r="A577" i="3"/>
  <c r="W576" i="3"/>
  <c r="T576" i="3"/>
  <c r="I576" i="3"/>
  <c r="A576" i="3"/>
  <c r="W575" i="3"/>
  <c r="T575" i="3"/>
  <c r="I575" i="3"/>
  <c r="A575" i="3"/>
  <c r="W574" i="3"/>
  <c r="T574" i="3"/>
  <c r="I574" i="3"/>
  <c r="A574" i="3"/>
  <c r="W573" i="3"/>
  <c r="T573" i="3"/>
  <c r="I573" i="3"/>
  <c r="A573" i="3"/>
  <c r="W572" i="3"/>
  <c r="T572" i="3"/>
  <c r="I572" i="3"/>
  <c r="A572" i="3"/>
  <c r="W571" i="3"/>
  <c r="T571" i="3"/>
  <c r="I571" i="3"/>
  <c r="A571" i="3"/>
  <c r="W570" i="3"/>
  <c r="T570" i="3"/>
  <c r="I570" i="3"/>
  <c r="A570" i="3"/>
  <c r="W569" i="3"/>
  <c r="T569" i="3"/>
  <c r="I569" i="3"/>
  <c r="A569" i="3"/>
  <c r="W568" i="3"/>
  <c r="T568" i="3"/>
  <c r="I568" i="3"/>
  <c r="A568" i="3"/>
  <c r="W567" i="3"/>
  <c r="T567" i="3"/>
  <c r="I567" i="3"/>
  <c r="A567" i="3"/>
  <c r="W566" i="3"/>
  <c r="T566" i="3"/>
  <c r="I566" i="3"/>
  <c r="A566" i="3"/>
  <c r="W565" i="3"/>
  <c r="T565" i="3"/>
  <c r="I565" i="3"/>
  <c r="A565" i="3"/>
  <c r="W564" i="3"/>
  <c r="T564" i="3"/>
  <c r="I564" i="3"/>
  <c r="A564" i="3"/>
  <c r="W563" i="3"/>
  <c r="T563" i="3"/>
  <c r="I563" i="3"/>
  <c r="A563" i="3"/>
  <c r="W562" i="3"/>
  <c r="T562" i="3"/>
  <c r="I562" i="3"/>
  <c r="A562" i="3"/>
  <c r="W561" i="3"/>
  <c r="T561" i="3"/>
  <c r="I561" i="3"/>
  <c r="A561" i="3"/>
  <c r="W560" i="3"/>
  <c r="T560" i="3"/>
  <c r="I560" i="3"/>
  <c r="A560" i="3"/>
  <c r="W559" i="3"/>
  <c r="T559" i="3"/>
  <c r="I559" i="3"/>
  <c r="A559" i="3"/>
  <c r="W558" i="3"/>
  <c r="T558" i="3"/>
  <c r="I558" i="3"/>
  <c r="A558" i="3"/>
  <c r="W557" i="3"/>
  <c r="T557" i="3"/>
  <c r="I557" i="3"/>
  <c r="A557" i="3"/>
  <c r="W556" i="3"/>
  <c r="T556" i="3"/>
  <c r="I556" i="3"/>
  <c r="A556" i="3"/>
  <c r="W555" i="3"/>
  <c r="T555" i="3"/>
  <c r="I555" i="3"/>
  <c r="A555" i="3"/>
  <c r="W554" i="3"/>
  <c r="T554" i="3"/>
  <c r="I554" i="3"/>
  <c r="A554" i="3"/>
  <c r="W553" i="3"/>
  <c r="T553" i="3"/>
  <c r="I553" i="3"/>
  <c r="A553" i="3"/>
  <c r="W552" i="3"/>
  <c r="T552" i="3"/>
  <c r="I552" i="3"/>
  <c r="A552" i="3"/>
  <c r="W551" i="3"/>
  <c r="T551" i="3"/>
  <c r="I551" i="3"/>
  <c r="A551" i="3"/>
  <c r="W550" i="3"/>
  <c r="T550" i="3"/>
  <c r="I550" i="3"/>
  <c r="A550" i="3"/>
  <c r="W549" i="3"/>
  <c r="T549" i="3"/>
  <c r="I549" i="3"/>
  <c r="A549" i="3"/>
  <c r="W548" i="3"/>
  <c r="T548" i="3"/>
  <c r="I548" i="3"/>
  <c r="A548" i="3"/>
  <c r="W547" i="3"/>
  <c r="T547" i="3"/>
  <c r="I547" i="3"/>
  <c r="A547" i="3"/>
  <c r="W546" i="3"/>
  <c r="T546" i="3"/>
  <c r="I546" i="3"/>
  <c r="A546" i="3"/>
  <c r="W545" i="3"/>
  <c r="T545" i="3"/>
  <c r="I545" i="3"/>
  <c r="A545" i="3"/>
  <c r="W544" i="3"/>
  <c r="T544" i="3"/>
  <c r="I544" i="3"/>
  <c r="A544" i="3"/>
  <c r="W543" i="3"/>
  <c r="T543" i="3"/>
  <c r="I543" i="3"/>
  <c r="A543" i="3"/>
  <c r="W542" i="3"/>
  <c r="T542" i="3"/>
  <c r="I542" i="3"/>
  <c r="A542" i="3"/>
  <c r="W541" i="3"/>
  <c r="T541" i="3"/>
  <c r="I541" i="3"/>
  <c r="A541" i="3"/>
  <c r="W540" i="3"/>
  <c r="T540" i="3"/>
  <c r="I540" i="3"/>
  <c r="A540" i="3"/>
  <c r="W539" i="3"/>
  <c r="T539" i="3"/>
  <c r="I539" i="3"/>
  <c r="A539" i="3"/>
  <c r="W538" i="3"/>
  <c r="T538" i="3"/>
  <c r="I538" i="3"/>
  <c r="A538" i="3"/>
  <c r="W537" i="3"/>
  <c r="T537" i="3"/>
  <c r="I537" i="3"/>
  <c r="A537" i="3"/>
  <c r="W536" i="3"/>
  <c r="T536" i="3"/>
  <c r="I536" i="3"/>
  <c r="A536" i="3"/>
  <c r="W535" i="3"/>
  <c r="T535" i="3"/>
  <c r="I535" i="3"/>
  <c r="A535" i="3"/>
  <c r="W534" i="3"/>
  <c r="T534" i="3"/>
  <c r="I534" i="3"/>
  <c r="A534" i="3"/>
  <c r="W533" i="3"/>
  <c r="T533" i="3"/>
  <c r="I533" i="3"/>
  <c r="A533" i="3"/>
  <c r="W532" i="3"/>
  <c r="T532" i="3"/>
  <c r="I532" i="3"/>
  <c r="A532" i="3"/>
  <c r="W531" i="3"/>
  <c r="T531" i="3"/>
  <c r="I531" i="3"/>
  <c r="A531" i="3"/>
  <c r="W530" i="3"/>
  <c r="T530" i="3"/>
  <c r="I530" i="3"/>
  <c r="A530" i="3"/>
  <c r="W529" i="3"/>
  <c r="T529" i="3"/>
  <c r="I529" i="3"/>
  <c r="A529" i="3"/>
  <c r="W528" i="3"/>
  <c r="T528" i="3"/>
  <c r="I528" i="3"/>
  <c r="A528" i="3"/>
  <c r="W527" i="3"/>
  <c r="T527" i="3"/>
  <c r="I527" i="3"/>
  <c r="A527" i="3"/>
  <c r="W526" i="3"/>
  <c r="T526" i="3"/>
  <c r="I526" i="3"/>
  <c r="A526" i="3"/>
  <c r="W525" i="3"/>
  <c r="T525" i="3"/>
  <c r="I525" i="3"/>
  <c r="A525" i="3"/>
  <c r="W524" i="3"/>
  <c r="T524" i="3"/>
  <c r="I524" i="3"/>
  <c r="A524" i="3"/>
  <c r="W523" i="3"/>
  <c r="T523" i="3"/>
  <c r="I523" i="3"/>
  <c r="A523" i="3"/>
  <c r="W522" i="3"/>
  <c r="T522" i="3"/>
  <c r="I522" i="3"/>
  <c r="A522" i="3"/>
  <c r="W521" i="3"/>
  <c r="T521" i="3"/>
  <c r="I521" i="3"/>
  <c r="A521" i="3"/>
  <c r="W520" i="3"/>
  <c r="T520" i="3"/>
  <c r="I520" i="3"/>
  <c r="A520" i="3"/>
  <c r="W519" i="3"/>
  <c r="T519" i="3"/>
  <c r="I519" i="3"/>
  <c r="A519" i="3"/>
  <c r="W518" i="3"/>
  <c r="T518" i="3"/>
  <c r="I518" i="3"/>
  <c r="A518" i="3"/>
  <c r="W517" i="3"/>
  <c r="T517" i="3"/>
  <c r="I517" i="3"/>
  <c r="A517" i="3"/>
  <c r="W516" i="3"/>
  <c r="T516" i="3"/>
  <c r="I516" i="3"/>
  <c r="A516" i="3"/>
  <c r="W515" i="3"/>
  <c r="T515" i="3"/>
  <c r="I515" i="3"/>
  <c r="A515" i="3"/>
  <c r="W514" i="3"/>
  <c r="T514" i="3"/>
  <c r="I514" i="3"/>
  <c r="A514" i="3"/>
  <c r="W513" i="3"/>
  <c r="T513" i="3"/>
  <c r="I513" i="3"/>
  <c r="A513" i="3"/>
  <c r="W512" i="3"/>
  <c r="T512" i="3"/>
  <c r="I512" i="3"/>
  <c r="A512" i="3"/>
  <c r="W511" i="3"/>
  <c r="T511" i="3"/>
  <c r="I511" i="3"/>
  <c r="A511" i="3"/>
  <c r="W510" i="3"/>
  <c r="T510" i="3"/>
  <c r="I510" i="3"/>
  <c r="A510" i="3"/>
  <c r="W509" i="3"/>
  <c r="T509" i="3"/>
  <c r="I509" i="3"/>
  <c r="A509" i="3"/>
  <c r="W508" i="3"/>
  <c r="T508" i="3"/>
  <c r="I508" i="3"/>
  <c r="A508" i="3"/>
  <c r="W507" i="3"/>
  <c r="T507" i="3"/>
  <c r="I507" i="3"/>
  <c r="A507" i="3"/>
  <c r="W506" i="3"/>
  <c r="T506" i="3"/>
  <c r="I506" i="3"/>
  <c r="A506" i="3"/>
  <c r="W505" i="3"/>
  <c r="T505" i="3"/>
  <c r="I505" i="3"/>
  <c r="A505" i="3"/>
  <c r="W504" i="3"/>
  <c r="T504" i="3"/>
  <c r="I504" i="3"/>
  <c r="A504" i="3"/>
  <c r="W503" i="3"/>
  <c r="T503" i="3"/>
  <c r="I503" i="3"/>
  <c r="A503" i="3"/>
  <c r="W502" i="3"/>
  <c r="T502" i="3"/>
  <c r="I502" i="3"/>
  <c r="A502" i="3"/>
  <c r="W501" i="3"/>
  <c r="T501" i="3"/>
  <c r="I501" i="3"/>
  <c r="A501" i="3"/>
  <c r="W500" i="3"/>
  <c r="T500" i="3"/>
  <c r="I500" i="3"/>
  <c r="A500" i="3"/>
  <c r="W499" i="3"/>
  <c r="T499" i="3"/>
  <c r="I499" i="3"/>
  <c r="A499" i="3"/>
  <c r="W498" i="3"/>
  <c r="T498" i="3"/>
  <c r="I498" i="3"/>
  <c r="A498" i="3"/>
  <c r="W497" i="3"/>
  <c r="T497" i="3"/>
  <c r="I497" i="3"/>
  <c r="A497" i="3"/>
  <c r="W496" i="3"/>
  <c r="T496" i="3"/>
  <c r="I496" i="3"/>
  <c r="A496" i="3"/>
  <c r="W495" i="3"/>
  <c r="T495" i="3"/>
  <c r="I495" i="3"/>
  <c r="A495" i="3"/>
  <c r="W494" i="3"/>
  <c r="T494" i="3"/>
  <c r="I494" i="3"/>
  <c r="A494" i="3"/>
  <c r="W493" i="3"/>
  <c r="T493" i="3"/>
  <c r="I493" i="3"/>
  <c r="A493" i="3"/>
  <c r="W492" i="3"/>
  <c r="T492" i="3"/>
  <c r="I492" i="3"/>
  <c r="A492" i="3"/>
  <c r="W491" i="3"/>
  <c r="T491" i="3"/>
  <c r="I491" i="3"/>
  <c r="A491" i="3"/>
  <c r="W490" i="3"/>
  <c r="T490" i="3"/>
  <c r="I490" i="3"/>
  <c r="A490" i="3"/>
  <c r="W489" i="3"/>
  <c r="T489" i="3"/>
  <c r="I489" i="3"/>
  <c r="A489" i="3"/>
  <c r="W488" i="3"/>
  <c r="T488" i="3"/>
  <c r="I488" i="3"/>
  <c r="A488" i="3"/>
  <c r="W487" i="3"/>
  <c r="T487" i="3"/>
  <c r="I487" i="3"/>
  <c r="A487" i="3"/>
  <c r="W486" i="3"/>
  <c r="T486" i="3"/>
  <c r="I486" i="3"/>
  <c r="A486" i="3"/>
  <c r="W485" i="3"/>
  <c r="T485" i="3"/>
  <c r="I485" i="3"/>
  <c r="A485" i="3"/>
  <c r="W484" i="3"/>
  <c r="T484" i="3"/>
  <c r="I484" i="3"/>
  <c r="A484" i="3"/>
  <c r="W483" i="3"/>
  <c r="T483" i="3"/>
  <c r="I483" i="3"/>
  <c r="A483" i="3"/>
  <c r="W482" i="3"/>
  <c r="T482" i="3"/>
  <c r="I482" i="3"/>
  <c r="A482" i="3"/>
  <c r="W481" i="3"/>
  <c r="T481" i="3"/>
  <c r="I481" i="3"/>
  <c r="A481" i="3"/>
  <c r="W480" i="3"/>
  <c r="T480" i="3"/>
  <c r="I480" i="3"/>
  <c r="A480" i="3"/>
  <c r="W479" i="3"/>
  <c r="T479" i="3"/>
  <c r="I479" i="3"/>
  <c r="A479" i="3"/>
  <c r="W478" i="3"/>
  <c r="T478" i="3"/>
  <c r="I478" i="3"/>
  <c r="A478" i="3"/>
  <c r="W477" i="3"/>
  <c r="T477" i="3"/>
  <c r="I477" i="3"/>
  <c r="A477" i="3"/>
  <c r="W476" i="3"/>
  <c r="T476" i="3"/>
  <c r="I476" i="3"/>
  <c r="A476" i="3"/>
  <c r="W475" i="3"/>
  <c r="T475" i="3"/>
  <c r="I475" i="3"/>
  <c r="A475" i="3"/>
  <c r="W474" i="3"/>
  <c r="T474" i="3"/>
  <c r="I474" i="3"/>
  <c r="A474" i="3"/>
  <c r="W473" i="3"/>
  <c r="T473" i="3"/>
  <c r="I473" i="3"/>
  <c r="A473" i="3"/>
  <c r="W472" i="3"/>
  <c r="T472" i="3"/>
  <c r="I472" i="3"/>
  <c r="A472" i="3"/>
  <c r="W471" i="3"/>
  <c r="T471" i="3"/>
  <c r="I471" i="3"/>
  <c r="A471" i="3"/>
  <c r="W470" i="3"/>
  <c r="T470" i="3"/>
  <c r="I470" i="3"/>
  <c r="A470" i="3"/>
  <c r="W469" i="3"/>
  <c r="T469" i="3"/>
  <c r="I469" i="3"/>
  <c r="A469" i="3"/>
  <c r="W468" i="3"/>
  <c r="T468" i="3"/>
  <c r="I468" i="3"/>
  <c r="A468" i="3"/>
  <c r="W467" i="3"/>
  <c r="T467" i="3"/>
  <c r="I467" i="3"/>
  <c r="A467" i="3"/>
  <c r="W466" i="3"/>
  <c r="T466" i="3"/>
  <c r="I466" i="3"/>
  <c r="A466" i="3"/>
  <c r="W465" i="3"/>
  <c r="T465" i="3"/>
  <c r="I465" i="3"/>
  <c r="A465" i="3"/>
  <c r="W464" i="3"/>
  <c r="T464" i="3"/>
  <c r="I464" i="3"/>
  <c r="A464" i="3"/>
  <c r="W463" i="3"/>
  <c r="T463" i="3"/>
  <c r="I463" i="3"/>
  <c r="A463" i="3"/>
  <c r="W462" i="3"/>
  <c r="T462" i="3"/>
  <c r="I462" i="3"/>
  <c r="A462" i="3"/>
  <c r="W461" i="3"/>
  <c r="T461" i="3"/>
  <c r="I461" i="3"/>
  <c r="A461" i="3"/>
  <c r="W460" i="3"/>
  <c r="T460" i="3"/>
  <c r="I460" i="3"/>
  <c r="A460" i="3"/>
  <c r="W459" i="3"/>
  <c r="T459" i="3"/>
  <c r="I459" i="3"/>
  <c r="A459" i="3"/>
  <c r="W458" i="3"/>
  <c r="T458" i="3"/>
  <c r="I458" i="3"/>
  <c r="A458" i="3"/>
  <c r="W457" i="3"/>
  <c r="T457" i="3"/>
  <c r="I457" i="3"/>
  <c r="A457" i="3"/>
  <c r="W456" i="3"/>
  <c r="T456" i="3"/>
  <c r="I456" i="3"/>
  <c r="A456" i="3"/>
  <c r="W455" i="3"/>
  <c r="T455" i="3"/>
  <c r="I455" i="3"/>
  <c r="A455" i="3"/>
  <c r="W454" i="3"/>
  <c r="T454" i="3"/>
  <c r="I454" i="3"/>
  <c r="A454" i="3"/>
  <c r="W453" i="3"/>
  <c r="T453" i="3"/>
  <c r="I453" i="3"/>
  <c r="A453" i="3"/>
  <c r="W452" i="3"/>
  <c r="T452" i="3"/>
  <c r="I452" i="3"/>
  <c r="A452" i="3"/>
  <c r="W451" i="3"/>
  <c r="T451" i="3"/>
  <c r="I451" i="3"/>
  <c r="A451" i="3"/>
  <c r="W450" i="3"/>
  <c r="T450" i="3"/>
  <c r="I450" i="3"/>
  <c r="A450" i="3"/>
  <c r="W449" i="3"/>
  <c r="T449" i="3"/>
  <c r="I449" i="3"/>
  <c r="A449" i="3"/>
  <c r="W448" i="3"/>
  <c r="T448" i="3"/>
  <c r="I448" i="3"/>
  <c r="A448" i="3"/>
  <c r="W447" i="3"/>
  <c r="T447" i="3"/>
  <c r="I447" i="3"/>
  <c r="A447" i="3"/>
  <c r="W446" i="3"/>
  <c r="T446" i="3"/>
  <c r="I446" i="3"/>
  <c r="A446" i="3"/>
  <c r="W445" i="3"/>
  <c r="T445" i="3"/>
  <c r="I445" i="3"/>
  <c r="A445" i="3"/>
  <c r="W444" i="3"/>
  <c r="T444" i="3"/>
  <c r="I444" i="3"/>
  <c r="A444" i="3"/>
  <c r="W443" i="3"/>
  <c r="T443" i="3"/>
  <c r="I443" i="3"/>
  <c r="A443" i="3"/>
  <c r="W442" i="3"/>
  <c r="T442" i="3"/>
  <c r="I442" i="3"/>
  <c r="A442" i="3"/>
  <c r="W441" i="3"/>
  <c r="T441" i="3"/>
  <c r="I441" i="3"/>
  <c r="A441" i="3"/>
  <c r="W440" i="3"/>
  <c r="T440" i="3"/>
  <c r="I440" i="3"/>
  <c r="A440" i="3"/>
  <c r="W439" i="3"/>
  <c r="T439" i="3"/>
  <c r="I439" i="3"/>
  <c r="A439" i="3"/>
  <c r="W438" i="3"/>
  <c r="T438" i="3"/>
  <c r="I438" i="3"/>
  <c r="A438" i="3"/>
  <c r="W437" i="3"/>
  <c r="T437" i="3"/>
  <c r="I437" i="3"/>
  <c r="A437" i="3"/>
  <c r="W436" i="3"/>
  <c r="T436" i="3"/>
  <c r="I436" i="3"/>
  <c r="A436" i="3"/>
  <c r="W435" i="3"/>
  <c r="T435" i="3"/>
  <c r="I435" i="3"/>
  <c r="A435" i="3"/>
  <c r="W434" i="3"/>
  <c r="T434" i="3"/>
  <c r="I434" i="3"/>
  <c r="A434" i="3"/>
  <c r="W433" i="3"/>
  <c r="T433" i="3"/>
  <c r="I433" i="3"/>
  <c r="A433" i="3"/>
  <c r="W432" i="3"/>
  <c r="T432" i="3"/>
  <c r="I432" i="3"/>
  <c r="A432" i="3"/>
  <c r="W431" i="3"/>
  <c r="T431" i="3"/>
  <c r="I431" i="3"/>
  <c r="A431" i="3"/>
  <c r="W430" i="3"/>
  <c r="T430" i="3"/>
  <c r="I430" i="3"/>
  <c r="A430" i="3"/>
  <c r="W429" i="3"/>
  <c r="T429" i="3"/>
  <c r="I429" i="3"/>
  <c r="A429" i="3"/>
  <c r="W428" i="3"/>
  <c r="T428" i="3"/>
  <c r="I428" i="3"/>
  <c r="A428" i="3"/>
  <c r="W427" i="3"/>
  <c r="T427" i="3"/>
  <c r="I427" i="3"/>
  <c r="A427" i="3"/>
  <c r="W426" i="3"/>
  <c r="T426" i="3"/>
  <c r="I426" i="3"/>
  <c r="A426" i="3"/>
  <c r="W425" i="3"/>
  <c r="T425" i="3"/>
  <c r="I425" i="3"/>
  <c r="A425" i="3"/>
  <c r="W424" i="3"/>
  <c r="T424" i="3"/>
  <c r="I424" i="3"/>
  <c r="A424" i="3"/>
  <c r="W423" i="3"/>
  <c r="T423" i="3"/>
  <c r="I423" i="3"/>
  <c r="A423" i="3"/>
  <c r="W422" i="3"/>
  <c r="T422" i="3"/>
  <c r="I422" i="3"/>
  <c r="A422" i="3"/>
  <c r="W421" i="3"/>
  <c r="T421" i="3"/>
  <c r="I421" i="3"/>
  <c r="A421" i="3"/>
  <c r="W420" i="3"/>
  <c r="T420" i="3"/>
  <c r="I420" i="3"/>
  <c r="A420" i="3"/>
  <c r="W419" i="3"/>
  <c r="T419" i="3"/>
  <c r="I419" i="3"/>
  <c r="A419" i="3"/>
  <c r="W418" i="3"/>
  <c r="T418" i="3"/>
  <c r="I418" i="3"/>
  <c r="A418" i="3"/>
  <c r="W417" i="3"/>
  <c r="T417" i="3"/>
  <c r="I417" i="3"/>
  <c r="A417" i="3"/>
  <c r="W416" i="3"/>
  <c r="T416" i="3"/>
  <c r="I416" i="3"/>
  <c r="A416" i="3"/>
  <c r="W415" i="3"/>
  <c r="T415" i="3"/>
  <c r="I415" i="3"/>
  <c r="A415" i="3"/>
  <c r="W414" i="3"/>
  <c r="T414" i="3"/>
  <c r="I414" i="3"/>
  <c r="A414" i="3"/>
  <c r="W413" i="3"/>
  <c r="T413" i="3"/>
  <c r="I413" i="3"/>
  <c r="A413" i="3"/>
  <c r="W412" i="3"/>
  <c r="T412" i="3"/>
  <c r="I412" i="3"/>
  <c r="A412" i="3"/>
  <c r="W411" i="3"/>
  <c r="T411" i="3"/>
  <c r="I411" i="3"/>
  <c r="A411" i="3"/>
  <c r="W410" i="3"/>
  <c r="T410" i="3"/>
  <c r="I410" i="3"/>
  <c r="A410" i="3"/>
  <c r="W409" i="3"/>
  <c r="T409" i="3"/>
  <c r="I409" i="3"/>
  <c r="A409" i="3"/>
  <c r="W408" i="3"/>
  <c r="T408" i="3"/>
  <c r="I408" i="3"/>
  <c r="A408" i="3"/>
  <c r="W407" i="3"/>
  <c r="T407" i="3"/>
  <c r="I407" i="3"/>
  <c r="A407" i="3"/>
  <c r="W406" i="3"/>
  <c r="T406" i="3"/>
  <c r="I406" i="3"/>
  <c r="A406" i="3"/>
  <c r="W405" i="3"/>
  <c r="T405" i="3"/>
  <c r="I405" i="3"/>
  <c r="A405" i="3"/>
  <c r="W404" i="3"/>
  <c r="T404" i="3"/>
  <c r="I404" i="3"/>
  <c r="A404" i="3"/>
  <c r="W403" i="3"/>
  <c r="T403" i="3"/>
  <c r="I403" i="3"/>
  <c r="A403" i="3"/>
  <c r="W402" i="3"/>
  <c r="T402" i="3"/>
  <c r="I402" i="3"/>
  <c r="A402" i="3"/>
  <c r="W401" i="3"/>
  <c r="T401" i="3"/>
  <c r="I401" i="3"/>
  <c r="A401" i="3"/>
  <c r="W400" i="3"/>
  <c r="T400" i="3"/>
  <c r="I400" i="3"/>
  <c r="A400" i="3"/>
  <c r="W399" i="3"/>
  <c r="T399" i="3"/>
  <c r="I399" i="3"/>
  <c r="A399" i="3"/>
  <c r="W398" i="3"/>
  <c r="T398" i="3"/>
  <c r="I398" i="3"/>
  <c r="A398" i="3"/>
  <c r="W397" i="3"/>
  <c r="T397" i="3"/>
  <c r="I397" i="3"/>
  <c r="A397" i="3"/>
  <c r="W396" i="3"/>
  <c r="T396" i="3"/>
  <c r="I396" i="3"/>
  <c r="A396" i="3"/>
  <c r="W395" i="3"/>
  <c r="T395" i="3"/>
  <c r="I395" i="3"/>
  <c r="A395" i="3"/>
  <c r="W394" i="3"/>
  <c r="T394" i="3"/>
  <c r="I394" i="3"/>
  <c r="A394" i="3"/>
  <c r="W393" i="3"/>
  <c r="T393" i="3"/>
  <c r="I393" i="3"/>
  <c r="A393" i="3"/>
  <c r="W392" i="3"/>
  <c r="T392" i="3"/>
  <c r="I392" i="3"/>
  <c r="A392" i="3"/>
  <c r="W391" i="3"/>
  <c r="T391" i="3"/>
  <c r="I391" i="3"/>
  <c r="A391" i="3"/>
  <c r="W390" i="3"/>
  <c r="T390" i="3"/>
  <c r="I390" i="3"/>
  <c r="A390" i="3"/>
  <c r="W389" i="3"/>
  <c r="T389" i="3"/>
  <c r="I389" i="3"/>
  <c r="A389" i="3"/>
  <c r="W388" i="3"/>
  <c r="T388" i="3"/>
  <c r="I388" i="3"/>
  <c r="A388" i="3"/>
  <c r="W387" i="3"/>
  <c r="T387" i="3"/>
  <c r="I387" i="3"/>
  <c r="A387" i="3"/>
  <c r="W386" i="3"/>
  <c r="T386" i="3"/>
  <c r="I386" i="3"/>
  <c r="A386" i="3"/>
  <c r="W385" i="3"/>
  <c r="T385" i="3"/>
  <c r="I385" i="3"/>
  <c r="A385" i="3"/>
  <c r="W384" i="3"/>
  <c r="T384" i="3"/>
  <c r="I384" i="3"/>
  <c r="A384" i="3"/>
  <c r="W383" i="3"/>
  <c r="T383" i="3"/>
  <c r="I383" i="3"/>
  <c r="A383" i="3"/>
  <c r="W382" i="3"/>
  <c r="T382" i="3"/>
  <c r="I382" i="3"/>
  <c r="A382" i="3"/>
  <c r="W381" i="3"/>
  <c r="T381" i="3"/>
  <c r="I381" i="3"/>
  <c r="A381" i="3"/>
  <c r="W380" i="3"/>
  <c r="T380" i="3"/>
  <c r="I380" i="3"/>
  <c r="A380" i="3"/>
  <c r="W379" i="3"/>
  <c r="T379" i="3"/>
  <c r="I379" i="3"/>
  <c r="A379" i="3"/>
  <c r="W378" i="3"/>
  <c r="T378" i="3"/>
  <c r="I378" i="3"/>
  <c r="A378" i="3"/>
  <c r="W377" i="3"/>
  <c r="T377" i="3"/>
  <c r="I377" i="3"/>
  <c r="A377" i="3"/>
  <c r="W376" i="3"/>
  <c r="T376" i="3"/>
  <c r="I376" i="3"/>
  <c r="A376" i="3"/>
  <c r="W375" i="3"/>
  <c r="T375" i="3"/>
  <c r="I375" i="3"/>
  <c r="A375" i="3"/>
  <c r="W374" i="3"/>
  <c r="T374" i="3"/>
  <c r="I374" i="3"/>
  <c r="A374" i="3"/>
  <c r="W373" i="3"/>
  <c r="T373" i="3"/>
  <c r="I373" i="3"/>
  <c r="A373" i="3"/>
  <c r="W372" i="3"/>
  <c r="T372" i="3"/>
  <c r="I372" i="3"/>
  <c r="A372" i="3"/>
  <c r="W371" i="3"/>
  <c r="T371" i="3"/>
  <c r="I371" i="3"/>
  <c r="A371" i="3"/>
  <c r="W370" i="3"/>
  <c r="T370" i="3"/>
  <c r="I370" i="3"/>
  <c r="A370" i="3"/>
  <c r="W369" i="3"/>
  <c r="T369" i="3"/>
  <c r="I369" i="3"/>
  <c r="A369" i="3"/>
  <c r="W368" i="3"/>
  <c r="T368" i="3"/>
  <c r="I368" i="3"/>
  <c r="A368" i="3"/>
  <c r="W367" i="3"/>
  <c r="T367" i="3"/>
  <c r="I367" i="3"/>
  <c r="A367" i="3"/>
  <c r="W366" i="3"/>
  <c r="T366" i="3"/>
  <c r="I366" i="3"/>
  <c r="A366" i="3"/>
  <c r="W365" i="3"/>
  <c r="T365" i="3"/>
  <c r="I365" i="3"/>
  <c r="A365" i="3"/>
  <c r="W364" i="3"/>
  <c r="T364" i="3"/>
  <c r="I364" i="3"/>
  <c r="A364" i="3"/>
  <c r="W363" i="3"/>
  <c r="T363" i="3"/>
  <c r="I363" i="3"/>
  <c r="A363" i="3"/>
  <c r="W362" i="3"/>
  <c r="T362" i="3"/>
  <c r="I362" i="3"/>
  <c r="A362" i="3"/>
  <c r="W361" i="3"/>
  <c r="T361" i="3"/>
  <c r="I361" i="3"/>
  <c r="A361" i="3"/>
  <c r="W360" i="3"/>
  <c r="T360" i="3"/>
  <c r="I360" i="3"/>
  <c r="A360" i="3"/>
  <c r="W359" i="3"/>
  <c r="T359" i="3"/>
  <c r="I359" i="3"/>
  <c r="A359" i="3"/>
  <c r="W358" i="3"/>
  <c r="T358" i="3"/>
  <c r="I358" i="3"/>
  <c r="A358" i="3"/>
  <c r="W357" i="3"/>
  <c r="T357" i="3"/>
  <c r="I357" i="3"/>
  <c r="A357" i="3"/>
  <c r="W356" i="3"/>
  <c r="T356" i="3"/>
  <c r="I356" i="3"/>
  <c r="A356" i="3"/>
  <c r="W355" i="3"/>
  <c r="T355" i="3"/>
  <c r="I355" i="3"/>
  <c r="A355" i="3"/>
  <c r="W354" i="3"/>
  <c r="T354" i="3"/>
  <c r="I354" i="3"/>
  <c r="A354" i="3"/>
  <c r="W353" i="3"/>
  <c r="T353" i="3"/>
  <c r="I353" i="3"/>
  <c r="A353" i="3"/>
  <c r="W352" i="3"/>
  <c r="T352" i="3"/>
  <c r="I352" i="3"/>
  <c r="A352" i="3"/>
  <c r="W351" i="3"/>
  <c r="T351" i="3"/>
  <c r="I351" i="3"/>
  <c r="A351" i="3"/>
  <c r="W350" i="3"/>
  <c r="T350" i="3"/>
  <c r="I350" i="3"/>
  <c r="A350" i="3"/>
  <c r="W349" i="3"/>
  <c r="T349" i="3"/>
  <c r="I349" i="3"/>
  <c r="A349" i="3"/>
  <c r="W348" i="3"/>
  <c r="T348" i="3"/>
  <c r="I348" i="3"/>
  <c r="A348" i="3"/>
  <c r="W347" i="3"/>
  <c r="T347" i="3"/>
  <c r="I347" i="3"/>
  <c r="A347" i="3"/>
  <c r="W346" i="3"/>
  <c r="T346" i="3"/>
  <c r="I346" i="3"/>
  <c r="A346" i="3"/>
  <c r="W345" i="3"/>
  <c r="T345" i="3"/>
  <c r="I345" i="3"/>
  <c r="A345" i="3"/>
  <c r="W344" i="3"/>
  <c r="T344" i="3"/>
  <c r="I344" i="3"/>
  <c r="A344" i="3"/>
  <c r="W343" i="3"/>
  <c r="T343" i="3"/>
  <c r="I343" i="3"/>
  <c r="A343" i="3"/>
  <c r="W342" i="3"/>
  <c r="T342" i="3"/>
  <c r="I342" i="3"/>
  <c r="A342" i="3"/>
  <c r="W341" i="3"/>
  <c r="T341" i="3"/>
  <c r="I341" i="3"/>
  <c r="A341" i="3"/>
  <c r="W340" i="3"/>
  <c r="T340" i="3"/>
  <c r="I340" i="3"/>
  <c r="A340" i="3"/>
  <c r="W339" i="3"/>
  <c r="T339" i="3"/>
  <c r="I339" i="3"/>
  <c r="A339" i="3"/>
  <c r="W338" i="3"/>
  <c r="T338" i="3"/>
  <c r="I338" i="3"/>
  <c r="A338" i="3"/>
  <c r="W337" i="3"/>
  <c r="T337" i="3"/>
  <c r="I337" i="3"/>
  <c r="A337" i="3"/>
  <c r="W336" i="3"/>
  <c r="T336" i="3"/>
  <c r="I336" i="3"/>
  <c r="A336" i="3"/>
  <c r="W335" i="3"/>
  <c r="T335" i="3"/>
  <c r="I335" i="3"/>
  <c r="A335" i="3"/>
  <c r="W334" i="3"/>
  <c r="T334" i="3"/>
  <c r="I334" i="3"/>
  <c r="A334" i="3"/>
  <c r="W333" i="3"/>
  <c r="T333" i="3"/>
  <c r="I333" i="3"/>
  <c r="A333" i="3"/>
  <c r="W332" i="3"/>
  <c r="T332" i="3"/>
  <c r="I332" i="3"/>
  <c r="A332" i="3"/>
  <c r="W331" i="3"/>
  <c r="T331" i="3"/>
  <c r="I331" i="3"/>
  <c r="A331" i="3"/>
  <c r="W330" i="3"/>
  <c r="T330" i="3"/>
  <c r="I330" i="3"/>
  <c r="A330" i="3"/>
  <c r="W329" i="3"/>
  <c r="T329" i="3"/>
  <c r="I329" i="3"/>
  <c r="A329" i="3"/>
  <c r="W328" i="3"/>
  <c r="T328" i="3"/>
  <c r="I328" i="3"/>
  <c r="A328" i="3"/>
  <c r="W327" i="3"/>
  <c r="T327" i="3"/>
  <c r="I327" i="3"/>
  <c r="A327" i="3"/>
  <c r="W326" i="3"/>
  <c r="T326" i="3"/>
  <c r="I326" i="3"/>
  <c r="A326" i="3"/>
  <c r="W325" i="3"/>
  <c r="T325" i="3"/>
  <c r="I325" i="3"/>
  <c r="A325" i="3"/>
  <c r="W324" i="3"/>
  <c r="T324" i="3"/>
  <c r="I324" i="3"/>
  <c r="A324" i="3"/>
  <c r="W323" i="3"/>
  <c r="T323" i="3"/>
  <c r="I323" i="3"/>
  <c r="A323" i="3"/>
  <c r="W322" i="3"/>
  <c r="T322" i="3"/>
  <c r="I322" i="3"/>
  <c r="A322" i="3"/>
  <c r="W321" i="3"/>
  <c r="T321" i="3"/>
  <c r="I321" i="3"/>
  <c r="A321" i="3"/>
  <c r="W320" i="3"/>
  <c r="T320" i="3"/>
  <c r="I320" i="3"/>
  <c r="A320" i="3"/>
  <c r="W319" i="3"/>
  <c r="T319" i="3"/>
  <c r="I319" i="3"/>
  <c r="A319" i="3"/>
  <c r="W318" i="3"/>
  <c r="T318" i="3"/>
  <c r="I318" i="3"/>
  <c r="A318" i="3"/>
  <c r="W317" i="3"/>
  <c r="T317" i="3"/>
  <c r="I317" i="3"/>
  <c r="A317" i="3"/>
  <c r="W316" i="3"/>
  <c r="T316" i="3"/>
  <c r="I316" i="3"/>
  <c r="A316" i="3"/>
  <c r="W315" i="3"/>
  <c r="T315" i="3"/>
  <c r="I315" i="3"/>
  <c r="A315" i="3"/>
  <c r="W314" i="3"/>
  <c r="T314" i="3"/>
  <c r="I314" i="3"/>
  <c r="A314" i="3"/>
  <c r="W313" i="3"/>
  <c r="T313" i="3"/>
  <c r="I313" i="3"/>
  <c r="A313" i="3"/>
  <c r="W312" i="3"/>
  <c r="T312" i="3"/>
  <c r="I312" i="3"/>
  <c r="A312" i="3"/>
  <c r="W311" i="3"/>
  <c r="T311" i="3"/>
  <c r="I311" i="3"/>
  <c r="A311" i="3"/>
  <c r="W310" i="3"/>
  <c r="T310" i="3"/>
  <c r="I310" i="3"/>
  <c r="A310" i="3"/>
  <c r="W309" i="3"/>
  <c r="T309" i="3"/>
  <c r="I309" i="3"/>
  <c r="A309" i="3"/>
  <c r="W308" i="3"/>
  <c r="T308" i="3"/>
  <c r="I308" i="3"/>
  <c r="A308" i="3"/>
  <c r="W307" i="3"/>
  <c r="T307" i="3"/>
  <c r="I307" i="3"/>
  <c r="A307" i="3"/>
  <c r="W306" i="3"/>
  <c r="T306" i="3"/>
  <c r="I306" i="3"/>
  <c r="A306" i="3"/>
  <c r="W305" i="3"/>
  <c r="T305" i="3"/>
  <c r="I305" i="3"/>
  <c r="A305" i="3"/>
  <c r="W304" i="3"/>
  <c r="T304" i="3"/>
  <c r="I304" i="3"/>
  <c r="A304" i="3"/>
  <c r="W303" i="3"/>
  <c r="T303" i="3"/>
  <c r="I303" i="3"/>
  <c r="A303" i="3"/>
  <c r="W302" i="3"/>
  <c r="T302" i="3"/>
  <c r="I302" i="3"/>
  <c r="A302" i="3"/>
  <c r="W301" i="3"/>
  <c r="T301" i="3"/>
  <c r="I301" i="3"/>
  <c r="A301" i="3"/>
  <c r="W300" i="3"/>
  <c r="T300" i="3"/>
  <c r="I300" i="3"/>
  <c r="A300" i="3"/>
  <c r="W299" i="3"/>
  <c r="T299" i="3"/>
  <c r="I299" i="3"/>
  <c r="A299" i="3"/>
  <c r="W298" i="3"/>
  <c r="T298" i="3"/>
  <c r="I298" i="3"/>
  <c r="A298" i="3"/>
  <c r="W297" i="3"/>
  <c r="T297" i="3"/>
  <c r="I297" i="3"/>
  <c r="A297" i="3"/>
  <c r="W296" i="3"/>
  <c r="T296" i="3"/>
  <c r="I296" i="3"/>
  <c r="A296" i="3"/>
  <c r="W295" i="3"/>
  <c r="T295" i="3"/>
  <c r="I295" i="3"/>
  <c r="A295" i="3"/>
  <c r="W294" i="3"/>
  <c r="T294" i="3"/>
  <c r="I294" i="3"/>
  <c r="A294" i="3"/>
  <c r="W293" i="3"/>
  <c r="T293" i="3"/>
  <c r="I293" i="3"/>
  <c r="A293" i="3"/>
  <c r="W292" i="3"/>
  <c r="T292" i="3"/>
  <c r="I292" i="3"/>
  <c r="A292" i="3"/>
  <c r="W291" i="3"/>
  <c r="T291" i="3"/>
  <c r="I291" i="3"/>
  <c r="A291" i="3"/>
  <c r="W290" i="3"/>
  <c r="T290" i="3"/>
  <c r="I290" i="3"/>
  <c r="A290" i="3"/>
  <c r="W289" i="3"/>
  <c r="T289" i="3"/>
  <c r="I289" i="3"/>
  <c r="A289" i="3"/>
  <c r="W288" i="3"/>
  <c r="T288" i="3"/>
  <c r="I288" i="3"/>
  <c r="A288" i="3"/>
  <c r="W287" i="3"/>
  <c r="T287" i="3"/>
  <c r="I287" i="3"/>
  <c r="A287" i="3"/>
  <c r="W286" i="3"/>
  <c r="T286" i="3"/>
  <c r="I286" i="3"/>
  <c r="A286" i="3"/>
  <c r="W285" i="3"/>
  <c r="T285" i="3"/>
  <c r="I285" i="3"/>
  <c r="A285" i="3"/>
  <c r="W284" i="3"/>
  <c r="T284" i="3"/>
  <c r="I284" i="3"/>
  <c r="A284" i="3"/>
  <c r="W283" i="3"/>
  <c r="T283" i="3"/>
  <c r="I283" i="3"/>
  <c r="A283" i="3"/>
  <c r="W282" i="3"/>
  <c r="T282" i="3"/>
  <c r="I282" i="3"/>
  <c r="A282" i="3"/>
  <c r="W281" i="3"/>
  <c r="T281" i="3"/>
  <c r="I281" i="3"/>
  <c r="A281" i="3"/>
  <c r="W280" i="3"/>
  <c r="T280" i="3"/>
  <c r="I280" i="3"/>
  <c r="A280" i="3"/>
  <c r="W279" i="3"/>
  <c r="T279" i="3"/>
  <c r="I279" i="3"/>
  <c r="A279" i="3"/>
  <c r="W278" i="3"/>
  <c r="T278" i="3"/>
  <c r="I278" i="3"/>
  <c r="A278" i="3"/>
  <c r="W277" i="3"/>
  <c r="T277" i="3"/>
  <c r="I277" i="3"/>
  <c r="A277" i="3"/>
  <c r="W276" i="3"/>
  <c r="T276" i="3"/>
  <c r="I276" i="3"/>
  <c r="A276" i="3"/>
  <c r="W275" i="3"/>
  <c r="T275" i="3"/>
  <c r="I275" i="3"/>
  <c r="A275" i="3"/>
  <c r="W274" i="3"/>
  <c r="T274" i="3"/>
  <c r="I274" i="3"/>
  <c r="A274" i="3"/>
  <c r="W273" i="3"/>
  <c r="T273" i="3"/>
  <c r="I273" i="3"/>
  <c r="A273" i="3"/>
  <c r="W272" i="3"/>
  <c r="T272" i="3"/>
  <c r="I272" i="3"/>
  <c r="A272" i="3"/>
  <c r="W271" i="3"/>
  <c r="T271" i="3"/>
  <c r="I271" i="3"/>
  <c r="A271" i="3"/>
  <c r="W270" i="3"/>
  <c r="T270" i="3"/>
  <c r="I270" i="3"/>
  <c r="A270" i="3"/>
  <c r="W269" i="3"/>
  <c r="T269" i="3"/>
  <c r="I269" i="3"/>
  <c r="A269" i="3"/>
  <c r="W268" i="3"/>
  <c r="T268" i="3"/>
  <c r="I268" i="3"/>
  <c r="A268" i="3"/>
  <c r="W267" i="3"/>
  <c r="T267" i="3"/>
  <c r="I267" i="3"/>
  <c r="A267" i="3"/>
  <c r="W266" i="3"/>
  <c r="T266" i="3"/>
  <c r="I266" i="3"/>
  <c r="A266" i="3"/>
  <c r="W265" i="3"/>
  <c r="T265" i="3"/>
  <c r="I265" i="3"/>
  <c r="A265" i="3"/>
  <c r="W264" i="3"/>
  <c r="T264" i="3"/>
  <c r="I264" i="3"/>
  <c r="A264" i="3"/>
  <c r="W263" i="3"/>
  <c r="T263" i="3"/>
  <c r="I263" i="3"/>
  <c r="A263" i="3"/>
  <c r="W262" i="3"/>
  <c r="T262" i="3"/>
  <c r="I262" i="3"/>
  <c r="A262" i="3"/>
  <c r="W261" i="3"/>
  <c r="T261" i="3"/>
  <c r="I261" i="3"/>
  <c r="A261" i="3"/>
  <c r="W260" i="3"/>
  <c r="T260" i="3"/>
  <c r="I260" i="3"/>
  <c r="A260" i="3"/>
  <c r="W259" i="3"/>
  <c r="T259" i="3"/>
  <c r="I259" i="3"/>
  <c r="A259" i="3"/>
  <c r="W258" i="3"/>
  <c r="T258" i="3"/>
  <c r="I258" i="3"/>
  <c r="A258" i="3"/>
  <c r="W257" i="3"/>
  <c r="T257" i="3"/>
  <c r="I257" i="3"/>
  <c r="A257" i="3"/>
  <c r="W256" i="3"/>
  <c r="T256" i="3"/>
  <c r="I256" i="3"/>
  <c r="A256" i="3"/>
  <c r="W255" i="3"/>
  <c r="T255" i="3"/>
  <c r="I255" i="3"/>
  <c r="A255" i="3"/>
  <c r="W254" i="3"/>
  <c r="T254" i="3"/>
  <c r="I254" i="3"/>
  <c r="A254" i="3"/>
  <c r="W253" i="3"/>
  <c r="T253" i="3"/>
  <c r="I253" i="3"/>
  <c r="A253" i="3"/>
  <c r="W252" i="3"/>
  <c r="T252" i="3"/>
  <c r="I252" i="3"/>
  <c r="A252" i="3"/>
  <c r="W251" i="3"/>
  <c r="T251" i="3"/>
  <c r="I251" i="3"/>
  <c r="A251" i="3"/>
  <c r="W250" i="3"/>
  <c r="T250" i="3"/>
  <c r="I250" i="3"/>
  <c r="A250" i="3"/>
  <c r="W249" i="3"/>
  <c r="T249" i="3"/>
  <c r="I249" i="3"/>
  <c r="A249" i="3"/>
  <c r="W248" i="3"/>
  <c r="T248" i="3"/>
  <c r="I248" i="3"/>
  <c r="A248" i="3"/>
  <c r="W247" i="3"/>
  <c r="T247" i="3"/>
  <c r="I247" i="3"/>
  <c r="A247" i="3"/>
  <c r="W246" i="3"/>
  <c r="T246" i="3"/>
  <c r="I246" i="3"/>
  <c r="A246" i="3"/>
  <c r="W245" i="3"/>
  <c r="T245" i="3"/>
  <c r="I245" i="3"/>
  <c r="A245" i="3"/>
  <c r="W244" i="3"/>
  <c r="T244" i="3"/>
  <c r="I244" i="3"/>
  <c r="A244" i="3"/>
  <c r="W243" i="3"/>
  <c r="T243" i="3"/>
  <c r="I243" i="3"/>
  <c r="A243" i="3"/>
  <c r="W242" i="3"/>
  <c r="T242" i="3"/>
  <c r="I242" i="3"/>
  <c r="A242" i="3"/>
  <c r="W241" i="3"/>
  <c r="T241" i="3"/>
  <c r="I241" i="3"/>
  <c r="A241" i="3"/>
  <c r="W240" i="3"/>
  <c r="T240" i="3"/>
  <c r="I240" i="3"/>
  <c r="A240" i="3"/>
  <c r="W239" i="3"/>
  <c r="T239" i="3"/>
  <c r="I239" i="3"/>
  <c r="A239" i="3"/>
  <c r="W238" i="3"/>
  <c r="T238" i="3"/>
  <c r="I238" i="3"/>
  <c r="A238" i="3"/>
  <c r="W237" i="3"/>
  <c r="T237" i="3"/>
  <c r="I237" i="3"/>
  <c r="A237" i="3"/>
  <c r="W236" i="3"/>
  <c r="T236" i="3"/>
  <c r="I236" i="3"/>
  <c r="A236" i="3"/>
  <c r="W235" i="3"/>
  <c r="T235" i="3"/>
  <c r="I235" i="3"/>
  <c r="A235" i="3"/>
  <c r="W234" i="3"/>
  <c r="T234" i="3"/>
  <c r="I234" i="3"/>
  <c r="A234" i="3"/>
  <c r="W233" i="3"/>
  <c r="T233" i="3"/>
  <c r="I233" i="3"/>
  <c r="A233" i="3"/>
  <c r="W232" i="3"/>
  <c r="T232" i="3"/>
  <c r="I232" i="3"/>
  <c r="A232" i="3"/>
  <c r="W231" i="3"/>
  <c r="T231" i="3"/>
  <c r="I231" i="3"/>
  <c r="A231" i="3"/>
  <c r="W230" i="3"/>
  <c r="T230" i="3"/>
  <c r="I230" i="3"/>
  <c r="A230" i="3"/>
  <c r="W229" i="3"/>
  <c r="T229" i="3"/>
  <c r="I229" i="3"/>
  <c r="A229" i="3"/>
  <c r="W228" i="3"/>
  <c r="T228" i="3"/>
  <c r="I228" i="3"/>
  <c r="A228" i="3"/>
  <c r="W227" i="3"/>
  <c r="T227" i="3"/>
  <c r="I227" i="3"/>
  <c r="A227" i="3"/>
  <c r="W226" i="3"/>
  <c r="T226" i="3"/>
  <c r="I226" i="3"/>
  <c r="A226" i="3"/>
  <c r="W225" i="3"/>
  <c r="T225" i="3"/>
  <c r="I225" i="3"/>
  <c r="A225" i="3"/>
  <c r="W224" i="3"/>
  <c r="T224" i="3"/>
  <c r="I224" i="3"/>
  <c r="A224" i="3"/>
  <c r="W223" i="3"/>
  <c r="T223" i="3"/>
  <c r="I223" i="3"/>
  <c r="A223" i="3"/>
  <c r="W222" i="3"/>
  <c r="T222" i="3"/>
  <c r="I222" i="3"/>
  <c r="A222" i="3"/>
  <c r="W221" i="3"/>
  <c r="T221" i="3"/>
  <c r="I221" i="3"/>
  <c r="A221" i="3"/>
  <c r="W220" i="3"/>
  <c r="T220" i="3"/>
  <c r="I220" i="3"/>
  <c r="A220" i="3"/>
  <c r="W219" i="3"/>
  <c r="T219" i="3"/>
  <c r="I219" i="3"/>
  <c r="A219" i="3"/>
  <c r="W218" i="3"/>
  <c r="T218" i="3"/>
  <c r="I218" i="3"/>
  <c r="A218" i="3"/>
  <c r="W217" i="3"/>
  <c r="T217" i="3"/>
  <c r="I217" i="3"/>
  <c r="A217" i="3"/>
  <c r="W216" i="3"/>
  <c r="T216" i="3"/>
  <c r="I216" i="3"/>
  <c r="A216" i="3"/>
  <c r="W215" i="3"/>
  <c r="T215" i="3"/>
  <c r="I215" i="3"/>
  <c r="A215" i="3"/>
  <c r="W214" i="3"/>
  <c r="T214" i="3"/>
  <c r="I214" i="3"/>
  <c r="A214" i="3"/>
  <c r="W213" i="3"/>
  <c r="T213" i="3"/>
  <c r="I213" i="3"/>
  <c r="A213" i="3"/>
  <c r="W212" i="3"/>
  <c r="T212" i="3"/>
  <c r="I212" i="3"/>
  <c r="A212" i="3"/>
  <c r="W211" i="3"/>
  <c r="T211" i="3"/>
  <c r="I211" i="3"/>
  <c r="A211" i="3"/>
  <c r="W210" i="3"/>
  <c r="T210" i="3"/>
  <c r="I210" i="3"/>
  <c r="A210" i="3"/>
  <c r="W209" i="3"/>
  <c r="T209" i="3"/>
  <c r="I209" i="3"/>
  <c r="A209" i="3"/>
  <c r="W208" i="3"/>
  <c r="T208" i="3"/>
  <c r="I208" i="3"/>
  <c r="A208" i="3"/>
  <c r="W207" i="3"/>
  <c r="T207" i="3"/>
  <c r="I207" i="3"/>
  <c r="A207" i="3"/>
  <c r="W206" i="3"/>
  <c r="T206" i="3"/>
  <c r="I206" i="3"/>
  <c r="A206" i="3"/>
  <c r="W205" i="3"/>
  <c r="T205" i="3"/>
  <c r="I205" i="3"/>
  <c r="A205" i="3"/>
  <c r="W204" i="3"/>
  <c r="T204" i="3"/>
  <c r="I204" i="3"/>
  <c r="A204" i="3"/>
  <c r="W203" i="3"/>
  <c r="T203" i="3"/>
  <c r="I203" i="3"/>
  <c r="A203" i="3"/>
  <c r="W202" i="3"/>
  <c r="T202" i="3"/>
  <c r="I202" i="3"/>
  <c r="A202" i="3"/>
  <c r="W201" i="3"/>
  <c r="T201" i="3"/>
  <c r="I201" i="3"/>
  <c r="A201" i="3"/>
  <c r="W200" i="3"/>
  <c r="T200" i="3"/>
  <c r="I200" i="3"/>
  <c r="A200" i="3"/>
  <c r="W199" i="3"/>
  <c r="T199" i="3"/>
  <c r="I199" i="3"/>
  <c r="A199" i="3"/>
  <c r="W198" i="3"/>
  <c r="T198" i="3"/>
  <c r="I198" i="3"/>
  <c r="A198" i="3"/>
  <c r="W197" i="3"/>
  <c r="T197" i="3"/>
  <c r="I197" i="3"/>
  <c r="A197" i="3"/>
  <c r="W196" i="3"/>
  <c r="T196" i="3"/>
  <c r="I196" i="3"/>
  <c r="A196" i="3"/>
  <c r="W195" i="3"/>
  <c r="T195" i="3"/>
  <c r="I195" i="3"/>
  <c r="A195" i="3"/>
  <c r="W194" i="3"/>
  <c r="T194" i="3"/>
  <c r="I194" i="3"/>
  <c r="A194" i="3"/>
  <c r="W193" i="3"/>
  <c r="T193" i="3"/>
  <c r="I193" i="3"/>
  <c r="A193" i="3"/>
  <c r="W192" i="3"/>
  <c r="T192" i="3"/>
  <c r="I192" i="3"/>
  <c r="A192" i="3"/>
  <c r="W191" i="3"/>
  <c r="T191" i="3"/>
  <c r="I191" i="3"/>
  <c r="A191" i="3"/>
  <c r="W190" i="3"/>
  <c r="T190" i="3"/>
  <c r="I190" i="3"/>
  <c r="A190" i="3"/>
  <c r="W189" i="3"/>
  <c r="T189" i="3"/>
  <c r="I189" i="3"/>
  <c r="A189" i="3"/>
  <c r="W188" i="3"/>
  <c r="T188" i="3"/>
  <c r="I188" i="3"/>
  <c r="A188" i="3"/>
  <c r="W187" i="3"/>
  <c r="T187" i="3"/>
  <c r="I187" i="3"/>
  <c r="A187" i="3"/>
  <c r="W186" i="3"/>
  <c r="T186" i="3"/>
  <c r="I186" i="3"/>
  <c r="A186" i="3"/>
  <c r="W185" i="3"/>
  <c r="T185" i="3"/>
  <c r="I185" i="3"/>
  <c r="A185" i="3"/>
  <c r="W184" i="3"/>
  <c r="T184" i="3"/>
  <c r="I184" i="3"/>
  <c r="A184" i="3"/>
  <c r="W183" i="3"/>
  <c r="T183" i="3"/>
  <c r="I183" i="3"/>
  <c r="A183" i="3"/>
  <c r="W182" i="3"/>
  <c r="T182" i="3"/>
  <c r="I182" i="3"/>
  <c r="A182" i="3"/>
  <c r="W181" i="3"/>
  <c r="T181" i="3"/>
  <c r="I181" i="3"/>
  <c r="A181" i="3"/>
  <c r="W180" i="3"/>
  <c r="T180" i="3"/>
  <c r="I180" i="3"/>
  <c r="A180" i="3"/>
  <c r="W179" i="3"/>
  <c r="T179" i="3"/>
  <c r="I179" i="3"/>
  <c r="A179" i="3"/>
  <c r="W178" i="3"/>
  <c r="T178" i="3"/>
  <c r="I178" i="3"/>
  <c r="A178" i="3"/>
  <c r="W177" i="3"/>
  <c r="T177" i="3"/>
  <c r="I177" i="3"/>
  <c r="A177" i="3"/>
  <c r="W176" i="3"/>
  <c r="T176" i="3"/>
  <c r="I176" i="3"/>
  <c r="A176" i="3"/>
  <c r="W175" i="3"/>
  <c r="T175" i="3"/>
  <c r="I175" i="3"/>
  <c r="A175" i="3"/>
  <c r="W174" i="3"/>
  <c r="T174" i="3"/>
  <c r="I174" i="3"/>
  <c r="A174" i="3"/>
  <c r="W173" i="3"/>
  <c r="T173" i="3"/>
  <c r="I173" i="3"/>
  <c r="A173" i="3"/>
  <c r="W172" i="3"/>
  <c r="T172" i="3"/>
  <c r="I172" i="3"/>
  <c r="A172" i="3"/>
  <c r="W171" i="3"/>
  <c r="T171" i="3"/>
  <c r="I171" i="3"/>
  <c r="A171" i="3"/>
  <c r="W170" i="3"/>
  <c r="T170" i="3"/>
  <c r="I170" i="3"/>
  <c r="A170" i="3"/>
  <c r="W169" i="3"/>
  <c r="T169" i="3"/>
  <c r="I169" i="3"/>
  <c r="A169" i="3"/>
  <c r="W168" i="3"/>
  <c r="T168" i="3"/>
  <c r="I168" i="3"/>
  <c r="A168" i="3"/>
  <c r="W167" i="3"/>
  <c r="T167" i="3"/>
  <c r="I167" i="3"/>
  <c r="A167" i="3"/>
  <c r="W166" i="3"/>
  <c r="T166" i="3"/>
  <c r="I166" i="3"/>
  <c r="A166" i="3"/>
  <c r="W165" i="3"/>
  <c r="T165" i="3"/>
  <c r="I165" i="3"/>
  <c r="A165" i="3"/>
  <c r="W164" i="3"/>
  <c r="T164" i="3"/>
  <c r="I164" i="3"/>
  <c r="A164" i="3"/>
  <c r="W163" i="3"/>
  <c r="T163" i="3"/>
  <c r="I163" i="3"/>
  <c r="A163" i="3"/>
  <c r="W162" i="3"/>
  <c r="T162" i="3"/>
  <c r="I162" i="3"/>
  <c r="A162" i="3"/>
  <c r="W161" i="3"/>
  <c r="T161" i="3"/>
  <c r="I161" i="3"/>
  <c r="A161" i="3"/>
  <c r="W160" i="3"/>
  <c r="T160" i="3"/>
  <c r="I160" i="3"/>
  <c r="A160" i="3"/>
  <c r="W159" i="3"/>
  <c r="T159" i="3"/>
  <c r="I159" i="3"/>
  <c r="A159" i="3"/>
  <c r="W158" i="3"/>
  <c r="T158" i="3"/>
  <c r="I158" i="3"/>
  <c r="A158" i="3"/>
  <c r="W157" i="3"/>
  <c r="T157" i="3"/>
  <c r="I157" i="3"/>
  <c r="A157" i="3"/>
  <c r="W156" i="3"/>
  <c r="T156" i="3"/>
  <c r="I156" i="3"/>
  <c r="A156" i="3"/>
  <c r="W155" i="3"/>
  <c r="T155" i="3"/>
  <c r="I155" i="3"/>
  <c r="A155" i="3"/>
  <c r="W154" i="3"/>
  <c r="T154" i="3"/>
  <c r="I154" i="3"/>
  <c r="A154" i="3"/>
  <c r="W153" i="3"/>
  <c r="T153" i="3"/>
  <c r="I153" i="3"/>
  <c r="A153" i="3"/>
  <c r="W152" i="3"/>
  <c r="T152" i="3"/>
  <c r="I152" i="3"/>
  <c r="A152" i="3"/>
  <c r="W151" i="3"/>
  <c r="T151" i="3"/>
  <c r="I151" i="3"/>
  <c r="A151" i="3"/>
  <c r="W150" i="3"/>
  <c r="T150" i="3"/>
  <c r="I150" i="3"/>
  <c r="A150" i="3"/>
  <c r="W149" i="3"/>
  <c r="T149" i="3"/>
  <c r="I149" i="3"/>
  <c r="A149" i="3"/>
  <c r="W148" i="3"/>
  <c r="T148" i="3"/>
  <c r="I148" i="3"/>
  <c r="A148" i="3"/>
  <c r="W147" i="3"/>
  <c r="T147" i="3"/>
  <c r="I147" i="3"/>
  <c r="A147" i="3"/>
  <c r="W146" i="3"/>
  <c r="T146" i="3"/>
  <c r="I146" i="3"/>
  <c r="A146" i="3"/>
  <c r="W145" i="3"/>
  <c r="T145" i="3"/>
  <c r="I145" i="3"/>
  <c r="A145" i="3"/>
  <c r="W144" i="3"/>
  <c r="T144" i="3"/>
  <c r="I144" i="3"/>
  <c r="A144" i="3"/>
  <c r="W143" i="3"/>
  <c r="T143" i="3"/>
  <c r="I143" i="3"/>
  <c r="A143" i="3"/>
  <c r="W142" i="3"/>
  <c r="T142" i="3"/>
  <c r="I142" i="3"/>
  <c r="A142" i="3"/>
  <c r="W141" i="3"/>
  <c r="T141" i="3"/>
  <c r="I141" i="3"/>
  <c r="A141" i="3"/>
  <c r="W140" i="3"/>
  <c r="T140" i="3"/>
  <c r="I140" i="3"/>
  <c r="A140" i="3"/>
  <c r="W139" i="3"/>
  <c r="T139" i="3"/>
  <c r="I139" i="3"/>
  <c r="A139" i="3"/>
  <c r="W138" i="3"/>
  <c r="T138" i="3"/>
  <c r="I138" i="3"/>
  <c r="A138" i="3"/>
  <c r="W137" i="3"/>
  <c r="T137" i="3"/>
  <c r="I137" i="3"/>
  <c r="A137" i="3"/>
  <c r="W136" i="3"/>
  <c r="T136" i="3"/>
  <c r="I136" i="3"/>
  <c r="A136" i="3"/>
  <c r="W135" i="3"/>
  <c r="T135" i="3"/>
  <c r="I135" i="3"/>
  <c r="A135" i="3"/>
  <c r="W134" i="3"/>
  <c r="T134" i="3"/>
  <c r="I134" i="3"/>
  <c r="A134" i="3"/>
  <c r="W133" i="3"/>
  <c r="T133" i="3"/>
  <c r="I133" i="3"/>
  <c r="A133" i="3"/>
  <c r="W132" i="3"/>
  <c r="T132" i="3"/>
  <c r="I132" i="3"/>
  <c r="A132" i="3"/>
  <c r="W131" i="3"/>
  <c r="T131" i="3"/>
  <c r="I131" i="3"/>
  <c r="A131" i="3"/>
  <c r="W130" i="3"/>
  <c r="T130" i="3"/>
  <c r="I130" i="3"/>
  <c r="A130" i="3"/>
  <c r="W129" i="3"/>
  <c r="T129" i="3"/>
  <c r="I129" i="3"/>
  <c r="A129" i="3"/>
  <c r="W128" i="3"/>
  <c r="T128" i="3"/>
  <c r="I128" i="3"/>
  <c r="A128" i="3"/>
  <c r="W127" i="3"/>
  <c r="T127" i="3"/>
  <c r="I127" i="3"/>
  <c r="A127" i="3"/>
  <c r="W126" i="3"/>
  <c r="T126" i="3"/>
  <c r="I126" i="3"/>
  <c r="A126" i="3"/>
  <c r="W125" i="3"/>
  <c r="T125" i="3"/>
  <c r="I125" i="3"/>
  <c r="A125" i="3"/>
  <c r="W124" i="3"/>
  <c r="T124" i="3"/>
  <c r="I124" i="3"/>
  <c r="A124" i="3"/>
  <c r="W123" i="3"/>
  <c r="T123" i="3"/>
  <c r="I123" i="3"/>
  <c r="A123" i="3"/>
  <c r="W122" i="3"/>
  <c r="T122" i="3"/>
  <c r="I122" i="3"/>
  <c r="A122" i="3"/>
  <c r="W121" i="3"/>
  <c r="T121" i="3"/>
  <c r="I121" i="3"/>
  <c r="A121" i="3"/>
  <c r="W120" i="3"/>
  <c r="T120" i="3"/>
  <c r="I120" i="3"/>
  <c r="A120" i="3"/>
  <c r="W119" i="3"/>
  <c r="T119" i="3"/>
  <c r="I119" i="3"/>
  <c r="A119" i="3"/>
  <c r="W118" i="3"/>
  <c r="T118" i="3"/>
  <c r="I118" i="3"/>
  <c r="A118" i="3"/>
  <c r="W117" i="3"/>
  <c r="T117" i="3"/>
  <c r="I117" i="3"/>
  <c r="A117" i="3"/>
  <c r="W116" i="3"/>
  <c r="T116" i="3"/>
  <c r="I116" i="3"/>
  <c r="A116" i="3"/>
  <c r="W115" i="3"/>
  <c r="T115" i="3"/>
  <c r="I115" i="3"/>
  <c r="A115" i="3"/>
  <c r="W114" i="3"/>
  <c r="T114" i="3"/>
  <c r="I114" i="3"/>
  <c r="A114" i="3"/>
  <c r="W113" i="3"/>
  <c r="T113" i="3"/>
  <c r="I113" i="3"/>
  <c r="A113" i="3"/>
  <c r="W112" i="3"/>
  <c r="T112" i="3"/>
  <c r="I112" i="3"/>
  <c r="A112" i="3"/>
  <c r="W111" i="3"/>
  <c r="T111" i="3"/>
  <c r="I111" i="3"/>
  <c r="A111" i="3"/>
  <c r="W110" i="3"/>
  <c r="T110" i="3"/>
  <c r="I110" i="3"/>
  <c r="A110" i="3"/>
  <c r="W109" i="3"/>
  <c r="T109" i="3"/>
  <c r="I109" i="3"/>
  <c r="A109" i="3"/>
  <c r="W108" i="3"/>
  <c r="T108" i="3"/>
  <c r="I108" i="3"/>
  <c r="A108" i="3"/>
  <c r="W107" i="3"/>
  <c r="T107" i="3"/>
  <c r="I107" i="3"/>
  <c r="A107" i="3"/>
  <c r="W106" i="3"/>
  <c r="T106" i="3"/>
  <c r="I106" i="3"/>
  <c r="A106" i="3"/>
  <c r="W105" i="3"/>
  <c r="T105" i="3"/>
  <c r="I105" i="3"/>
  <c r="A105" i="3"/>
  <c r="W104" i="3"/>
  <c r="T104" i="3"/>
  <c r="I104" i="3"/>
  <c r="A104" i="3"/>
  <c r="W103" i="3"/>
  <c r="T103" i="3"/>
  <c r="I103" i="3"/>
  <c r="A103" i="3"/>
  <c r="W102" i="3"/>
  <c r="T102" i="3"/>
  <c r="I102" i="3"/>
  <c r="A102" i="3"/>
  <c r="W101" i="3"/>
  <c r="T101" i="3"/>
  <c r="I101" i="3"/>
  <c r="A101" i="3"/>
  <c r="W100" i="3"/>
  <c r="T100" i="3"/>
  <c r="I100" i="3"/>
  <c r="A100" i="3"/>
  <c r="W99" i="3"/>
  <c r="T99" i="3"/>
  <c r="I99" i="3"/>
  <c r="A99" i="3"/>
  <c r="W98" i="3"/>
  <c r="T98" i="3"/>
  <c r="I98" i="3"/>
  <c r="A98" i="3"/>
  <c r="W97" i="3"/>
  <c r="T97" i="3"/>
  <c r="I97" i="3"/>
  <c r="A97" i="3"/>
  <c r="W96" i="3"/>
  <c r="T96" i="3"/>
  <c r="I96" i="3"/>
  <c r="A96" i="3"/>
  <c r="W95" i="3"/>
  <c r="T95" i="3"/>
  <c r="I95" i="3"/>
  <c r="A95" i="3"/>
  <c r="W94" i="3"/>
  <c r="T94" i="3"/>
  <c r="I94" i="3"/>
  <c r="A94" i="3"/>
  <c r="W93" i="3"/>
  <c r="T93" i="3"/>
  <c r="I93" i="3"/>
  <c r="A93" i="3"/>
  <c r="W92" i="3"/>
  <c r="T92" i="3"/>
  <c r="I92" i="3"/>
  <c r="A92" i="3"/>
  <c r="W91" i="3"/>
  <c r="T91" i="3"/>
  <c r="I91" i="3"/>
  <c r="A91" i="3"/>
  <c r="W90" i="3"/>
  <c r="T90" i="3"/>
  <c r="I90" i="3"/>
  <c r="A90" i="3"/>
  <c r="W89" i="3"/>
  <c r="T89" i="3"/>
  <c r="I89" i="3"/>
  <c r="A89" i="3"/>
  <c r="W88" i="3"/>
  <c r="T88" i="3"/>
  <c r="I88" i="3"/>
  <c r="A88" i="3"/>
  <c r="W87" i="3"/>
  <c r="T87" i="3"/>
  <c r="I87" i="3"/>
  <c r="A87" i="3"/>
  <c r="W86" i="3"/>
  <c r="T86" i="3"/>
  <c r="I86" i="3"/>
  <c r="A86" i="3"/>
  <c r="W85" i="3"/>
  <c r="T85" i="3"/>
  <c r="I85" i="3"/>
  <c r="A85" i="3"/>
  <c r="W84" i="3"/>
  <c r="T84" i="3"/>
  <c r="I84" i="3"/>
  <c r="A84" i="3"/>
  <c r="W83" i="3"/>
  <c r="T83" i="3"/>
  <c r="I83" i="3"/>
  <c r="A83" i="3"/>
  <c r="W82" i="3"/>
  <c r="T82" i="3"/>
  <c r="I82" i="3"/>
  <c r="A82" i="3"/>
  <c r="W81" i="3"/>
  <c r="T81" i="3"/>
  <c r="I81" i="3"/>
  <c r="A81" i="3"/>
  <c r="W80" i="3"/>
  <c r="T80" i="3"/>
  <c r="I80" i="3"/>
  <c r="A80" i="3"/>
  <c r="W79" i="3"/>
  <c r="T79" i="3"/>
  <c r="I79" i="3"/>
  <c r="A79" i="3"/>
  <c r="W78" i="3"/>
  <c r="T78" i="3"/>
  <c r="I78" i="3"/>
  <c r="A78" i="3"/>
  <c r="W77" i="3"/>
  <c r="T77" i="3"/>
  <c r="I77" i="3"/>
  <c r="A77" i="3"/>
  <c r="W76" i="3"/>
  <c r="T76" i="3"/>
  <c r="I76" i="3"/>
  <c r="A76" i="3"/>
  <c r="W75" i="3"/>
  <c r="T75" i="3"/>
  <c r="I75" i="3"/>
  <c r="A75" i="3"/>
  <c r="W74" i="3"/>
  <c r="T74" i="3"/>
  <c r="I74" i="3"/>
  <c r="A74" i="3"/>
  <c r="W73" i="3"/>
  <c r="T73" i="3"/>
  <c r="I73" i="3"/>
  <c r="A73" i="3"/>
  <c r="W72" i="3"/>
  <c r="T72" i="3"/>
  <c r="I72" i="3"/>
  <c r="A72" i="3"/>
  <c r="W71" i="3"/>
  <c r="T71" i="3"/>
  <c r="I71" i="3"/>
  <c r="A71" i="3"/>
  <c r="W70" i="3"/>
  <c r="T70" i="3"/>
  <c r="I70" i="3"/>
  <c r="A70" i="3"/>
  <c r="W69" i="3"/>
  <c r="T69" i="3"/>
  <c r="I69" i="3"/>
  <c r="A69" i="3"/>
  <c r="W68" i="3"/>
  <c r="T68" i="3"/>
  <c r="I68" i="3"/>
  <c r="A68" i="3"/>
  <c r="W67" i="3"/>
  <c r="T67" i="3"/>
  <c r="I67" i="3"/>
  <c r="A67" i="3"/>
  <c r="W66" i="3"/>
  <c r="T66" i="3"/>
  <c r="I66" i="3"/>
  <c r="A66" i="3"/>
  <c r="W65" i="3"/>
  <c r="T65" i="3"/>
  <c r="I65" i="3"/>
  <c r="A65" i="3"/>
  <c r="W64" i="3"/>
  <c r="T64" i="3"/>
  <c r="I64" i="3"/>
  <c r="A64" i="3"/>
  <c r="W63" i="3"/>
  <c r="T63" i="3"/>
  <c r="I63" i="3"/>
  <c r="A63" i="3"/>
  <c r="W62" i="3"/>
  <c r="T62" i="3"/>
  <c r="I62" i="3"/>
  <c r="A62" i="3"/>
  <c r="W61" i="3"/>
  <c r="T61" i="3"/>
  <c r="I61" i="3"/>
  <c r="A61" i="3"/>
  <c r="W60" i="3"/>
  <c r="T60" i="3"/>
  <c r="I60" i="3"/>
  <c r="A60" i="3"/>
  <c r="W59" i="3"/>
  <c r="T59" i="3"/>
  <c r="I59" i="3"/>
  <c r="A59" i="3"/>
  <c r="W58" i="3"/>
  <c r="T58" i="3"/>
  <c r="I58" i="3"/>
  <c r="A58" i="3"/>
  <c r="W57" i="3"/>
  <c r="T57" i="3"/>
  <c r="I57" i="3"/>
  <c r="A57" i="3"/>
  <c r="W56" i="3"/>
  <c r="T56" i="3"/>
  <c r="I56" i="3"/>
  <c r="A56" i="3"/>
  <c r="W55" i="3"/>
  <c r="T55" i="3"/>
  <c r="I55" i="3"/>
  <c r="A55" i="3"/>
  <c r="W54" i="3"/>
  <c r="T54" i="3"/>
  <c r="I54" i="3"/>
  <c r="A54" i="3"/>
  <c r="W53" i="3"/>
  <c r="T53" i="3"/>
  <c r="I53" i="3"/>
  <c r="A53" i="3"/>
  <c r="W52" i="3"/>
  <c r="T52" i="3"/>
  <c r="I52" i="3"/>
  <c r="A52" i="3"/>
  <c r="W51" i="3"/>
  <c r="T51" i="3"/>
  <c r="I51" i="3"/>
  <c r="A51" i="3"/>
  <c r="W50" i="3"/>
  <c r="T50" i="3"/>
  <c r="I50" i="3"/>
  <c r="A50" i="3"/>
  <c r="W49" i="3"/>
  <c r="T49" i="3"/>
  <c r="I49" i="3"/>
  <c r="A49" i="3"/>
  <c r="W48" i="3"/>
  <c r="T48" i="3"/>
  <c r="I48" i="3"/>
  <c r="A48" i="3"/>
  <c r="W47" i="3"/>
  <c r="T47" i="3"/>
  <c r="I47" i="3"/>
  <c r="A47" i="3"/>
  <c r="W46" i="3"/>
  <c r="T46" i="3"/>
  <c r="I46" i="3"/>
  <c r="A46" i="3"/>
  <c r="W45" i="3"/>
  <c r="T45" i="3"/>
  <c r="I45" i="3"/>
  <c r="A45" i="3"/>
  <c r="W44" i="3"/>
  <c r="T44" i="3"/>
  <c r="I44" i="3"/>
  <c r="A44" i="3"/>
  <c r="W43" i="3"/>
  <c r="T43" i="3"/>
  <c r="I43" i="3"/>
  <c r="A43" i="3"/>
  <c r="W42" i="3"/>
  <c r="T42" i="3"/>
  <c r="I42" i="3"/>
  <c r="A42" i="3"/>
  <c r="W41" i="3"/>
  <c r="T41" i="3"/>
  <c r="I41" i="3"/>
  <c r="A41" i="3"/>
  <c r="W40" i="3"/>
  <c r="T40" i="3"/>
  <c r="I40" i="3"/>
  <c r="A40" i="3"/>
  <c r="W39" i="3"/>
  <c r="T39" i="3"/>
  <c r="I39" i="3"/>
  <c r="A39" i="3"/>
  <c r="W38" i="3"/>
  <c r="T38" i="3"/>
  <c r="I38" i="3"/>
  <c r="A38" i="3"/>
  <c r="W37" i="3"/>
  <c r="T37" i="3"/>
  <c r="I37" i="3"/>
  <c r="A37" i="3"/>
  <c r="W36" i="3"/>
  <c r="T36" i="3"/>
  <c r="I36" i="3"/>
  <c r="A36" i="3"/>
  <c r="W35" i="3"/>
  <c r="T35" i="3"/>
  <c r="I35" i="3"/>
  <c r="A35" i="3"/>
  <c r="W34" i="3"/>
  <c r="T34" i="3"/>
  <c r="I34" i="3"/>
  <c r="A34" i="3"/>
  <c r="W33" i="3"/>
  <c r="T33" i="3"/>
  <c r="I33" i="3"/>
  <c r="A33" i="3"/>
  <c r="W32" i="3"/>
  <c r="T32" i="3"/>
  <c r="I32" i="3"/>
  <c r="A32" i="3"/>
  <c r="W31" i="3"/>
  <c r="T31" i="3"/>
  <c r="I31" i="3"/>
  <c r="A31" i="3"/>
  <c r="W30" i="3"/>
  <c r="T30" i="3"/>
  <c r="I30" i="3"/>
  <c r="A30" i="3"/>
  <c r="W29" i="3"/>
  <c r="T29" i="3"/>
  <c r="I29" i="3"/>
  <c r="A29" i="3"/>
  <c r="W28" i="3"/>
  <c r="T28" i="3"/>
  <c r="I28" i="3"/>
  <c r="A28" i="3"/>
  <c r="W27" i="3"/>
  <c r="T27" i="3"/>
  <c r="I27" i="3"/>
  <c r="A27" i="3"/>
  <c r="W26" i="3"/>
  <c r="T26" i="3"/>
  <c r="I26" i="3"/>
  <c r="A26" i="3"/>
  <c r="W25" i="3"/>
  <c r="T25" i="3"/>
  <c r="I25" i="3"/>
  <c r="A25" i="3"/>
  <c r="W24" i="3"/>
  <c r="T24" i="3"/>
  <c r="I24" i="3"/>
  <c r="A24" i="3"/>
  <c r="W23" i="3"/>
  <c r="T23" i="3"/>
  <c r="I23" i="3"/>
  <c r="A23" i="3"/>
  <c r="W22" i="3"/>
  <c r="T22" i="3"/>
  <c r="I22" i="3"/>
  <c r="A22" i="3"/>
  <c r="W21" i="3"/>
  <c r="T21" i="3"/>
  <c r="I21" i="3"/>
  <c r="A21" i="3"/>
  <c r="W20" i="3"/>
  <c r="T20" i="3"/>
  <c r="I20" i="3"/>
  <c r="A20" i="3"/>
  <c r="W19" i="3"/>
  <c r="T19" i="3"/>
  <c r="I19" i="3"/>
  <c r="A19" i="3"/>
  <c r="W18" i="3"/>
  <c r="T18" i="3"/>
  <c r="I18" i="3"/>
  <c r="A18" i="3"/>
  <c r="W17" i="3"/>
  <c r="T17" i="3"/>
  <c r="I17" i="3"/>
  <c r="A17" i="3"/>
  <c r="W16" i="3"/>
  <c r="T16" i="3"/>
  <c r="I16" i="3"/>
  <c r="A16" i="3"/>
  <c r="W15" i="3"/>
  <c r="T15" i="3"/>
  <c r="I15" i="3"/>
  <c r="A15" i="3"/>
  <c r="W14" i="3"/>
  <c r="T14" i="3"/>
  <c r="I14" i="3"/>
  <c r="A14" i="3"/>
  <c r="W13" i="3"/>
  <c r="T13" i="3"/>
  <c r="I13" i="3"/>
  <c r="A13" i="3"/>
  <c r="W12" i="3"/>
  <c r="T12" i="3"/>
  <c r="I12" i="3"/>
  <c r="A12" i="3"/>
  <c r="W11" i="3"/>
  <c r="T11" i="3"/>
  <c r="I11" i="3"/>
  <c r="A11" i="3"/>
  <c r="W10" i="3"/>
  <c r="T10" i="3"/>
  <c r="I10" i="3"/>
  <c r="A10" i="3"/>
  <c r="W9" i="3"/>
  <c r="T9" i="3"/>
  <c r="I9" i="3"/>
  <c r="A9" i="3"/>
  <c r="W8" i="3"/>
  <c r="T8" i="3"/>
  <c r="I8" i="3"/>
  <c r="A8" i="3"/>
  <c r="W7" i="3"/>
  <c r="T7" i="3"/>
  <c r="I7" i="3"/>
  <c r="A7" i="3"/>
  <c r="W6" i="3"/>
  <c r="T6" i="3"/>
  <c r="I6" i="3"/>
  <c r="A6" i="3"/>
  <c r="W5" i="3"/>
  <c r="T5" i="3"/>
  <c r="I5" i="3"/>
  <c r="A5" i="3"/>
  <c r="W4" i="3"/>
  <c r="T4" i="3"/>
  <c r="I4" i="3"/>
  <c r="A4" i="3"/>
  <c r="W3" i="3"/>
  <c r="T3" i="3"/>
  <c r="I3" i="3"/>
  <c r="A3" i="3"/>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C32" i="1" s="1"/>
  <c r="A6" i="2"/>
  <c r="A5" i="2"/>
  <c r="A4" i="2"/>
  <c r="A3" i="2"/>
  <c r="C36" i="1"/>
  <c r="C33" i="1" l="1"/>
  <c r="C35" i="1"/>
  <c r="C39" i="1"/>
  <c r="C37" i="1"/>
  <c r="G15" i="5"/>
  <c r="A15" i="5"/>
  <c r="C34" i="1"/>
  <c r="C40" i="1" s="1"/>
  <c r="C38" i="1"/>
</calcChain>
</file>

<file path=xl/sharedStrings.xml><?xml version="1.0" encoding="utf-8"?>
<sst xmlns="http://schemas.openxmlformats.org/spreadsheetml/2006/main" count="590" uniqueCount="351">
  <si>
    <t>Bulk Purchase Upload</t>
  </si>
  <si>
    <t>Purchase Orders and Goods Receipt from one Excel file</t>
  </si>
  <si>
    <t>How it works</t>
  </si>
  <si>
    <t>1. List your vendors</t>
  </si>
  <si>
    <t>On the Vendors sheet, once: the vendor's name and State. City, GSTIN, phone and email only if you have them.</t>
  </si>
  <si>
    <t>2. Fill the Purchase sheet</t>
  </si>
  <si>
    <t>One row for each design in each colour / size you are ordering. Rows with the same PO Ref become one Purchase Order. New designs are created automatically; you do not need SKU codes or barcodes.</t>
  </si>
  <si>
    <t>3. Send the file to us</t>
  </si>
  <si>
    <t>With the photos, if any. We upload it in Wholeops. Every PO is created in one click, and you can see and print them in the app.</t>
  </si>
  <si>
    <t>4. When the parcel and bill arrive</t>
  </si>
  <si>
    <t>Fill the green columns on the Purchase sheet (Vendor Invoice No, and Received Qty only if it is short or extra) and add the bill on the Bills sheet. Send the same file again. The goods are received into stock, barcodes are issued and stickers are ready to print.</t>
  </si>
  <si>
    <t>Goods already here?</t>
  </si>
  <si>
    <t>Fill everything, green columns and Bills sheet included, in one go.</t>
  </si>
  <si>
    <t>Rules</t>
  </si>
  <si>
    <t>•  One row = one design in one colour / size. Rows with the same Design No are one design in different colours or sizes: use any label you like (1, 2, 3 or EI001) - it only groups the rows of this file, and Wholeops gives every design its own number. Leave it blank and the row is a design of its own. To reorder a design already in Wholeops, write its Wholeops design number (e.g. D00010).</t>
  </si>
  <si>
    <t>•  Qty is in pieces you sell. A pair of earrings = 1. A set = 1.</t>
  </si>
  <si>
    <t>•  Purchase Rate is per piece, including GST, as on the vendor's bill. MRP is the price printed on the sticker.</t>
  </si>
  <si>
    <t>•  Photos: write each photo's file name in the Photo column - any name you like (several: a.jpg, b.jpg) - and send the photos with this file. Send JPG photos (PNG, WebP or GIF also work), up to 10 MB each. Each photo goes to its row's item and is renamed after the item's Wholeops number; the first photo of a design also goes to the design.</t>
  </si>
  <si>
    <t>•  HSN Code: pick it from the list (the Codes sheet says which one fits). Artificial / fashion jewellery is 7117; real gold or silver is 7113. GST fills itself: all jewellery is 3%.</t>
  </si>
  <si>
    <t>•  Vendor GSTIN is optional. The vendor's State is enough to charge the right GST (same state as your store: CGST + SGST; another state: IGST). Only vendors used on the Purchase sheet are created; sample rows left on the Vendors sheet are ignored.</t>
  </si>
  <si>
    <t>•  Leave an optional box blank when it does not apply. Do not write NA or -.</t>
  </si>
  <si>
    <t>•  A new product type, category, style, colour, polish, size or stone can simply be typed: Wholeops creates it on upload (add it to the Lists sheet so the drop-down offers it next time). A new store must be set up in Wholeops first: tell us.</t>
  </si>
  <si>
    <t>•  A required box turns red while it is empty. Column A (Check) must say OK on every row of the Vendors, Purchase and Bills sheets before you send the file.</t>
  </si>
  <si>
    <t>•  Do not rename, move or delete the column headers, row 2 or the sheets. Grey columns fill themselves.</t>
  </si>
  <si>
    <t>•  Sending the file again is safe: a PO already created (same PO Ref and vendor) is not created twice.</t>
  </si>
  <si>
    <t>Colours</t>
  </si>
  <si>
    <t>You fill it: required</t>
  </si>
  <si>
    <t>You fill it: optional</t>
  </si>
  <si>
    <t>You fill it when the goods arrive</t>
  </si>
  <si>
    <t>Automatic: do not type here</t>
  </si>
  <si>
    <t>Required but still empty: fill it</t>
  </si>
  <si>
    <t>Your file right now</t>
  </si>
  <si>
    <t>Vendors</t>
  </si>
  <si>
    <t>Vendors to fix</t>
  </si>
  <si>
    <t>Purchase rows</t>
  </si>
  <si>
    <t>Rows to fix</t>
  </si>
  <si>
    <t>Total Qty</t>
  </si>
  <si>
    <t>Total Amount ₹</t>
  </si>
  <si>
    <t>Bills</t>
  </si>
  <si>
    <t>Bills to fix</t>
  </si>
  <si>
    <t>Status</t>
  </si>
  <si>
    <t>Column guide (Purchase sheet)</t>
  </si>
  <si>
    <t>Column</t>
  </si>
  <si>
    <t>Required?</t>
  </si>
  <si>
    <t>What to write</t>
  </si>
  <si>
    <t>Example</t>
  </si>
  <si>
    <t>PO Ref</t>
  </si>
  <si>
    <t>Yes</t>
  </si>
  <si>
    <t>Any name for the order. All rows with the same PO Ref and vendor become one PO.</t>
  </si>
  <si>
    <t>SIY-OCT-01</t>
  </si>
  <si>
    <t>Vendor</t>
  </si>
  <si>
    <t>Who you buy from. Pick from the list; the list is your Vendors sheet.</t>
  </si>
  <si>
    <t>Siyyona</t>
  </si>
  <si>
    <t>Store</t>
  </si>
  <si>
    <t>Where the goods arrive. Pick from the list.</t>
  </si>
  <si>
    <t>Main Store</t>
  </si>
  <si>
    <t>Design No</t>
  </si>
  <si>
    <t>No</t>
  </si>
  <si>
    <t>Your label to group rows: the same label = one design in several colours or sizes. Blank = the row is its own design. Wholeops numbers every design; to reorder one, write its Wholeops number (e.g. D00010).</t>
  </si>
  <si>
    <t>1</t>
  </si>
  <si>
    <t>Product Type</t>
  </si>
  <si>
    <t>What the piece is.</t>
  </si>
  <si>
    <t>Earring</t>
  </si>
  <si>
    <t>Category</t>
  </si>
  <si>
    <t>The collection or make.</t>
  </si>
  <si>
    <t>Imported</t>
  </si>
  <si>
    <t>HSN Code</t>
  </si>
  <si>
    <t>Pick from the list. The same Product Type + Category always takes the same HSN.</t>
  </si>
  <si>
    <t>7117 - Imitation / fashion jewellery</t>
  </si>
  <si>
    <t>GST %</t>
  </si>
  <si>
    <t>Automatic</t>
  </si>
  <si>
    <t>Filled from the HSN Code.</t>
  </si>
  <si>
    <t>3%</t>
  </si>
  <si>
    <t>Style</t>
  </si>
  <si>
    <t>The shape or style.</t>
  </si>
  <si>
    <t>Huggie Hoop</t>
  </si>
  <si>
    <t>Colour</t>
  </si>
  <si>
    <t>Main colour of the piece.</t>
  </si>
  <si>
    <t>Purple</t>
  </si>
  <si>
    <t>Polish</t>
  </si>
  <si>
    <t>Plating or finish.</t>
  </si>
  <si>
    <t>Rose Gold</t>
  </si>
  <si>
    <t>Size</t>
  </si>
  <si>
    <t>Size, if it has one.</t>
  </si>
  <si>
    <t>2x6</t>
  </si>
  <si>
    <t>Stone Type</t>
  </si>
  <si>
    <t>The stone used.</t>
  </si>
  <si>
    <t>Glass</t>
  </si>
  <si>
    <t>Stone Colour</t>
  </si>
  <si>
    <t>Colour of the stone.</t>
  </si>
  <si>
    <t>Photo</t>
  </si>
  <si>
    <t>The photo's file name, as you saved it (several: a.jpg, b.jpg). Send the photos with the file.</t>
  </si>
  <si>
    <t>EI001-red.jpg</t>
  </si>
  <si>
    <t>Qty</t>
  </si>
  <si>
    <t>Pieces ordered (a pair = 1).</t>
  </si>
  <si>
    <t>3</t>
  </si>
  <si>
    <t>Purchase Rate (₹)</t>
  </si>
  <si>
    <t>Price per piece including GST.</t>
  </si>
  <si>
    <t>90</t>
  </si>
  <si>
    <t>MRP (₹)</t>
  </si>
  <si>
    <t>The price printed on the sticker.</t>
  </si>
  <si>
    <t>349</t>
  </si>
  <si>
    <t>Vendor Invoice No</t>
  </si>
  <si>
    <t>When goods arrive</t>
  </si>
  <si>
    <t>The bill number. Leave blank until the goods arrive.</t>
  </si>
  <si>
    <t>SE/2526/PL/3568</t>
  </si>
  <si>
    <t>Received Qty</t>
  </si>
  <si>
    <t>Only if different</t>
  </si>
  <si>
    <t>Pieces that actually came, when not the same as Qty.</t>
  </si>
  <si>
    <t>2</t>
  </si>
  <si>
    <t>Bills sheet</t>
  </si>
  <si>
    <t>One row per vendor bill: invoice no, vendor, date and the bill's grand total.</t>
  </si>
  <si>
    <t>SE/2526/PL/3568, Siyyona, 20-10-2026, 1,000</t>
  </si>
  <si>
    <t>Vendors sheet</t>
  </si>
  <si>
    <t>Every vendor once: name and State. GSTIN only if you know it.</t>
  </si>
  <si>
    <t>Siyyona, Maharashtra</t>
  </si>
  <si>
    <t>Template v1.7, 22 Oct 2026. The values on the Vendors, Lists and Example sheets are samples: replace them with yours. The Codes sheet (HSN, states) is fixed.</t>
  </si>
  <si>
    <t>Check</t>
  </si>
  <si>
    <t>Vendor Name *</t>
  </si>
  <si>
    <t>State *</t>
  </si>
  <si>
    <t>City</t>
  </si>
  <si>
    <t>GSTIN</t>
  </si>
  <si>
    <t>Phone</t>
  </si>
  <si>
    <t>Email</t>
  </si>
  <si>
    <t># Automatic: says OK, or what to fix</t>
  </si>
  <si>
    <t>Required. As you want it on the PO</t>
  </si>
  <si>
    <t>Required. Where the vendor is. Decides CGST + SGST or IGST</t>
  </si>
  <si>
    <t>Optional</t>
  </si>
  <si>
    <t>Optional. Leave blank if you do not know it</t>
  </si>
  <si>
    <t>Optional. POs can be emailed here</t>
  </si>
  <si>
    <t>Maharashtra</t>
  </si>
  <si>
    <t>Mumbai</t>
  </si>
  <si>
    <t>Thofa</t>
  </si>
  <si>
    <t>YJ NX</t>
  </si>
  <si>
    <t>Shwetha</t>
  </si>
  <si>
    <t>Piccasso</t>
  </si>
  <si>
    <t>Pashwa</t>
  </si>
  <si>
    <t>Bittu</t>
  </si>
  <si>
    <t>PO Ref *</t>
  </si>
  <si>
    <t>Vendor *</t>
  </si>
  <si>
    <t>Store *</t>
  </si>
  <si>
    <t>Product Type *</t>
  </si>
  <si>
    <t>Category *</t>
  </si>
  <si>
    <t>HSN Code *</t>
  </si>
  <si>
    <t>Qty *</t>
  </si>
  <si>
    <t>Purchase Rate (₹) *</t>
  </si>
  <si>
    <t>MRP (₹) *</t>
  </si>
  <si>
    <t>Amount (₹)</t>
  </si>
  <si>
    <t>Received Amount (₹)</t>
  </si>
  <si>
    <t>Required. Your name for this PO, e.g. SIY-OCT-01. Same PO Ref = one PO</t>
  </si>
  <si>
    <t>Required. Pick from the list (Vendors sheet)</t>
  </si>
  <si>
    <t>Required. Where the goods arrive</t>
  </si>
  <si>
    <t>Optional. Your label: same label = one design (1, 1, 1). Blank = own design</t>
  </si>
  <si>
    <t>Required. What it is: Earring, Necklace...</t>
  </si>
  <si>
    <t>Required. Collection: Antique, Kundan...</t>
  </si>
  <si>
    <t>Required. Pick from the list (see the Codes sheet)</t>
  </si>
  <si>
    <t>Auto, from the HSN</t>
  </si>
  <si>
    <t>Optional. Ball Drop, Cuff...</t>
  </si>
  <si>
    <t>Optional. Blank if it does not apply</t>
  </si>
  <si>
    <t>Optional. Photo file name(s), e.g. EI001-red.jpg, or a.jpg, b.jpg</t>
  </si>
  <si>
    <t>Required. Pieces (a pair = 1)</t>
  </si>
  <si>
    <t>Required. Per piece, including GST, as on the bill</t>
  </si>
  <si>
    <t>Required. The price printed on the sticker</t>
  </si>
  <si>
    <t>Automatic: Qty × Rate</t>
  </si>
  <si>
    <t>When goods arrive: the bill no. Blank = PO only</t>
  </si>
  <si>
    <t>Only if it differs from Qty (short or extra)</t>
  </si>
  <si>
    <t>Automatic: received qty × rate</t>
  </si>
  <si>
    <t>Vendor Invoice No *</t>
  </si>
  <si>
    <t>Invoice Date *</t>
  </si>
  <si>
    <t>Invoice Total (₹) *</t>
  </si>
  <si>
    <t>Rows Total (₹)</t>
  </si>
  <si>
    <t>Difference (₹)</t>
  </si>
  <si>
    <t>Required. Exactly as typed on the Purchase sheet</t>
  </si>
  <si>
    <t>Required. Pick from the list</t>
  </si>
  <si>
    <t>Required. Date on the bill</t>
  </si>
  <si>
    <t>Required. Grand total on the bill, including GST</t>
  </si>
  <si>
    <t>Automatic: sum of Received Amount for this bill</t>
  </si>
  <si>
    <t>Automatic: bill minus rows. Must be within ₹1</t>
  </si>
  <si>
    <t>Why this row looks like this</t>
  </si>
  <si>
    <t>EI001</t>
  </si>
  <si>
    <t>Gold</t>
  </si>
  <si>
    <t>Free Size</t>
  </si>
  <si>
    <t>EI001-purple.jpg</t>
  </si>
  <si>
    <t>Goods arrived: bill no filled, all 3 came. Its photo is EI001-purple.jpg</t>
  </si>
  <si>
    <t>White</t>
  </si>
  <si>
    <t>EI001-white.jpg, EI001-white-back.jpg</t>
  </si>
  <si>
    <t>Same design EI001 in another colour = a new row. Two photos</t>
  </si>
  <si>
    <t>EI002</t>
  </si>
  <si>
    <t>Ball Drop</t>
  </si>
  <si>
    <t>Only 2 of 3 came: Received Qty = 2</t>
  </si>
  <si>
    <t>ET001</t>
  </si>
  <si>
    <t>Temple</t>
  </si>
  <si>
    <t>Star Stud</t>
  </si>
  <si>
    <t>Red</t>
  </si>
  <si>
    <t>Kundan</t>
  </si>
  <si>
    <t>Stone boxes filled because it has stones</t>
  </si>
  <si>
    <t>THO-OCT-01</t>
  </si>
  <si>
    <t>EA001</t>
  </si>
  <si>
    <t>Antique</t>
  </si>
  <si>
    <t>Matte Gold</t>
  </si>
  <si>
    <t>Ruby</t>
  </si>
  <si>
    <t>Goods not here yet: green columns blank, so only the PO is made</t>
  </si>
  <si>
    <t>Necklace</t>
  </si>
  <si>
    <t>Short Necklace</t>
  </si>
  <si>
    <t>Red Green</t>
  </si>
  <si>
    <t>Adjustable</t>
  </si>
  <si>
    <t>Multi</t>
  </si>
  <si>
    <t>No Design No: a design of its own, numbered by Wholeops (same PO Ref = same PO)</t>
  </si>
  <si>
    <t>BIT-OCT-01</t>
  </si>
  <si>
    <t>BA001</t>
  </si>
  <si>
    <t>Bangle</t>
  </si>
  <si>
    <t>711719 - Imitation jewellery of base metal</t>
  </si>
  <si>
    <t>Pair Bangles</t>
  </si>
  <si>
    <t>Each size is its own row. Brass bangles: the 6-digit 711719 is also fine</t>
  </si>
  <si>
    <t>2x8</t>
  </si>
  <si>
    <t>Bills (in your file this is the Bills sheet)</t>
  </si>
  <si>
    <t>Bill total 1,000 = 3×90 + 3×90 + 2×90 + 2×140 (only what came)</t>
  </si>
  <si>
    <t>Sample values: replace them with yours and add new ones at the bottom of a column. Stores must already exist in Wholeops; every other new value is created on upload. Vendors are on the Vendors sheet.</t>
  </si>
  <si>
    <t>Hoop</t>
  </si>
  <si>
    <t>CZ</t>
  </si>
  <si>
    <t>AD</t>
  </si>
  <si>
    <t>Bracelet</t>
  </si>
  <si>
    <t>Double Line Hoop</t>
  </si>
  <si>
    <t>Green</t>
  </si>
  <si>
    <t>2x4</t>
  </si>
  <si>
    <t>Ring</t>
  </si>
  <si>
    <t>Blue</t>
  </si>
  <si>
    <t>Rhodium</t>
  </si>
  <si>
    <t>Polki</t>
  </si>
  <si>
    <t>Trendy</t>
  </si>
  <si>
    <t>Flower Stud</t>
  </si>
  <si>
    <t>Silver Oxidised</t>
  </si>
  <si>
    <t>Pearl</t>
  </si>
  <si>
    <t>Pink</t>
  </si>
  <si>
    <t>Keychain</t>
  </si>
  <si>
    <t>2x10</t>
  </si>
  <si>
    <t>Imported CZ</t>
  </si>
  <si>
    <t>Beads</t>
  </si>
  <si>
    <t>Black</t>
  </si>
  <si>
    <t>Cuff</t>
  </si>
  <si>
    <t>Emerald</t>
  </si>
  <si>
    <t>Yellow</t>
  </si>
  <si>
    <t>Chain</t>
  </si>
  <si>
    <t>Synthetic</t>
  </si>
  <si>
    <t>Pendant</t>
  </si>
  <si>
    <t>Amethyst</t>
  </si>
  <si>
    <t>Pendant Necklace</t>
  </si>
  <si>
    <t>Amber</t>
  </si>
  <si>
    <t>Mala</t>
  </si>
  <si>
    <t>Polki Ring</t>
  </si>
  <si>
    <t>Use it for</t>
  </si>
  <si>
    <t>State</t>
  </si>
  <si>
    <t>GST State Code</t>
  </si>
  <si>
    <t>Artificial jewellery of any material. Use this when unsure.</t>
  </si>
  <si>
    <t>Andaman and Nicobar Islands</t>
  </si>
  <si>
    <t>35</t>
  </si>
  <si>
    <t>711711 - Imitation cufflinks and studs</t>
  </si>
  <si>
    <t>Cufflinks and studs of base metal, plated or not.</t>
  </si>
  <si>
    <t>Andhra Pradesh</t>
  </si>
  <si>
    <t>37</t>
  </si>
  <si>
    <t>Artificial, AD / zircon, oxidised, kundan, gold-plated jewellery of brass, copper, alloy, German silver.</t>
  </si>
  <si>
    <t>Arunachal Pradesh</t>
  </si>
  <si>
    <t>12</t>
  </si>
  <si>
    <t>711790 - Imitation jewellery of other materials</t>
  </si>
  <si>
    <t>Beads, glass, lac, thread, plastic...</t>
  </si>
  <si>
    <t>Assam</t>
  </si>
  <si>
    <t>18</t>
  </si>
  <si>
    <t>7113 - Jewellery of precious metal</t>
  </si>
  <si>
    <t>Real gold, silver or platinum jewellery.</t>
  </si>
  <si>
    <t>Bihar</t>
  </si>
  <si>
    <t>10</t>
  </si>
  <si>
    <t>711311 - Silver jewellery</t>
  </si>
  <si>
    <t>Of silver, plated or clad with another precious metal or not.</t>
  </si>
  <si>
    <t>Chandigarh</t>
  </si>
  <si>
    <t>04</t>
  </si>
  <si>
    <t>711319 - Gold, platinum and diamond jewellery</t>
  </si>
  <si>
    <t>Of gold, platinum or other precious metal (not silver).</t>
  </si>
  <si>
    <t>Chhattisgarh</t>
  </si>
  <si>
    <t>22</t>
  </si>
  <si>
    <t>711320 - Base metal clad with precious metal</t>
  </si>
  <si>
    <t>Rolled gold: a layer of gold or silver bonded on, not just plated.</t>
  </si>
  <si>
    <t>Dadra and Nagar Haveli and Daman and Diu</t>
  </si>
  <si>
    <t>26</t>
  </si>
  <si>
    <t>711411 - Silverware</t>
  </si>
  <si>
    <t>Silver utensils, idols and pooja articles.</t>
  </si>
  <si>
    <t>Delhi</t>
  </si>
  <si>
    <t>07</t>
  </si>
  <si>
    <t>711419 - Gold articles</t>
  </si>
  <si>
    <t>Gold utensils, idols and pooja articles.</t>
  </si>
  <si>
    <t>Goa</t>
  </si>
  <si>
    <t>30</t>
  </si>
  <si>
    <t>711610 - Pearl jewellery and articles</t>
  </si>
  <si>
    <t>Natural or cultured pearls.</t>
  </si>
  <si>
    <t>Gujarat</t>
  </si>
  <si>
    <t>24</t>
  </si>
  <si>
    <t>711620 - Gemstone jewellery and articles</t>
  </si>
  <si>
    <t>Precious and semi-precious stones.</t>
  </si>
  <si>
    <t>Haryana</t>
  </si>
  <si>
    <t>06</t>
  </si>
  <si>
    <t>Himachal Pradesh</t>
  </si>
  <si>
    <t>02</t>
  </si>
  <si>
    <t>All chapter 71 jewellery is GST 3% (1.5% CGST + 1.5% SGST, or 3% IGST).</t>
  </si>
  <si>
    <t>Jammu and Kashmir</t>
  </si>
  <si>
    <t>01</t>
  </si>
  <si>
    <t>On invoices, 4 HSN digits are enough up to ₹5 crore yearly turnover; above that use 6 digits.</t>
  </si>
  <si>
    <t>Jharkhand</t>
  </si>
  <si>
    <t>20</t>
  </si>
  <si>
    <t>Artificial / fashion jewellery is 7117 (711719 for base metal, 711790 for beads, glass, plastic).</t>
  </si>
  <si>
    <t>Karnataka</t>
  </si>
  <si>
    <t>29</t>
  </si>
  <si>
    <t>Use 7113 only for real gold, silver or platinum jewellery.</t>
  </si>
  <si>
    <t>Kerala</t>
  </si>
  <si>
    <t>32</t>
  </si>
  <si>
    <t>This sheet is fixed and protected. Need another HSN? Ask us.</t>
  </si>
  <si>
    <t>Ladakh</t>
  </si>
  <si>
    <t>38</t>
  </si>
  <si>
    <t>Lakshadweep</t>
  </si>
  <si>
    <t>31</t>
  </si>
  <si>
    <t>Madhya Pradesh</t>
  </si>
  <si>
    <t>23</t>
  </si>
  <si>
    <t>27</t>
  </si>
  <si>
    <t>Manipur</t>
  </si>
  <si>
    <t>14</t>
  </si>
  <si>
    <t>Meghalaya</t>
  </si>
  <si>
    <t>17</t>
  </si>
  <si>
    <t>Mizoram</t>
  </si>
  <si>
    <t>15</t>
  </si>
  <si>
    <t>Nagaland</t>
  </si>
  <si>
    <t>13</t>
  </si>
  <si>
    <t>Odisha</t>
  </si>
  <si>
    <t>21</t>
  </si>
  <si>
    <t>Puducherry</t>
  </si>
  <si>
    <t>34</t>
  </si>
  <si>
    <t>Punjab</t>
  </si>
  <si>
    <t>03</t>
  </si>
  <si>
    <t>Rajasthan</t>
  </si>
  <si>
    <t>08</t>
  </si>
  <si>
    <t>Sikkim</t>
  </si>
  <si>
    <t>11</t>
  </si>
  <si>
    <t>Tamil Nadu</t>
  </si>
  <si>
    <t>33</t>
  </si>
  <si>
    <t>Telangana</t>
  </si>
  <si>
    <t>36</t>
  </si>
  <si>
    <t>Tripura</t>
  </si>
  <si>
    <t>16</t>
  </si>
  <si>
    <t>Uttar Pradesh</t>
  </si>
  <si>
    <t>09</t>
  </si>
  <si>
    <t>Uttarakhand</t>
  </si>
  <si>
    <t>05</t>
  </si>
  <si>
    <t>West Bengal</t>
  </si>
  <si>
    <t>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</si>
</sst>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quot;"/>
    <numFmt numFmtId="165" formatCode="dd\-mmm\-yyyy"/>
  </numFmts>
  <fonts count="14" x14ac:knownFonts="1">
    <font>
      <sz val="11"/>
      <color theme="1"/>
      <name val="Calibri"/>
      <family val="2"/>
      <scheme val="minor"/>
    </font>
    <font>
      <b/>
      <sz val="16"/>
      <color rgb="FF1F3864"/>
      <name val="Arial"/>
    </font>
    <font>
      <i/>
      <sz val="10"/>
      <color rgb="FF595959"/>
      <name val="Arial"/>
    </font>
    <font>
      <b/>
      <sz val="12"/>
      <color rgb="FF1F3864"/>
      <name val="Arial"/>
    </font>
    <font>
      <b/>
      <sz val="10"/>
      <name val="Arial"/>
    </font>
    <font>
      <sz val="10"/>
      <name val="Arial"/>
    </font>
    <font>
      <b/>
      <sz val="10"/>
      <color rgb="FFFFFFFF"/>
      <name val="Arial"/>
    </font>
    <font>
      <i/>
      <sz val="10"/>
      <color rgb="FF7F7F7F"/>
      <name val="Arial"/>
    </font>
    <font>
      <i/>
      <sz val="8"/>
      <color rgb="FF595959"/>
      <name val="Arial"/>
    </font>
    <font>
      <sz val="10"/>
      <color rgb="FF404040"/>
      <name val="Arial"/>
    </font>
    <font>
      <sz val="10"/>
      <color rgb="FF000000"/>
      <name val="Arial"/>
    </font>
    <font>
      <i/>
      <sz val="10"/>
      <color rgb="FF7F4F00"/>
      <name val="Arial"/>
    </font>
    <font>
      <b/>
      <sz val="10"/>
      <color rgb="FF7F4F00"/>
      <name val="Arial"/>
    </font>
    <font>
      <b/>
      <sz val="11"/>
      <color rgb="FF375623"/>
      <name val="Arial"/>
    </font>
  </fonts>
  <fills count="14">
    <fill>
      <patternFill patternType="none"/>
    </fill>
    <fill>
      <patternFill patternType="gray125"/>
    </fill>
    <fill>
      <patternFill patternType="solid">
        <fgColor rgb="FFFFF2CC"/>
        <bgColor rgb="FFFFF2CC"/>
      </patternFill>
    </fill>
    <fill>
      <patternFill patternType="solid">
        <fgColor rgb="FFFFFFFF"/>
        <bgColor rgb="FFFFFFFF"/>
      </patternFill>
    </fill>
    <fill>
      <patternFill patternType="solid">
        <fgColor rgb="FFE2EFDA"/>
        <bgColor rgb="FFE2EFDA"/>
      </patternFill>
    </fill>
    <fill>
      <patternFill patternType="solid">
        <fgColor rgb="FFEDEDED"/>
        <bgColor rgb="FFEDEDED"/>
      </patternFill>
    </fill>
    <fill>
      <patternFill patternType="solid">
        <fgColor rgb="FFFFC7CE"/>
        <bgColor rgb="FFFFC7CE"/>
      </patternFill>
    </fill>
    <fill>
      <patternFill patternType="solid">
        <fgColor rgb="FF1F3864"/>
        <bgColor rgb="FF1F3864"/>
      </patternFill>
    </fill>
    <fill>
      <patternFill patternType="solid">
        <fgColor rgb="FF595959"/>
        <bgColor rgb="FF595959"/>
      </patternFill>
    </fill>
    <fill>
      <patternFill patternType="solid">
        <fgColor rgb="FFF2F2F2"/>
        <bgColor rgb="FFF2F2F2"/>
      </patternFill>
    </fill>
    <fill>
      <patternFill patternType="solid">
        <fgColor rgb="FF1F5C66"/>
        <bgColor rgb="FF1F5C66"/>
      </patternFill>
    </fill>
    <fill>
      <patternFill patternType="solid">
        <fgColor rgb="FF5B3A7A"/>
        <bgColor rgb="FF5B3A7A"/>
      </patternFill>
    </fill>
    <fill>
      <patternFill patternType="solid">
        <fgColor rgb="FF7F4F00"/>
        <bgColor rgb="FF7F4F00"/>
      </patternFill>
    </fill>
    <fill>
      <patternFill patternType="solid">
        <fgColor rgb="FF375623"/>
        <bgColor rgb="FF37562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2">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0" borderId="0" xfId="0" applyFont="1" applyAlignment="1">
      <alignment vertical="top" wrapText="1"/>
    </xf>
    <xf numFmtId="0" fontId="5" fillId="0" borderId="0" xfId="0" applyFont="1" applyAlignment="1">
      <alignment vertical="top" wrapText="1"/>
    </xf>
    <xf numFmtId="0" fontId="5" fillId="2" borderId="1" xfId="0" applyFont="1" applyFill="1" applyBorder="1" applyAlignment="1">
      <alignment vertical="top" wrapText="1"/>
    </xf>
    <xf numFmtId="0" fontId="5" fillId="3" borderId="1" xfId="0" applyFont="1" applyFill="1" applyBorder="1" applyAlignment="1">
      <alignment vertical="top"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1" fontId="4" fillId="0" borderId="0" xfId="0" applyNumberFormat="1" applyFont="1" applyAlignment="1">
      <alignment horizontal="right"/>
    </xf>
    <xf numFmtId="3" fontId="4" fillId="0" borderId="0" xfId="0" applyNumberFormat="1" applyFont="1" applyAlignment="1">
      <alignment horizontal="right"/>
    </xf>
    <xf numFmtId="4" fontId="4" fillId="0" borderId="0" xfId="0" applyNumberFormat="1" applyFont="1" applyAlignment="1">
      <alignment horizontal="right"/>
    </xf>
    <xf numFmtId="0" fontId="6" fillId="7" borderId="0" xfId="0" applyFont="1" applyFill="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7" fillId="0" borderId="0" xfId="0" applyFont="1" applyAlignment="1">
      <alignment vertical="top" wrapText="1"/>
    </xf>
    <xf numFmtId="0" fontId="6" fillId="8"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8" fillId="9" borderId="1" xfId="0" applyFont="1" applyFill="1" applyBorder="1" applyAlignment="1">
      <alignment vertical="top" wrapText="1"/>
    </xf>
    <xf numFmtId="0" fontId="9" fillId="5" borderId="1" xfId="0" applyFont="1" applyFill="1" applyBorder="1"/>
    <xf numFmtId="0" fontId="10" fillId="2" borderId="1" xfId="0" applyFont="1" applyFill="1" applyBorder="1"/>
    <xf numFmtId="0" fontId="10" fillId="3" borderId="1" xfId="0" applyFont="1" applyFill="1" applyBorder="1"/>
    <xf numFmtId="49" fontId="10" fillId="3" borderId="1" xfId="0" applyNumberFormat="1" applyFont="1" applyFill="1" applyBorder="1"/>
    <xf numFmtId="0" fontId="6" fillId="10"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6" fillId="13" borderId="1" xfId="0" applyFont="1" applyFill="1" applyBorder="1" applyAlignment="1">
      <alignment horizontal="center" vertical="center" wrapText="1"/>
    </xf>
    <xf numFmtId="49" fontId="10" fillId="2" borderId="1" xfId="0" applyNumberFormat="1" applyFont="1" applyFill="1" applyBorder="1"/>
    <xf numFmtId="164" fontId="9" fillId="5" borderId="1" xfId="0" applyNumberFormat="1" applyFont="1" applyFill="1" applyBorder="1"/>
    <xf numFmtId="1" fontId="10" fillId="2" borderId="1" xfId="0" applyNumberFormat="1" applyFont="1" applyFill="1" applyBorder="1"/>
    <xf numFmtId="4" fontId="10" fillId="2" borderId="1" xfId="0" applyNumberFormat="1" applyFont="1" applyFill="1" applyBorder="1"/>
    <xf numFmtId="4" fontId="9" fillId="5" borderId="1" xfId="0" applyNumberFormat="1" applyFont="1" applyFill="1" applyBorder="1"/>
    <xf numFmtId="49" fontId="10" fillId="4" borderId="1" xfId="0" applyNumberFormat="1" applyFont="1" applyFill="1" applyBorder="1"/>
    <xf numFmtId="1" fontId="10" fillId="4" borderId="1" xfId="0" applyNumberFormat="1" applyFont="1" applyFill="1" applyBorder="1"/>
    <xf numFmtId="165" fontId="10" fillId="2" borderId="1" xfId="0" applyNumberFormat="1" applyFont="1" applyFill="1" applyBorder="1"/>
    <xf numFmtId="0" fontId="12" fillId="0" borderId="0" xfId="0" applyFont="1"/>
    <xf numFmtId="0" fontId="11" fillId="0" borderId="0" xfId="0" applyFont="1"/>
    <xf numFmtId="0" fontId="13" fillId="0" borderId="0" xfId="0" applyFont="1"/>
    <xf numFmtId="0" fontId="6" fillId="8" borderId="1" xfId="0" applyFont="1" applyFill="1" applyBorder="1" applyAlignment="1">
      <alignment horizontal="center"/>
    </xf>
    <xf numFmtId="0" fontId="5" fillId="0" borderId="0" xfId="0" applyFont="1"/>
    <xf numFmtId="0" fontId="6" fillId="11" borderId="1" xfId="0" applyFont="1" applyFill="1" applyBorder="1" applyAlignment="1">
      <alignment vertical="center" wrapText="1"/>
    </xf>
    <xf numFmtId="0" fontId="4" fillId="0" borderId="1" xfId="0" applyFont="1" applyBorder="1"/>
    <xf numFmtId="164" fontId="5" fillId="0" borderId="1" xfId="0" applyNumberFormat="1" applyFont="1" applyBorder="1"/>
    <xf numFmtId="0" fontId="5" fillId="0" borderId="1" xfId="0" applyFont="1" applyBorder="1"/>
    <xf numFmtId="49" fontId="5" fillId="0" borderId="1" xfId="0" applyNumberFormat="1" applyFont="1" applyBorder="1"/>
    <xf numFmtId="0" fontId="2" fillId="0" borderId="0" xfId="0" applyFont="1"/>
    <xf numFmtId="0" fontId="5" fillId="0" borderId="0" xfId="0" applyFont="1" applyAlignment="1">
      <alignment vertical="top" wrapText="1"/>
    </xf>
    <xf numFmtId="0" fontId="0" fillId="0" borderId="0" xfId="0"/>
    <xf numFmtId="0" fontId="4" fillId="0" borderId="0" xfId="0" applyFont="1"/>
    <xf numFmtId="0" fontId="7" fillId="0" borderId="0" xfId="0" applyFont="1" applyAlignment="1">
      <alignment vertical="top" wrapText="1"/>
    </xf>
  </cellXfs>
  <cellStyles count="1">
    <cellStyle name="Normal" xfId="0" builtinId="0"/>
  </cellStyles>
  <dxfs count="21">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ont>
        <b/>
        <color rgb="FF9C0006"/>
        <name val="Arial"/>
      </font>
      <fill>
        <patternFill patternType="solid">
          <fgColor rgb="FFFFC7CE"/>
          <bgColor rgb="FFFFC7CE"/>
        </patternFill>
      </fill>
    </dxf>
    <dxf>
      <font>
        <b/>
        <color rgb="FF006100"/>
        <name val="Arial"/>
      </font>
      <fill>
        <patternFill patternType="solid">
          <fgColor rgb="FFC6EFCE"/>
          <bgColor rgb="FFC6EFCE"/>
        </patternFill>
      </fill>
    </dxf>
    <dxf>
      <font>
        <b/>
        <color rgb="FF9C0006"/>
        <name val="Arial"/>
      </font>
      <fill>
        <patternFill patternType="solid">
          <fgColor rgb="FFFFC7CE"/>
          <bgColor rgb="FFFFC7CE"/>
        </patternFill>
      </fill>
    </dxf>
    <dxf>
      <font>
        <b/>
        <color rgb="FF006100"/>
        <name val="Arial"/>
      </font>
      <fill>
        <patternFill patternType="solid">
          <fgColor rgb="FFC6EFCE"/>
          <bgColor rgb="FFC6EFCE"/>
        </patternFill>
      </fill>
    </dxf>
    <dxf>
      <fill>
        <patternFill patternType="solid">
          <fgColor rgb="FFFFC7CE"/>
          <bgColor rgb="FFFFC7CE"/>
        </patternFill>
      </fill>
    </dxf>
    <dxf>
      <font>
        <b/>
        <color rgb="FF9C0006"/>
        <name val="Arial"/>
      </font>
      <fill>
        <patternFill patternType="solid">
          <fgColor rgb="FFFFC7CE"/>
          <bgColor rgb="FFFFC7CE"/>
        </patternFill>
      </fill>
    </dxf>
    <dxf>
      <font>
        <b/>
        <color rgb="FF006100"/>
        <name val="Arial"/>
      </font>
      <fill>
        <patternFill patternType="solid">
          <fgColor rgb="FFC6EFCE"/>
          <bgColor rgb="FFC6EF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ont>
        <b/>
        <color rgb="FF9C0006"/>
        <name val="Arial"/>
      </font>
      <fill>
        <patternFill patternType="solid">
          <fgColor rgb="FFFFC7CE"/>
          <bgColor rgb="FFFFC7CE"/>
        </patternFill>
      </fill>
    </dxf>
    <dxf>
      <font>
        <b/>
        <color rgb="FF006100"/>
        <name val="Arial"/>
      </font>
      <fill>
        <patternFill patternType="solid">
          <fgColor rgb="FFC6EFCE"/>
          <bgColor rgb="FFC6EFCE"/>
        </patternFill>
      </fill>
    </dxf>
    <dxf>
      <fill>
        <patternFill patternType="solid">
          <fgColor rgb="FFFFC7CE"/>
          <bgColor rgb="FFFFC7CE"/>
        </patternFill>
      </fill>
    </dxf>
    <dxf>
      <font>
        <b/>
        <color rgb="FF9C0006"/>
        <name val="Arial"/>
      </font>
      <fill>
        <patternFill patternType="solid">
          <fgColor rgb="FFFFC7CE"/>
          <bgColor rgb="FFFFC7CE"/>
        </patternFill>
      </fill>
    </dxf>
    <dxf>
      <font>
        <b/>
        <color rgb="FF00610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67"/>
  <sheetViews>
    <sheetView showGridLines="0" tabSelected="1" workbookViewId="0"/>
  </sheetViews>
  <sheetFormatPr defaultRowHeight="14.5" x14ac:dyDescent="0.35"/>
  <cols>
    <col min="1" max="1" width="3" customWidth="1"/>
    <col min="2" max="2" width="24" customWidth="1"/>
    <col min="3" max="3" width="14" customWidth="1"/>
    <col min="4" max="4" width="62" customWidth="1"/>
    <col min="5" max="5" width="22" customWidth="1"/>
  </cols>
  <sheetData>
    <row r="1" spans="2:5" ht="20" x14ac:dyDescent="0.35">
      <c r="B1" s="1" t="s">
        <v>0</v>
      </c>
    </row>
    <row r="2" spans="2:5" x14ac:dyDescent="0.35">
      <c r="B2" s="2" t="s">
        <v>1</v>
      </c>
    </row>
    <row r="4" spans="2:5" ht="15.5" x14ac:dyDescent="0.35">
      <c r="B4" s="3" t="s">
        <v>2</v>
      </c>
    </row>
    <row r="5" spans="2:5" ht="18" customHeight="1" x14ac:dyDescent="0.35">
      <c r="B5" s="4" t="s">
        <v>3</v>
      </c>
      <c r="C5" s="48" t="s">
        <v>4</v>
      </c>
      <c r="D5" s="49"/>
      <c r="E5" s="49"/>
    </row>
    <row r="6" spans="2:5" ht="33" customHeight="1" x14ac:dyDescent="0.35">
      <c r="B6" s="4" t="s">
        <v>5</v>
      </c>
      <c r="C6" s="48" t="s">
        <v>6</v>
      </c>
      <c r="D6" s="49"/>
      <c r="E6" s="49"/>
    </row>
    <row r="7" spans="2:5" ht="18" customHeight="1" x14ac:dyDescent="0.35">
      <c r="B7" s="4" t="s">
        <v>7</v>
      </c>
      <c r="C7" s="48" t="s">
        <v>8</v>
      </c>
      <c r="D7" s="49"/>
      <c r="E7" s="49"/>
    </row>
    <row r="8" spans="2:5" ht="48" customHeight="1" x14ac:dyDescent="0.35">
      <c r="B8" s="4" t="s">
        <v>9</v>
      </c>
      <c r="C8" s="48" t="s">
        <v>10</v>
      </c>
      <c r="D8" s="49"/>
      <c r="E8" s="49"/>
    </row>
    <row r="9" spans="2:5" ht="18" customHeight="1" x14ac:dyDescent="0.35">
      <c r="B9" s="4" t="s">
        <v>11</v>
      </c>
      <c r="C9" s="48" t="s">
        <v>12</v>
      </c>
      <c r="D9" s="49"/>
      <c r="E9" s="49"/>
    </row>
    <row r="11" spans="2:5" ht="15.5" x14ac:dyDescent="0.35">
      <c r="B11" s="3" t="s">
        <v>13</v>
      </c>
    </row>
    <row r="12" spans="2:5" ht="47" customHeight="1" x14ac:dyDescent="0.35">
      <c r="B12" s="48" t="s">
        <v>14</v>
      </c>
      <c r="C12" s="49"/>
      <c r="D12" s="49"/>
      <c r="E12" s="49"/>
    </row>
    <row r="13" spans="2:5" ht="17" customHeight="1" x14ac:dyDescent="0.35">
      <c r="B13" s="48" t="s">
        <v>15</v>
      </c>
      <c r="C13" s="49"/>
      <c r="D13" s="49"/>
      <c r="E13" s="49"/>
    </row>
    <row r="14" spans="2:5" ht="17" customHeight="1" x14ac:dyDescent="0.35">
      <c r="B14" s="48" t="s">
        <v>16</v>
      </c>
      <c r="C14" s="49"/>
      <c r="D14" s="49"/>
      <c r="E14" s="49"/>
    </row>
    <row r="15" spans="2:5" ht="47" customHeight="1" x14ac:dyDescent="0.35">
      <c r="B15" s="48" t="s">
        <v>17</v>
      </c>
      <c r="C15" s="49"/>
      <c r="D15" s="49"/>
      <c r="E15" s="49"/>
    </row>
    <row r="16" spans="2:5" ht="32" customHeight="1" x14ac:dyDescent="0.35">
      <c r="B16" s="48" t="s">
        <v>18</v>
      </c>
      <c r="C16" s="49"/>
      <c r="D16" s="49"/>
      <c r="E16" s="49"/>
    </row>
    <row r="17" spans="2:5" ht="32" customHeight="1" x14ac:dyDescent="0.35">
      <c r="B17" s="48" t="s">
        <v>19</v>
      </c>
      <c r="C17" s="49"/>
      <c r="D17" s="49"/>
      <c r="E17" s="49"/>
    </row>
    <row r="18" spans="2:5" ht="17" customHeight="1" x14ac:dyDescent="0.35">
      <c r="B18" s="48" t="s">
        <v>20</v>
      </c>
      <c r="C18" s="49"/>
      <c r="D18" s="49"/>
      <c r="E18" s="49"/>
    </row>
    <row r="19" spans="2:5" ht="32" customHeight="1" x14ac:dyDescent="0.35">
      <c r="B19" s="48" t="s">
        <v>21</v>
      </c>
      <c r="C19" s="49"/>
      <c r="D19" s="49"/>
      <c r="E19" s="49"/>
    </row>
    <row r="20" spans="2:5" ht="32" customHeight="1" x14ac:dyDescent="0.35">
      <c r="B20" s="48" t="s">
        <v>22</v>
      </c>
      <c r="C20" s="49"/>
      <c r="D20" s="49"/>
      <c r="E20" s="49"/>
    </row>
    <row r="21" spans="2:5" ht="17" customHeight="1" x14ac:dyDescent="0.35">
      <c r="B21" s="48" t="s">
        <v>23</v>
      </c>
      <c r="C21" s="49"/>
      <c r="D21" s="49"/>
      <c r="E21" s="49"/>
    </row>
    <row r="22" spans="2:5" ht="17" customHeight="1" x14ac:dyDescent="0.35">
      <c r="B22" s="48" t="s">
        <v>24</v>
      </c>
      <c r="C22" s="49"/>
      <c r="D22" s="49"/>
      <c r="E22" s="49"/>
    </row>
    <row r="24" spans="2:5" ht="15.5" x14ac:dyDescent="0.35">
      <c r="B24" s="3" t="s">
        <v>25</v>
      </c>
    </row>
    <row r="25" spans="2:5" x14ac:dyDescent="0.35">
      <c r="B25" s="6"/>
      <c r="C25" s="48" t="s">
        <v>26</v>
      </c>
      <c r="D25" s="49"/>
    </row>
    <row r="26" spans="2:5" x14ac:dyDescent="0.35">
      <c r="B26" s="7"/>
      <c r="C26" s="48" t="s">
        <v>27</v>
      </c>
      <c r="D26" s="49"/>
    </row>
    <row r="27" spans="2:5" x14ac:dyDescent="0.35">
      <c r="B27" s="8"/>
      <c r="C27" s="48" t="s">
        <v>28</v>
      </c>
      <c r="D27" s="49"/>
    </row>
    <row r="28" spans="2:5" x14ac:dyDescent="0.35">
      <c r="B28" s="9"/>
      <c r="C28" s="48" t="s">
        <v>29</v>
      </c>
      <c r="D28" s="49"/>
    </row>
    <row r="29" spans="2:5" x14ac:dyDescent="0.35">
      <c r="B29" s="10"/>
      <c r="C29" s="48" t="s">
        <v>30</v>
      </c>
      <c r="D29" s="49"/>
    </row>
    <row r="31" spans="2:5" ht="15.5" x14ac:dyDescent="0.35">
      <c r="B31" s="3" t="s">
        <v>31</v>
      </c>
    </row>
    <row r="32" spans="2:5" x14ac:dyDescent="0.35">
      <c r="B32" s="5" t="s">
        <v>32</v>
      </c>
      <c r="C32" s="11">
        <f>SUMPRODUCT(--(LEN(Vendors!$A$3:$A$202)&gt;0))</f>
        <v>7</v>
      </c>
    </row>
    <row r="33" spans="2:5" x14ac:dyDescent="0.35">
      <c r="B33" s="5" t="s">
        <v>33</v>
      </c>
      <c r="C33" s="11">
        <f>SUMPRODUCT((LEN(Vendors!$A$3:$A$202)&gt;0)*(Vendors!$A$3:$A$202&lt;&gt;"OK"))</f>
        <v>0</v>
      </c>
    </row>
    <row r="34" spans="2:5" x14ac:dyDescent="0.35">
      <c r="B34" s="5" t="s">
        <v>34</v>
      </c>
      <c r="C34" s="11">
        <f>SUMPRODUCT(--(LEN(Purchase!$A$3:$A$1002)&gt;0))</f>
        <v>0</v>
      </c>
    </row>
    <row r="35" spans="2:5" x14ac:dyDescent="0.35">
      <c r="B35" s="5" t="s">
        <v>35</v>
      </c>
      <c r="C35" s="11">
        <f>SUMPRODUCT((LEN(Purchase!$A$3:$A$1002)&gt;0)*(Purchase!$A$3:$A$1002&lt;&gt;"OK"))</f>
        <v>0</v>
      </c>
    </row>
    <row r="36" spans="2:5" x14ac:dyDescent="0.35">
      <c r="B36" s="5" t="s">
        <v>36</v>
      </c>
      <c r="C36" s="12">
        <f>SUM(Purchase!$Q$3:$Q$1002)</f>
        <v>0</v>
      </c>
    </row>
    <row r="37" spans="2:5" x14ac:dyDescent="0.35">
      <c r="B37" s="5" t="s">
        <v>37</v>
      </c>
      <c r="C37" s="13">
        <f>SUM(Purchase!$T$3:$T$1002)</f>
        <v>0</v>
      </c>
    </row>
    <row r="38" spans="2:5" x14ac:dyDescent="0.35">
      <c r="B38" s="5" t="s">
        <v>38</v>
      </c>
      <c r="C38" s="11">
        <f>SUMPRODUCT(--(LEN(Bills!$A$3:$A$302)&gt;0))</f>
        <v>0</v>
      </c>
    </row>
    <row r="39" spans="2:5" x14ac:dyDescent="0.35">
      <c r="B39" s="5" t="s">
        <v>39</v>
      </c>
      <c r="C39" s="11">
        <f>SUMPRODUCT((LEN(Bills!$A$3:$A$302)&gt;0)*(Bills!$A$3:$A$302&lt;&gt;"OK"))</f>
        <v>0</v>
      </c>
    </row>
    <row r="40" spans="2:5" x14ac:dyDescent="0.35">
      <c r="B40" s="4" t="s">
        <v>40</v>
      </c>
      <c r="C40" s="50" t="str">
        <f>IF(C34=0,"Not started",IF(C33+C35+C39=0,"Ready to send","Fix the rows marked red in column A"))</f>
        <v>Not started</v>
      </c>
      <c r="D40" s="49"/>
    </row>
    <row r="42" spans="2:5" ht="15.5" x14ac:dyDescent="0.35">
      <c r="B42" s="3" t="s">
        <v>41</v>
      </c>
    </row>
    <row r="43" spans="2:5" x14ac:dyDescent="0.35">
      <c r="B43" s="14" t="s">
        <v>42</v>
      </c>
      <c r="C43" s="14" t="s">
        <v>43</v>
      </c>
      <c r="D43" s="14" t="s">
        <v>44</v>
      </c>
      <c r="E43" s="14" t="s">
        <v>45</v>
      </c>
    </row>
    <row r="44" spans="2:5" ht="31" customHeight="1" x14ac:dyDescent="0.35">
      <c r="B44" s="15" t="s">
        <v>46</v>
      </c>
      <c r="C44" s="16" t="s">
        <v>47</v>
      </c>
      <c r="D44" s="16" t="s">
        <v>48</v>
      </c>
      <c r="E44" s="16" t="s">
        <v>49</v>
      </c>
    </row>
    <row r="45" spans="2:5" ht="31" customHeight="1" x14ac:dyDescent="0.35">
      <c r="B45" s="15" t="s">
        <v>50</v>
      </c>
      <c r="C45" s="16" t="s">
        <v>47</v>
      </c>
      <c r="D45" s="16" t="s">
        <v>51</v>
      </c>
      <c r="E45" s="16" t="s">
        <v>52</v>
      </c>
    </row>
    <row r="46" spans="2:5" ht="16" customHeight="1" x14ac:dyDescent="0.35">
      <c r="B46" s="15" t="s">
        <v>53</v>
      </c>
      <c r="C46" s="16" t="s">
        <v>47</v>
      </c>
      <c r="D46" s="16" t="s">
        <v>54</v>
      </c>
      <c r="E46" s="16" t="s">
        <v>55</v>
      </c>
    </row>
    <row r="47" spans="2:5" ht="61" customHeight="1" x14ac:dyDescent="0.35">
      <c r="B47" s="15" t="s">
        <v>56</v>
      </c>
      <c r="C47" s="16" t="s">
        <v>57</v>
      </c>
      <c r="D47" s="16" t="s">
        <v>58</v>
      </c>
      <c r="E47" s="16" t="s">
        <v>59</v>
      </c>
    </row>
    <row r="48" spans="2:5" ht="16" customHeight="1" x14ac:dyDescent="0.35">
      <c r="B48" s="15" t="s">
        <v>60</v>
      </c>
      <c r="C48" s="16" t="s">
        <v>47</v>
      </c>
      <c r="D48" s="16" t="s">
        <v>61</v>
      </c>
      <c r="E48" s="16" t="s">
        <v>62</v>
      </c>
    </row>
    <row r="49" spans="2:5" ht="16" customHeight="1" x14ac:dyDescent="0.35">
      <c r="B49" s="15" t="s">
        <v>63</v>
      </c>
      <c r="C49" s="16" t="s">
        <v>47</v>
      </c>
      <c r="D49" s="16" t="s">
        <v>64</v>
      </c>
      <c r="E49" s="16" t="s">
        <v>65</v>
      </c>
    </row>
    <row r="50" spans="2:5" ht="31" customHeight="1" x14ac:dyDescent="0.35">
      <c r="B50" s="15" t="s">
        <v>66</v>
      </c>
      <c r="C50" s="16" t="s">
        <v>47</v>
      </c>
      <c r="D50" s="16" t="s">
        <v>67</v>
      </c>
      <c r="E50" s="16" t="s">
        <v>68</v>
      </c>
    </row>
    <row r="51" spans="2:5" ht="16" customHeight="1" x14ac:dyDescent="0.35">
      <c r="B51" s="15" t="s">
        <v>69</v>
      </c>
      <c r="C51" s="16" t="s">
        <v>70</v>
      </c>
      <c r="D51" s="16" t="s">
        <v>71</v>
      </c>
      <c r="E51" s="16" t="s">
        <v>72</v>
      </c>
    </row>
    <row r="52" spans="2:5" ht="16" customHeight="1" x14ac:dyDescent="0.35">
      <c r="B52" s="15" t="s">
        <v>73</v>
      </c>
      <c r="C52" s="16" t="s">
        <v>57</v>
      </c>
      <c r="D52" s="16" t="s">
        <v>74</v>
      </c>
      <c r="E52" s="16" t="s">
        <v>75</v>
      </c>
    </row>
    <row r="53" spans="2:5" ht="16" customHeight="1" x14ac:dyDescent="0.35">
      <c r="B53" s="15" t="s">
        <v>76</v>
      </c>
      <c r="C53" s="16" t="s">
        <v>57</v>
      </c>
      <c r="D53" s="16" t="s">
        <v>77</v>
      </c>
      <c r="E53" s="16" t="s">
        <v>78</v>
      </c>
    </row>
    <row r="54" spans="2:5" ht="16" customHeight="1" x14ac:dyDescent="0.35">
      <c r="B54" s="15" t="s">
        <v>79</v>
      </c>
      <c r="C54" s="16" t="s">
        <v>57</v>
      </c>
      <c r="D54" s="16" t="s">
        <v>80</v>
      </c>
      <c r="E54" s="16" t="s">
        <v>81</v>
      </c>
    </row>
    <row r="55" spans="2:5" ht="16" customHeight="1" x14ac:dyDescent="0.35">
      <c r="B55" s="15" t="s">
        <v>82</v>
      </c>
      <c r="C55" s="16" t="s">
        <v>57</v>
      </c>
      <c r="D55" s="16" t="s">
        <v>83</v>
      </c>
      <c r="E55" s="16" t="s">
        <v>84</v>
      </c>
    </row>
    <row r="56" spans="2:5" ht="16" customHeight="1" x14ac:dyDescent="0.35">
      <c r="B56" s="15" t="s">
        <v>85</v>
      </c>
      <c r="C56" s="16" t="s">
        <v>57</v>
      </c>
      <c r="D56" s="16" t="s">
        <v>86</v>
      </c>
      <c r="E56" s="16" t="s">
        <v>87</v>
      </c>
    </row>
    <row r="57" spans="2:5" ht="16" customHeight="1" x14ac:dyDescent="0.35">
      <c r="B57" s="15" t="s">
        <v>88</v>
      </c>
      <c r="C57" s="16" t="s">
        <v>57</v>
      </c>
      <c r="D57" s="16" t="s">
        <v>89</v>
      </c>
      <c r="E57" s="16" t="s">
        <v>78</v>
      </c>
    </row>
    <row r="58" spans="2:5" ht="31" customHeight="1" x14ac:dyDescent="0.35">
      <c r="B58" s="15" t="s">
        <v>90</v>
      </c>
      <c r="C58" s="16" t="s">
        <v>57</v>
      </c>
      <c r="D58" s="16" t="s">
        <v>91</v>
      </c>
      <c r="E58" s="16" t="s">
        <v>92</v>
      </c>
    </row>
    <row r="59" spans="2:5" ht="16" customHeight="1" x14ac:dyDescent="0.35">
      <c r="B59" s="15" t="s">
        <v>93</v>
      </c>
      <c r="C59" s="16" t="s">
        <v>47</v>
      </c>
      <c r="D59" s="16" t="s">
        <v>94</v>
      </c>
      <c r="E59" s="16" t="s">
        <v>95</v>
      </c>
    </row>
    <row r="60" spans="2:5" ht="16" customHeight="1" x14ac:dyDescent="0.35">
      <c r="B60" s="15" t="s">
        <v>96</v>
      </c>
      <c r="C60" s="16" t="s">
        <v>47</v>
      </c>
      <c r="D60" s="16" t="s">
        <v>97</v>
      </c>
      <c r="E60" s="16" t="s">
        <v>98</v>
      </c>
    </row>
    <row r="61" spans="2:5" ht="16" customHeight="1" x14ac:dyDescent="0.35">
      <c r="B61" s="15" t="s">
        <v>99</v>
      </c>
      <c r="C61" s="16" t="s">
        <v>47</v>
      </c>
      <c r="D61" s="16" t="s">
        <v>100</v>
      </c>
      <c r="E61" s="16" t="s">
        <v>101</v>
      </c>
    </row>
    <row r="62" spans="2:5" ht="31" customHeight="1" x14ac:dyDescent="0.35">
      <c r="B62" s="15" t="s">
        <v>102</v>
      </c>
      <c r="C62" s="16" t="s">
        <v>103</v>
      </c>
      <c r="D62" s="16" t="s">
        <v>104</v>
      </c>
      <c r="E62" s="16" t="s">
        <v>105</v>
      </c>
    </row>
    <row r="63" spans="2:5" ht="31" customHeight="1" x14ac:dyDescent="0.35">
      <c r="B63" s="15" t="s">
        <v>106</v>
      </c>
      <c r="C63" s="16" t="s">
        <v>107</v>
      </c>
      <c r="D63" s="16" t="s">
        <v>108</v>
      </c>
      <c r="E63" s="16" t="s">
        <v>109</v>
      </c>
    </row>
    <row r="64" spans="2:5" ht="46" customHeight="1" x14ac:dyDescent="0.35">
      <c r="B64" s="15" t="s">
        <v>110</v>
      </c>
      <c r="C64" s="16" t="s">
        <v>103</v>
      </c>
      <c r="D64" s="16" t="s">
        <v>111</v>
      </c>
      <c r="E64" s="16" t="s">
        <v>112</v>
      </c>
    </row>
    <row r="65" spans="2:5" ht="16" customHeight="1" x14ac:dyDescent="0.35">
      <c r="B65" s="15" t="s">
        <v>113</v>
      </c>
      <c r="C65" s="16" t="s">
        <v>47</v>
      </c>
      <c r="D65" s="16" t="s">
        <v>114</v>
      </c>
      <c r="E65" s="16" t="s">
        <v>115</v>
      </c>
    </row>
    <row r="67" spans="2:5" x14ac:dyDescent="0.35">
      <c r="B67" s="51" t="s">
        <v>116</v>
      </c>
      <c r="C67" s="49"/>
      <c r="D67" s="49"/>
      <c r="E67" s="49"/>
    </row>
  </sheetData>
  <mergeCells count="23">
    <mergeCell ref="C6:E6"/>
    <mergeCell ref="B67:E67"/>
    <mergeCell ref="B17:E17"/>
    <mergeCell ref="C5:E5"/>
    <mergeCell ref="B13:E13"/>
    <mergeCell ref="C28:D28"/>
    <mergeCell ref="B19:E19"/>
    <mergeCell ref="C8:E8"/>
    <mergeCell ref="B16:E16"/>
    <mergeCell ref="C40:D40"/>
    <mergeCell ref="C7:E7"/>
    <mergeCell ref="B22:E22"/>
    <mergeCell ref="B18:E18"/>
    <mergeCell ref="B12:E12"/>
    <mergeCell ref="C27:D27"/>
    <mergeCell ref="B21:E21"/>
    <mergeCell ref="B14:E14"/>
    <mergeCell ref="C9:E9"/>
    <mergeCell ref="B15:E15"/>
    <mergeCell ref="B20:E20"/>
    <mergeCell ref="C26:D26"/>
    <mergeCell ref="C29:D29"/>
    <mergeCell ref="C25:D2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G202"/>
  <sheetViews>
    <sheetView workbookViewId="0">
      <pane xSplit="2" ySplit="2" topLeftCell="C3" activePane="bottomRight" state="frozen"/>
      <selection pane="topRight"/>
      <selection pane="bottomLeft"/>
      <selection pane="bottomRight"/>
    </sheetView>
  </sheetViews>
  <sheetFormatPr defaultRowHeight="14.5" x14ac:dyDescent="0.35"/>
  <cols>
    <col min="1" max="1" width="34" customWidth="1"/>
    <col min="2" max="2" width="24" customWidth="1"/>
    <col min="3" max="3" width="22" customWidth="1"/>
    <col min="4" max="4" width="14" customWidth="1"/>
    <col min="5" max="5" width="18" customWidth="1"/>
    <col min="6" max="6" width="14" customWidth="1"/>
    <col min="7" max="7" width="26" customWidth="1"/>
  </cols>
  <sheetData>
    <row r="1" spans="1:7" ht="30" customHeight="1" x14ac:dyDescent="0.35">
      <c r="A1" s="18" t="s">
        <v>117</v>
      </c>
      <c r="B1" s="19" t="s">
        <v>118</v>
      </c>
      <c r="C1" s="19" t="s">
        <v>119</v>
      </c>
      <c r="D1" s="19" t="s">
        <v>120</v>
      </c>
      <c r="E1" s="19" t="s">
        <v>121</v>
      </c>
      <c r="F1" s="19" t="s">
        <v>122</v>
      </c>
      <c r="G1" s="19" t="s">
        <v>123</v>
      </c>
    </row>
    <row r="2" spans="1:7" ht="60" customHeight="1" x14ac:dyDescent="0.35">
      <c r="A2" s="20" t="s">
        <v>124</v>
      </c>
      <c r="B2" s="20" t="s">
        <v>125</v>
      </c>
      <c r="C2" s="20" t="s">
        <v>126</v>
      </c>
      <c r="D2" s="20" t="s">
        <v>127</v>
      </c>
      <c r="E2" s="20" t="s">
        <v>128</v>
      </c>
      <c r="F2" s="20" t="s">
        <v>127</v>
      </c>
      <c r="G2" s="20" t="s">
        <v>129</v>
      </c>
    </row>
    <row r="3" spans="1:7" x14ac:dyDescent="0.35">
      <c r="A3" s="21" t="str">
        <f>IF(COUNTA(B3:G3)=0,"",IF((IF(B3="","Vendor Name, ","")&amp;IF(C3="","State, ",""))&lt;&gt;"","Missing: "&amp;LEFT(IF(B3="","Vendor Name, ","")&amp;IF(C3="","State, ",""),LEN(IF(B3="","Vendor Name, ","")&amp;IF(C3="","State, ",""))-2),IF(COUNTIF($B$3:$B$202,B3)&gt;1,"Vendor "&amp;B3&amp;" is listed twice",IF(ISNA(MATCH(C3,Codes!$E$2:$E$37,0)),"Pick the State from the list",IF(E3="","OK",IF(LEN(TRIM(E3))&lt;&gt;15,"GSTIN must be 15 characters - or leave it blank",IF(LEFT(TRIM(E3),2)&lt;&gt;INDEX(Codes!$F$2:$F$37,MATCH(C3,Codes!$E$2:$E$37,0)),"GSTIN starts with "&amp;LEFT(TRIM(E3),2)&amp;" but "&amp;C3&amp;" is "&amp;INDEX(Codes!$F$2:$F$37,MATCH(C3,Codes!$E$2:$E$37,0)),"OK")))))))</f>
        <v>OK</v>
      </c>
      <c r="B3" s="22" t="s">
        <v>52</v>
      </c>
      <c r="C3" s="22" t="s">
        <v>130</v>
      </c>
      <c r="D3" s="23" t="s">
        <v>131</v>
      </c>
      <c r="E3" s="24"/>
      <c r="F3" s="24"/>
      <c r="G3" s="23"/>
    </row>
    <row r="4" spans="1:7" x14ac:dyDescent="0.35">
      <c r="A4" s="21" t="str">
        <f>IF(COUNTA(B4:G4)=0,"",IF((IF(B4="","Vendor Name, ","")&amp;IF(C4="","State, ",""))&lt;&gt;"","Missing: "&amp;LEFT(IF(B4="","Vendor Name, ","")&amp;IF(C4="","State, ",""),LEN(IF(B4="","Vendor Name, ","")&amp;IF(C4="","State, ",""))-2),IF(COUNTIF($B$3:$B$202,B4)&gt;1,"Vendor "&amp;B4&amp;" is listed twice",IF(ISNA(MATCH(C4,Codes!$E$2:$E$37,0)),"Pick the State from the list",IF(E4="","OK",IF(LEN(TRIM(E4))&lt;&gt;15,"GSTIN must be 15 characters - or leave it blank",IF(LEFT(TRIM(E4),2)&lt;&gt;INDEX(Codes!$F$2:$F$37,MATCH(C4,Codes!$E$2:$E$37,0)),"GSTIN starts with "&amp;LEFT(TRIM(E4),2)&amp;" but "&amp;C4&amp;" is "&amp;INDEX(Codes!$F$2:$F$37,MATCH(C4,Codes!$E$2:$E$37,0)),"OK")))))))</f>
        <v>OK</v>
      </c>
      <c r="B4" s="22" t="s">
        <v>132</v>
      </c>
      <c r="C4" s="22" t="s">
        <v>130</v>
      </c>
      <c r="D4" s="23" t="s">
        <v>131</v>
      </c>
      <c r="E4" s="24"/>
      <c r="F4" s="24"/>
      <c r="G4" s="23"/>
    </row>
    <row r="5" spans="1:7" x14ac:dyDescent="0.35">
      <c r="A5" s="21" t="str">
        <f>IF(COUNTA(B5:G5)=0,"",IF((IF(B5="","Vendor Name, ","")&amp;IF(C5="","State, ",""))&lt;&gt;"","Missing: "&amp;LEFT(IF(B5="","Vendor Name, ","")&amp;IF(C5="","State, ",""),LEN(IF(B5="","Vendor Name, ","")&amp;IF(C5="","State, ",""))-2),IF(COUNTIF($B$3:$B$202,B5)&gt;1,"Vendor "&amp;B5&amp;" is listed twice",IF(ISNA(MATCH(C5,Codes!$E$2:$E$37,0)),"Pick the State from the list",IF(E5="","OK",IF(LEN(TRIM(E5))&lt;&gt;15,"GSTIN must be 15 characters - or leave it blank",IF(LEFT(TRIM(E5),2)&lt;&gt;INDEX(Codes!$F$2:$F$37,MATCH(C5,Codes!$E$2:$E$37,0)),"GSTIN starts with "&amp;LEFT(TRIM(E5),2)&amp;" but "&amp;C5&amp;" is "&amp;INDEX(Codes!$F$2:$F$37,MATCH(C5,Codes!$E$2:$E$37,0)),"OK")))))))</f>
        <v>OK</v>
      </c>
      <c r="B5" s="22" t="s">
        <v>133</v>
      </c>
      <c r="C5" s="22" t="s">
        <v>130</v>
      </c>
      <c r="D5" s="23" t="s">
        <v>131</v>
      </c>
      <c r="E5" s="24"/>
      <c r="F5" s="24"/>
      <c r="G5" s="23"/>
    </row>
    <row r="6" spans="1:7" x14ac:dyDescent="0.35">
      <c r="A6" s="21" t="str">
        <f>IF(COUNTA(B6:G6)=0,"",IF((IF(B6="","Vendor Name, ","")&amp;IF(C6="","State, ",""))&lt;&gt;"","Missing: "&amp;LEFT(IF(B6="","Vendor Name, ","")&amp;IF(C6="","State, ",""),LEN(IF(B6="","Vendor Name, ","")&amp;IF(C6="","State, ",""))-2),IF(COUNTIF($B$3:$B$202,B6)&gt;1,"Vendor "&amp;B6&amp;" is listed twice",IF(ISNA(MATCH(C6,Codes!$E$2:$E$37,0)),"Pick the State from the list",IF(E6="","OK",IF(LEN(TRIM(E6))&lt;&gt;15,"GSTIN must be 15 characters - or leave it blank",IF(LEFT(TRIM(E6),2)&lt;&gt;INDEX(Codes!$F$2:$F$37,MATCH(C6,Codes!$E$2:$E$37,0)),"GSTIN starts with "&amp;LEFT(TRIM(E6),2)&amp;" but "&amp;C6&amp;" is "&amp;INDEX(Codes!$F$2:$F$37,MATCH(C6,Codes!$E$2:$E$37,0)),"OK")))))))</f>
        <v>OK</v>
      </c>
      <c r="B6" s="22" t="s">
        <v>134</v>
      </c>
      <c r="C6" s="22" t="s">
        <v>130</v>
      </c>
      <c r="D6" s="23" t="s">
        <v>131</v>
      </c>
      <c r="E6" s="24"/>
      <c r="F6" s="24"/>
      <c r="G6" s="23"/>
    </row>
    <row r="7" spans="1:7" x14ac:dyDescent="0.35">
      <c r="A7" s="21" t="str">
        <f>IF(COUNTA(B7:G7)=0,"",IF((IF(B7="","Vendor Name, ","")&amp;IF(C7="","State, ",""))&lt;&gt;"","Missing: "&amp;LEFT(IF(B7="","Vendor Name, ","")&amp;IF(C7="","State, ",""),LEN(IF(B7="","Vendor Name, ","")&amp;IF(C7="","State, ",""))-2),IF(COUNTIF($B$3:$B$202,B7)&gt;1,"Vendor "&amp;B7&amp;" is listed twice",IF(ISNA(MATCH(C7,Codes!$E$2:$E$37,0)),"Pick the State from the list",IF(E7="","OK",IF(LEN(TRIM(E7))&lt;&gt;15,"GSTIN must be 15 characters - or leave it blank",IF(LEFT(TRIM(E7),2)&lt;&gt;INDEX(Codes!$F$2:$F$37,MATCH(C7,Codes!$E$2:$E$37,0)),"GSTIN starts with "&amp;LEFT(TRIM(E7),2)&amp;" but "&amp;C7&amp;" is "&amp;INDEX(Codes!$F$2:$F$37,MATCH(C7,Codes!$E$2:$E$37,0)),"OK")))))))</f>
        <v>OK</v>
      </c>
      <c r="B7" s="22" t="s">
        <v>135</v>
      </c>
      <c r="C7" s="22" t="s">
        <v>130</v>
      </c>
      <c r="D7" s="23" t="s">
        <v>131</v>
      </c>
      <c r="E7" s="24"/>
      <c r="F7" s="24"/>
      <c r="G7" s="23"/>
    </row>
    <row r="8" spans="1:7" x14ac:dyDescent="0.35">
      <c r="A8" s="21" t="str">
        <f>IF(COUNTA(B8:G8)=0,"",IF((IF(B8="","Vendor Name, ","")&amp;IF(C8="","State, ",""))&lt;&gt;"","Missing: "&amp;LEFT(IF(B8="","Vendor Name, ","")&amp;IF(C8="","State, ",""),LEN(IF(B8="","Vendor Name, ","")&amp;IF(C8="","State, ",""))-2),IF(COUNTIF($B$3:$B$202,B8)&gt;1,"Vendor "&amp;B8&amp;" is listed twice",IF(ISNA(MATCH(C8,Codes!$E$2:$E$37,0)),"Pick the State from the list",IF(E8="","OK",IF(LEN(TRIM(E8))&lt;&gt;15,"GSTIN must be 15 characters - or leave it blank",IF(LEFT(TRIM(E8),2)&lt;&gt;INDEX(Codes!$F$2:$F$37,MATCH(C8,Codes!$E$2:$E$37,0)),"GSTIN starts with "&amp;LEFT(TRIM(E8),2)&amp;" but "&amp;C8&amp;" is "&amp;INDEX(Codes!$F$2:$F$37,MATCH(C8,Codes!$E$2:$E$37,0)),"OK")))))))</f>
        <v>OK</v>
      </c>
      <c r="B8" s="22" t="s">
        <v>136</v>
      </c>
      <c r="C8" s="22" t="s">
        <v>130</v>
      </c>
      <c r="D8" s="23" t="s">
        <v>131</v>
      </c>
      <c r="E8" s="24"/>
      <c r="F8" s="24"/>
      <c r="G8" s="23"/>
    </row>
    <row r="9" spans="1:7" x14ac:dyDescent="0.35">
      <c r="A9" s="21" t="str">
        <f>IF(COUNTA(B9:G9)=0,"",IF((IF(B9="","Vendor Name, ","")&amp;IF(C9="","State, ",""))&lt;&gt;"","Missing: "&amp;LEFT(IF(B9="","Vendor Name, ","")&amp;IF(C9="","State, ",""),LEN(IF(B9="","Vendor Name, ","")&amp;IF(C9="","State, ",""))-2),IF(COUNTIF($B$3:$B$202,B9)&gt;1,"Vendor "&amp;B9&amp;" is listed twice",IF(ISNA(MATCH(C9,Codes!$E$2:$E$37,0)),"Pick the State from the list",IF(E9="","OK",IF(LEN(TRIM(E9))&lt;&gt;15,"GSTIN must be 15 characters - or leave it blank",IF(LEFT(TRIM(E9),2)&lt;&gt;INDEX(Codes!$F$2:$F$37,MATCH(C9,Codes!$E$2:$E$37,0)),"GSTIN starts with "&amp;LEFT(TRIM(E9),2)&amp;" but "&amp;C9&amp;" is "&amp;INDEX(Codes!$F$2:$F$37,MATCH(C9,Codes!$E$2:$E$37,0)),"OK")))))))</f>
        <v>OK</v>
      </c>
      <c r="B9" s="22" t="s">
        <v>137</v>
      </c>
      <c r="C9" s="22" t="s">
        <v>130</v>
      </c>
      <c r="D9" s="23" t="s">
        <v>131</v>
      </c>
      <c r="E9" s="24"/>
      <c r="F9" s="24"/>
      <c r="G9" s="23"/>
    </row>
    <row r="10" spans="1:7" x14ac:dyDescent="0.35">
      <c r="A10" s="21" t="str">
        <f>IF(COUNTA(B10:G10)=0,"",IF((IF(B10="","Vendor Name, ","")&amp;IF(C10="","State, ",""))&lt;&gt;"","Missing: "&amp;LEFT(IF(B10="","Vendor Name, ","")&amp;IF(C10="","State, ",""),LEN(IF(B10="","Vendor Name, ","")&amp;IF(C10="","State, ",""))-2),IF(COUNTIF($B$3:$B$202,B10)&gt;1,"Vendor "&amp;B10&amp;" is listed twice",IF(ISNA(MATCH(C10,Codes!$E$2:$E$37,0)),"Pick the State from the list",IF(E10="","OK",IF(LEN(TRIM(E10))&lt;&gt;15,"GSTIN must be 15 characters - or leave it blank",IF(LEFT(TRIM(E10),2)&lt;&gt;INDEX(Codes!$F$2:$F$37,MATCH(C10,Codes!$E$2:$E$37,0)),"GSTIN starts with "&amp;LEFT(TRIM(E10),2)&amp;" but "&amp;C10&amp;" is "&amp;INDEX(Codes!$F$2:$F$37,MATCH(C10,Codes!$E$2:$E$37,0)),"OK")))))))</f>
        <v/>
      </c>
      <c r="B10" s="22"/>
      <c r="C10" s="22"/>
      <c r="D10" s="23"/>
      <c r="E10" s="24"/>
      <c r="F10" s="24"/>
      <c r="G10" s="23"/>
    </row>
    <row r="11" spans="1:7" x14ac:dyDescent="0.35">
      <c r="A11" s="21" t="str">
        <f>IF(COUNTA(B11:G11)=0,"",IF((IF(B11="","Vendor Name, ","")&amp;IF(C11="","State, ",""))&lt;&gt;"","Missing: "&amp;LEFT(IF(B11="","Vendor Name, ","")&amp;IF(C11="","State, ",""),LEN(IF(B11="","Vendor Name, ","")&amp;IF(C11="","State, ",""))-2),IF(COUNTIF($B$3:$B$202,B11)&gt;1,"Vendor "&amp;B11&amp;" is listed twice",IF(ISNA(MATCH(C11,Codes!$E$2:$E$37,0)),"Pick the State from the list",IF(E11="","OK",IF(LEN(TRIM(E11))&lt;&gt;15,"GSTIN must be 15 characters - or leave it blank",IF(LEFT(TRIM(E11),2)&lt;&gt;INDEX(Codes!$F$2:$F$37,MATCH(C11,Codes!$E$2:$E$37,0)),"GSTIN starts with "&amp;LEFT(TRIM(E11),2)&amp;" but "&amp;C11&amp;" is "&amp;INDEX(Codes!$F$2:$F$37,MATCH(C11,Codes!$E$2:$E$37,0)),"OK")))))))</f>
        <v/>
      </c>
      <c r="B11" s="22"/>
      <c r="C11" s="22"/>
      <c r="D11" s="23"/>
      <c r="E11" s="24"/>
      <c r="F11" s="24"/>
      <c r="G11" s="23"/>
    </row>
    <row r="12" spans="1:7" x14ac:dyDescent="0.35">
      <c r="A12" s="21" t="str">
        <f>IF(COUNTA(B12:G12)=0,"",IF((IF(B12="","Vendor Name, ","")&amp;IF(C12="","State, ",""))&lt;&gt;"","Missing: "&amp;LEFT(IF(B12="","Vendor Name, ","")&amp;IF(C12="","State, ",""),LEN(IF(B12="","Vendor Name, ","")&amp;IF(C12="","State, ",""))-2),IF(COUNTIF($B$3:$B$202,B12)&gt;1,"Vendor "&amp;B12&amp;" is listed twice",IF(ISNA(MATCH(C12,Codes!$E$2:$E$37,0)),"Pick the State from the list",IF(E12="","OK",IF(LEN(TRIM(E12))&lt;&gt;15,"GSTIN must be 15 characters - or leave it blank",IF(LEFT(TRIM(E12),2)&lt;&gt;INDEX(Codes!$F$2:$F$37,MATCH(C12,Codes!$E$2:$E$37,0)),"GSTIN starts with "&amp;LEFT(TRIM(E12),2)&amp;" but "&amp;C12&amp;" is "&amp;INDEX(Codes!$F$2:$F$37,MATCH(C12,Codes!$E$2:$E$37,0)),"OK")))))))</f>
        <v/>
      </c>
      <c r="B12" s="22"/>
      <c r="C12" s="22"/>
      <c r="D12" s="23"/>
      <c r="E12" s="24"/>
      <c r="F12" s="24"/>
      <c r="G12" s="23"/>
    </row>
    <row r="13" spans="1:7" x14ac:dyDescent="0.35">
      <c r="A13" s="21" t="str">
        <f>IF(COUNTA(B13:G13)=0,"",IF((IF(B13="","Vendor Name, ","")&amp;IF(C13="","State, ",""))&lt;&gt;"","Missing: "&amp;LEFT(IF(B13="","Vendor Name, ","")&amp;IF(C13="","State, ",""),LEN(IF(B13="","Vendor Name, ","")&amp;IF(C13="","State, ",""))-2),IF(COUNTIF($B$3:$B$202,B13)&gt;1,"Vendor "&amp;B13&amp;" is listed twice",IF(ISNA(MATCH(C13,Codes!$E$2:$E$37,0)),"Pick the State from the list",IF(E13="","OK",IF(LEN(TRIM(E13))&lt;&gt;15,"GSTIN must be 15 characters - or leave it blank",IF(LEFT(TRIM(E13),2)&lt;&gt;INDEX(Codes!$F$2:$F$37,MATCH(C13,Codes!$E$2:$E$37,0)),"GSTIN starts with "&amp;LEFT(TRIM(E13),2)&amp;" but "&amp;C13&amp;" is "&amp;INDEX(Codes!$F$2:$F$37,MATCH(C13,Codes!$E$2:$E$37,0)),"OK")))))))</f>
        <v/>
      </c>
      <c r="B13" s="22"/>
      <c r="C13" s="22"/>
      <c r="D13" s="23"/>
      <c r="E13" s="24"/>
      <c r="F13" s="24"/>
      <c r="G13" s="23"/>
    </row>
    <row r="14" spans="1:7" x14ac:dyDescent="0.35">
      <c r="A14" s="21" t="str">
        <f>IF(COUNTA(B14:G14)=0,"",IF((IF(B14="","Vendor Name, ","")&amp;IF(C14="","State, ",""))&lt;&gt;"","Missing: "&amp;LEFT(IF(B14="","Vendor Name, ","")&amp;IF(C14="","State, ",""),LEN(IF(B14="","Vendor Name, ","")&amp;IF(C14="","State, ",""))-2),IF(COUNTIF($B$3:$B$202,B14)&gt;1,"Vendor "&amp;B14&amp;" is listed twice",IF(ISNA(MATCH(C14,Codes!$E$2:$E$37,0)),"Pick the State from the list",IF(E14="","OK",IF(LEN(TRIM(E14))&lt;&gt;15,"GSTIN must be 15 characters - or leave it blank",IF(LEFT(TRIM(E14),2)&lt;&gt;INDEX(Codes!$F$2:$F$37,MATCH(C14,Codes!$E$2:$E$37,0)),"GSTIN starts with "&amp;LEFT(TRIM(E14),2)&amp;" but "&amp;C14&amp;" is "&amp;INDEX(Codes!$F$2:$F$37,MATCH(C14,Codes!$E$2:$E$37,0)),"OK")))))))</f>
        <v/>
      </c>
      <c r="B14" s="22"/>
      <c r="C14" s="22"/>
      <c r="D14" s="23"/>
      <c r="E14" s="24"/>
      <c r="F14" s="24"/>
      <c r="G14" s="23"/>
    </row>
    <row r="15" spans="1:7" x14ac:dyDescent="0.35">
      <c r="A15" s="21" t="str">
        <f>IF(COUNTA(B15:G15)=0,"",IF((IF(B15="","Vendor Name, ","")&amp;IF(C15="","State, ",""))&lt;&gt;"","Missing: "&amp;LEFT(IF(B15="","Vendor Name, ","")&amp;IF(C15="","State, ",""),LEN(IF(B15="","Vendor Name, ","")&amp;IF(C15="","State, ",""))-2),IF(COUNTIF($B$3:$B$202,B15)&gt;1,"Vendor "&amp;B15&amp;" is listed twice",IF(ISNA(MATCH(C15,Codes!$E$2:$E$37,0)),"Pick the State from the list",IF(E15="","OK",IF(LEN(TRIM(E15))&lt;&gt;15,"GSTIN must be 15 characters - or leave it blank",IF(LEFT(TRIM(E15),2)&lt;&gt;INDEX(Codes!$F$2:$F$37,MATCH(C15,Codes!$E$2:$E$37,0)),"GSTIN starts with "&amp;LEFT(TRIM(E15),2)&amp;" but "&amp;C15&amp;" is "&amp;INDEX(Codes!$F$2:$F$37,MATCH(C15,Codes!$E$2:$E$37,0)),"OK")))))))</f>
        <v/>
      </c>
      <c r="B15" s="22"/>
      <c r="C15" s="22"/>
      <c r="D15" s="23"/>
      <c r="E15" s="24"/>
      <c r="F15" s="24"/>
      <c r="G15" s="23"/>
    </row>
    <row r="16" spans="1:7" x14ac:dyDescent="0.35">
      <c r="A16" s="21" t="str">
        <f>IF(COUNTA(B16:G16)=0,"",IF((IF(B16="","Vendor Name, ","")&amp;IF(C16="","State, ",""))&lt;&gt;"","Missing: "&amp;LEFT(IF(B16="","Vendor Name, ","")&amp;IF(C16="","State, ",""),LEN(IF(B16="","Vendor Name, ","")&amp;IF(C16="","State, ",""))-2),IF(COUNTIF($B$3:$B$202,B16)&gt;1,"Vendor "&amp;B16&amp;" is listed twice",IF(ISNA(MATCH(C16,Codes!$E$2:$E$37,0)),"Pick the State from the list",IF(E16="","OK",IF(LEN(TRIM(E16))&lt;&gt;15,"GSTIN must be 15 characters - or leave it blank",IF(LEFT(TRIM(E16),2)&lt;&gt;INDEX(Codes!$F$2:$F$37,MATCH(C16,Codes!$E$2:$E$37,0)),"GSTIN starts with "&amp;LEFT(TRIM(E16),2)&amp;" but "&amp;C16&amp;" is "&amp;INDEX(Codes!$F$2:$F$37,MATCH(C16,Codes!$E$2:$E$37,0)),"OK")))))))</f>
        <v/>
      </c>
      <c r="B16" s="22"/>
      <c r="C16" s="22"/>
      <c r="D16" s="23"/>
      <c r="E16" s="24"/>
      <c r="F16" s="24"/>
      <c r="G16" s="23"/>
    </row>
    <row r="17" spans="1:7" x14ac:dyDescent="0.35">
      <c r="A17" s="21" t="str">
        <f>IF(COUNTA(B17:G17)=0,"",IF((IF(B17="","Vendor Name, ","")&amp;IF(C17="","State, ",""))&lt;&gt;"","Missing: "&amp;LEFT(IF(B17="","Vendor Name, ","")&amp;IF(C17="","State, ",""),LEN(IF(B17="","Vendor Name, ","")&amp;IF(C17="","State, ",""))-2),IF(COUNTIF($B$3:$B$202,B17)&gt;1,"Vendor "&amp;B17&amp;" is listed twice",IF(ISNA(MATCH(C17,Codes!$E$2:$E$37,0)),"Pick the State from the list",IF(E17="","OK",IF(LEN(TRIM(E17))&lt;&gt;15,"GSTIN must be 15 characters - or leave it blank",IF(LEFT(TRIM(E17),2)&lt;&gt;INDEX(Codes!$F$2:$F$37,MATCH(C17,Codes!$E$2:$E$37,0)),"GSTIN starts with "&amp;LEFT(TRIM(E17),2)&amp;" but "&amp;C17&amp;" is "&amp;INDEX(Codes!$F$2:$F$37,MATCH(C17,Codes!$E$2:$E$37,0)),"OK")))))))</f>
        <v/>
      </c>
      <c r="B17" s="22"/>
      <c r="C17" s="22"/>
      <c r="D17" s="23"/>
      <c r="E17" s="24"/>
      <c r="F17" s="24"/>
      <c r="G17" s="23"/>
    </row>
    <row r="18" spans="1:7" x14ac:dyDescent="0.35">
      <c r="A18" s="21" t="str">
        <f>IF(COUNTA(B18:G18)=0,"",IF((IF(B18="","Vendor Name, ","")&amp;IF(C18="","State, ",""))&lt;&gt;"","Missing: "&amp;LEFT(IF(B18="","Vendor Name, ","")&amp;IF(C18="","State, ",""),LEN(IF(B18="","Vendor Name, ","")&amp;IF(C18="","State, ",""))-2),IF(COUNTIF($B$3:$B$202,B18)&gt;1,"Vendor "&amp;B18&amp;" is listed twice",IF(ISNA(MATCH(C18,Codes!$E$2:$E$37,0)),"Pick the State from the list",IF(E18="","OK",IF(LEN(TRIM(E18))&lt;&gt;15,"GSTIN must be 15 characters - or leave it blank",IF(LEFT(TRIM(E18),2)&lt;&gt;INDEX(Codes!$F$2:$F$37,MATCH(C18,Codes!$E$2:$E$37,0)),"GSTIN starts with "&amp;LEFT(TRIM(E18),2)&amp;" but "&amp;C18&amp;" is "&amp;INDEX(Codes!$F$2:$F$37,MATCH(C18,Codes!$E$2:$E$37,0)),"OK")))))))</f>
        <v/>
      </c>
      <c r="B18" s="22"/>
      <c r="C18" s="22"/>
      <c r="D18" s="23"/>
      <c r="E18" s="24"/>
      <c r="F18" s="24"/>
      <c r="G18" s="23"/>
    </row>
    <row r="19" spans="1:7" x14ac:dyDescent="0.35">
      <c r="A19" s="21" t="str">
        <f>IF(COUNTA(B19:G19)=0,"",IF((IF(B19="","Vendor Name, ","")&amp;IF(C19="","State, ",""))&lt;&gt;"","Missing: "&amp;LEFT(IF(B19="","Vendor Name, ","")&amp;IF(C19="","State, ",""),LEN(IF(B19="","Vendor Name, ","")&amp;IF(C19="","State, ",""))-2),IF(COUNTIF($B$3:$B$202,B19)&gt;1,"Vendor "&amp;B19&amp;" is listed twice",IF(ISNA(MATCH(C19,Codes!$E$2:$E$37,0)),"Pick the State from the list",IF(E19="","OK",IF(LEN(TRIM(E19))&lt;&gt;15,"GSTIN must be 15 characters - or leave it blank",IF(LEFT(TRIM(E19),2)&lt;&gt;INDEX(Codes!$F$2:$F$37,MATCH(C19,Codes!$E$2:$E$37,0)),"GSTIN starts with "&amp;LEFT(TRIM(E19),2)&amp;" but "&amp;C19&amp;" is "&amp;INDEX(Codes!$F$2:$F$37,MATCH(C19,Codes!$E$2:$E$37,0)),"OK")))))))</f>
        <v/>
      </c>
      <c r="B19" s="22"/>
      <c r="C19" s="22"/>
      <c r="D19" s="23"/>
      <c r="E19" s="24"/>
      <c r="F19" s="24"/>
      <c r="G19" s="23"/>
    </row>
    <row r="20" spans="1:7" x14ac:dyDescent="0.35">
      <c r="A20" s="21" t="str">
        <f>IF(COUNTA(B20:G20)=0,"",IF((IF(B20="","Vendor Name, ","")&amp;IF(C20="","State, ",""))&lt;&gt;"","Missing: "&amp;LEFT(IF(B20="","Vendor Name, ","")&amp;IF(C20="","State, ",""),LEN(IF(B20="","Vendor Name, ","")&amp;IF(C20="","State, ",""))-2),IF(COUNTIF($B$3:$B$202,B20)&gt;1,"Vendor "&amp;B20&amp;" is listed twice",IF(ISNA(MATCH(C20,Codes!$E$2:$E$37,0)),"Pick the State from the list",IF(E20="","OK",IF(LEN(TRIM(E20))&lt;&gt;15,"GSTIN must be 15 characters - or leave it blank",IF(LEFT(TRIM(E20),2)&lt;&gt;INDEX(Codes!$F$2:$F$37,MATCH(C20,Codes!$E$2:$E$37,0)),"GSTIN starts with "&amp;LEFT(TRIM(E20),2)&amp;" but "&amp;C20&amp;" is "&amp;INDEX(Codes!$F$2:$F$37,MATCH(C20,Codes!$E$2:$E$37,0)),"OK")))))))</f>
        <v/>
      </c>
      <c r="B20" s="22"/>
      <c r="C20" s="22"/>
      <c r="D20" s="23"/>
      <c r="E20" s="24"/>
      <c r="F20" s="24"/>
      <c r="G20" s="23"/>
    </row>
    <row r="21" spans="1:7" x14ac:dyDescent="0.35">
      <c r="A21" s="21" t="str">
        <f>IF(COUNTA(B21:G21)=0,"",IF((IF(B21="","Vendor Name, ","")&amp;IF(C21="","State, ",""))&lt;&gt;"","Missing: "&amp;LEFT(IF(B21="","Vendor Name, ","")&amp;IF(C21="","State, ",""),LEN(IF(B21="","Vendor Name, ","")&amp;IF(C21="","State, ",""))-2),IF(COUNTIF($B$3:$B$202,B21)&gt;1,"Vendor "&amp;B21&amp;" is listed twice",IF(ISNA(MATCH(C21,Codes!$E$2:$E$37,0)),"Pick the State from the list",IF(E21="","OK",IF(LEN(TRIM(E21))&lt;&gt;15,"GSTIN must be 15 characters - or leave it blank",IF(LEFT(TRIM(E21),2)&lt;&gt;INDEX(Codes!$F$2:$F$37,MATCH(C21,Codes!$E$2:$E$37,0)),"GSTIN starts with "&amp;LEFT(TRIM(E21),2)&amp;" but "&amp;C21&amp;" is "&amp;INDEX(Codes!$F$2:$F$37,MATCH(C21,Codes!$E$2:$E$37,0)),"OK")))))))</f>
        <v/>
      </c>
      <c r="B21" s="22"/>
      <c r="C21" s="22"/>
      <c r="D21" s="23"/>
      <c r="E21" s="24"/>
      <c r="F21" s="24"/>
      <c r="G21" s="23"/>
    </row>
    <row r="22" spans="1:7" x14ac:dyDescent="0.35">
      <c r="A22" s="21" t="str">
        <f>IF(COUNTA(B22:G22)=0,"",IF((IF(B22="","Vendor Name, ","")&amp;IF(C22="","State, ",""))&lt;&gt;"","Missing: "&amp;LEFT(IF(B22="","Vendor Name, ","")&amp;IF(C22="","State, ",""),LEN(IF(B22="","Vendor Name, ","")&amp;IF(C22="","State, ",""))-2),IF(COUNTIF($B$3:$B$202,B22)&gt;1,"Vendor "&amp;B22&amp;" is listed twice",IF(ISNA(MATCH(C22,Codes!$E$2:$E$37,0)),"Pick the State from the list",IF(E22="","OK",IF(LEN(TRIM(E22))&lt;&gt;15,"GSTIN must be 15 characters - or leave it blank",IF(LEFT(TRIM(E22),2)&lt;&gt;INDEX(Codes!$F$2:$F$37,MATCH(C22,Codes!$E$2:$E$37,0)),"GSTIN starts with "&amp;LEFT(TRIM(E22),2)&amp;" but "&amp;C22&amp;" is "&amp;INDEX(Codes!$F$2:$F$37,MATCH(C22,Codes!$E$2:$E$37,0)),"OK")))))))</f>
        <v/>
      </c>
      <c r="B22" s="22"/>
      <c r="C22" s="22"/>
      <c r="D22" s="23"/>
      <c r="E22" s="24"/>
      <c r="F22" s="24"/>
      <c r="G22" s="23"/>
    </row>
    <row r="23" spans="1:7" x14ac:dyDescent="0.35">
      <c r="A23" s="21" t="str">
        <f>IF(COUNTA(B23:G23)=0,"",IF((IF(B23="","Vendor Name, ","")&amp;IF(C23="","State, ",""))&lt;&gt;"","Missing: "&amp;LEFT(IF(B23="","Vendor Name, ","")&amp;IF(C23="","State, ",""),LEN(IF(B23="","Vendor Name, ","")&amp;IF(C23="","State, ",""))-2),IF(COUNTIF($B$3:$B$202,B23)&gt;1,"Vendor "&amp;B23&amp;" is listed twice",IF(ISNA(MATCH(C23,Codes!$E$2:$E$37,0)),"Pick the State from the list",IF(E23="","OK",IF(LEN(TRIM(E23))&lt;&gt;15,"GSTIN must be 15 characters - or leave it blank",IF(LEFT(TRIM(E23),2)&lt;&gt;INDEX(Codes!$F$2:$F$37,MATCH(C23,Codes!$E$2:$E$37,0)),"GSTIN starts with "&amp;LEFT(TRIM(E23),2)&amp;" but "&amp;C23&amp;" is "&amp;INDEX(Codes!$F$2:$F$37,MATCH(C23,Codes!$E$2:$E$37,0)),"OK")))))))</f>
        <v/>
      </c>
      <c r="B23" s="22"/>
      <c r="C23" s="22"/>
      <c r="D23" s="23"/>
      <c r="E23" s="24"/>
      <c r="F23" s="24"/>
      <c r="G23" s="23"/>
    </row>
    <row r="24" spans="1:7" x14ac:dyDescent="0.35">
      <c r="A24" s="21" t="str">
        <f>IF(COUNTA(B24:G24)=0,"",IF((IF(B24="","Vendor Name, ","")&amp;IF(C24="","State, ",""))&lt;&gt;"","Missing: "&amp;LEFT(IF(B24="","Vendor Name, ","")&amp;IF(C24="","State, ",""),LEN(IF(B24="","Vendor Name, ","")&amp;IF(C24="","State, ",""))-2),IF(COUNTIF($B$3:$B$202,B24)&gt;1,"Vendor "&amp;B24&amp;" is listed twice",IF(ISNA(MATCH(C24,Codes!$E$2:$E$37,0)),"Pick the State from the list",IF(E24="","OK",IF(LEN(TRIM(E24))&lt;&gt;15,"GSTIN must be 15 characters - or leave it blank",IF(LEFT(TRIM(E24),2)&lt;&gt;INDEX(Codes!$F$2:$F$37,MATCH(C24,Codes!$E$2:$E$37,0)),"GSTIN starts with "&amp;LEFT(TRIM(E24),2)&amp;" but "&amp;C24&amp;" is "&amp;INDEX(Codes!$F$2:$F$37,MATCH(C24,Codes!$E$2:$E$37,0)),"OK")))))))</f>
        <v/>
      </c>
      <c r="B24" s="22"/>
      <c r="C24" s="22"/>
      <c r="D24" s="23"/>
      <c r="E24" s="24"/>
      <c r="F24" s="24"/>
      <c r="G24" s="23"/>
    </row>
    <row r="25" spans="1:7" x14ac:dyDescent="0.35">
      <c r="A25" s="21" t="str">
        <f>IF(COUNTA(B25:G25)=0,"",IF((IF(B25="","Vendor Name, ","")&amp;IF(C25="","State, ",""))&lt;&gt;"","Missing: "&amp;LEFT(IF(B25="","Vendor Name, ","")&amp;IF(C25="","State, ",""),LEN(IF(B25="","Vendor Name, ","")&amp;IF(C25="","State, ",""))-2),IF(COUNTIF($B$3:$B$202,B25)&gt;1,"Vendor "&amp;B25&amp;" is listed twice",IF(ISNA(MATCH(C25,Codes!$E$2:$E$37,0)),"Pick the State from the list",IF(E25="","OK",IF(LEN(TRIM(E25))&lt;&gt;15,"GSTIN must be 15 characters - or leave it blank",IF(LEFT(TRIM(E25),2)&lt;&gt;INDEX(Codes!$F$2:$F$37,MATCH(C25,Codes!$E$2:$E$37,0)),"GSTIN starts with "&amp;LEFT(TRIM(E25),2)&amp;" but "&amp;C25&amp;" is "&amp;INDEX(Codes!$F$2:$F$37,MATCH(C25,Codes!$E$2:$E$37,0)),"OK")))))))</f>
        <v/>
      </c>
      <c r="B25" s="22"/>
      <c r="C25" s="22"/>
      <c r="D25" s="23"/>
      <c r="E25" s="24"/>
      <c r="F25" s="24"/>
      <c r="G25" s="23"/>
    </row>
    <row r="26" spans="1:7" x14ac:dyDescent="0.35">
      <c r="A26" s="21" t="str">
        <f>IF(COUNTA(B26:G26)=0,"",IF((IF(B26="","Vendor Name, ","")&amp;IF(C26="","State, ",""))&lt;&gt;"","Missing: "&amp;LEFT(IF(B26="","Vendor Name, ","")&amp;IF(C26="","State, ",""),LEN(IF(B26="","Vendor Name, ","")&amp;IF(C26="","State, ",""))-2),IF(COUNTIF($B$3:$B$202,B26)&gt;1,"Vendor "&amp;B26&amp;" is listed twice",IF(ISNA(MATCH(C26,Codes!$E$2:$E$37,0)),"Pick the State from the list",IF(E26="","OK",IF(LEN(TRIM(E26))&lt;&gt;15,"GSTIN must be 15 characters - or leave it blank",IF(LEFT(TRIM(E26),2)&lt;&gt;INDEX(Codes!$F$2:$F$37,MATCH(C26,Codes!$E$2:$E$37,0)),"GSTIN starts with "&amp;LEFT(TRIM(E26),2)&amp;" but "&amp;C26&amp;" is "&amp;INDEX(Codes!$F$2:$F$37,MATCH(C26,Codes!$E$2:$E$37,0)),"OK")))))))</f>
        <v/>
      </c>
      <c r="B26" s="22"/>
      <c r="C26" s="22"/>
      <c r="D26" s="23"/>
      <c r="E26" s="24"/>
      <c r="F26" s="24"/>
      <c r="G26" s="23"/>
    </row>
    <row r="27" spans="1:7" x14ac:dyDescent="0.35">
      <c r="A27" s="21" t="str">
        <f>IF(COUNTA(B27:G27)=0,"",IF((IF(B27="","Vendor Name, ","")&amp;IF(C27="","State, ",""))&lt;&gt;"","Missing: "&amp;LEFT(IF(B27="","Vendor Name, ","")&amp;IF(C27="","State, ",""),LEN(IF(B27="","Vendor Name, ","")&amp;IF(C27="","State, ",""))-2),IF(COUNTIF($B$3:$B$202,B27)&gt;1,"Vendor "&amp;B27&amp;" is listed twice",IF(ISNA(MATCH(C27,Codes!$E$2:$E$37,0)),"Pick the State from the list",IF(E27="","OK",IF(LEN(TRIM(E27))&lt;&gt;15,"GSTIN must be 15 characters - or leave it blank",IF(LEFT(TRIM(E27),2)&lt;&gt;INDEX(Codes!$F$2:$F$37,MATCH(C27,Codes!$E$2:$E$37,0)),"GSTIN starts with "&amp;LEFT(TRIM(E27),2)&amp;" but "&amp;C27&amp;" is "&amp;INDEX(Codes!$F$2:$F$37,MATCH(C27,Codes!$E$2:$E$37,0)),"OK")))))))</f>
        <v/>
      </c>
      <c r="B27" s="22"/>
      <c r="C27" s="22"/>
      <c r="D27" s="23"/>
      <c r="E27" s="24"/>
      <c r="F27" s="24"/>
      <c r="G27" s="23"/>
    </row>
    <row r="28" spans="1:7" x14ac:dyDescent="0.35">
      <c r="A28" s="21" t="str">
        <f>IF(COUNTA(B28:G28)=0,"",IF((IF(B28="","Vendor Name, ","")&amp;IF(C28="","State, ",""))&lt;&gt;"","Missing: "&amp;LEFT(IF(B28="","Vendor Name, ","")&amp;IF(C28="","State, ",""),LEN(IF(B28="","Vendor Name, ","")&amp;IF(C28="","State, ",""))-2),IF(COUNTIF($B$3:$B$202,B28)&gt;1,"Vendor "&amp;B28&amp;" is listed twice",IF(ISNA(MATCH(C28,Codes!$E$2:$E$37,0)),"Pick the State from the list",IF(E28="","OK",IF(LEN(TRIM(E28))&lt;&gt;15,"GSTIN must be 15 characters - or leave it blank",IF(LEFT(TRIM(E28),2)&lt;&gt;INDEX(Codes!$F$2:$F$37,MATCH(C28,Codes!$E$2:$E$37,0)),"GSTIN starts with "&amp;LEFT(TRIM(E28),2)&amp;" but "&amp;C28&amp;" is "&amp;INDEX(Codes!$F$2:$F$37,MATCH(C28,Codes!$E$2:$E$37,0)),"OK")))))))</f>
        <v/>
      </c>
      <c r="B28" s="22"/>
      <c r="C28" s="22"/>
      <c r="D28" s="23"/>
      <c r="E28" s="24"/>
      <c r="F28" s="24"/>
      <c r="G28" s="23"/>
    </row>
    <row r="29" spans="1:7" x14ac:dyDescent="0.35">
      <c r="A29" s="21" t="str">
        <f>IF(COUNTA(B29:G29)=0,"",IF((IF(B29="","Vendor Name, ","")&amp;IF(C29="","State, ",""))&lt;&gt;"","Missing: "&amp;LEFT(IF(B29="","Vendor Name, ","")&amp;IF(C29="","State, ",""),LEN(IF(B29="","Vendor Name, ","")&amp;IF(C29="","State, ",""))-2),IF(COUNTIF($B$3:$B$202,B29)&gt;1,"Vendor "&amp;B29&amp;" is listed twice",IF(ISNA(MATCH(C29,Codes!$E$2:$E$37,0)),"Pick the State from the list",IF(E29="","OK",IF(LEN(TRIM(E29))&lt;&gt;15,"GSTIN must be 15 characters - or leave it blank",IF(LEFT(TRIM(E29),2)&lt;&gt;INDEX(Codes!$F$2:$F$37,MATCH(C29,Codes!$E$2:$E$37,0)),"GSTIN starts with "&amp;LEFT(TRIM(E29),2)&amp;" but "&amp;C29&amp;" is "&amp;INDEX(Codes!$F$2:$F$37,MATCH(C29,Codes!$E$2:$E$37,0)),"OK")))))))</f>
        <v/>
      </c>
      <c r="B29" s="22"/>
      <c r="C29" s="22"/>
      <c r="D29" s="23"/>
      <c r="E29" s="24"/>
      <c r="F29" s="24"/>
      <c r="G29" s="23"/>
    </row>
    <row r="30" spans="1:7" x14ac:dyDescent="0.35">
      <c r="A30" s="21" t="str">
        <f>IF(COUNTA(B30:G30)=0,"",IF((IF(B30="","Vendor Name, ","")&amp;IF(C30="","State, ",""))&lt;&gt;"","Missing: "&amp;LEFT(IF(B30="","Vendor Name, ","")&amp;IF(C30="","State, ",""),LEN(IF(B30="","Vendor Name, ","")&amp;IF(C30="","State, ",""))-2),IF(COUNTIF($B$3:$B$202,B30)&gt;1,"Vendor "&amp;B30&amp;" is listed twice",IF(ISNA(MATCH(C30,Codes!$E$2:$E$37,0)),"Pick the State from the list",IF(E30="","OK",IF(LEN(TRIM(E30))&lt;&gt;15,"GSTIN must be 15 characters - or leave it blank",IF(LEFT(TRIM(E30),2)&lt;&gt;INDEX(Codes!$F$2:$F$37,MATCH(C30,Codes!$E$2:$E$37,0)),"GSTIN starts with "&amp;LEFT(TRIM(E30),2)&amp;" but "&amp;C30&amp;" is "&amp;INDEX(Codes!$F$2:$F$37,MATCH(C30,Codes!$E$2:$E$37,0)),"OK")))))))</f>
        <v/>
      </c>
      <c r="B30" s="22"/>
      <c r="C30" s="22"/>
      <c r="D30" s="23"/>
      <c r="E30" s="24"/>
      <c r="F30" s="24"/>
      <c r="G30" s="23"/>
    </row>
    <row r="31" spans="1:7" x14ac:dyDescent="0.35">
      <c r="A31" s="21" t="str">
        <f>IF(COUNTA(B31:G31)=0,"",IF((IF(B31="","Vendor Name, ","")&amp;IF(C31="","State, ",""))&lt;&gt;"","Missing: "&amp;LEFT(IF(B31="","Vendor Name, ","")&amp;IF(C31="","State, ",""),LEN(IF(B31="","Vendor Name, ","")&amp;IF(C31="","State, ",""))-2),IF(COUNTIF($B$3:$B$202,B31)&gt;1,"Vendor "&amp;B31&amp;" is listed twice",IF(ISNA(MATCH(C31,Codes!$E$2:$E$37,0)),"Pick the State from the list",IF(E31="","OK",IF(LEN(TRIM(E31))&lt;&gt;15,"GSTIN must be 15 characters - or leave it blank",IF(LEFT(TRIM(E31),2)&lt;&gt;INDEX(Codes!$F$2:$F$37,MATCH(C31,Codes!$E$2:$E$37,0)),"GSTIN starts with "&amp;LEFT(TRIM(E31),2)&amp;" but "&amp;C31&amp;" is "&amp;INDEX(Codes!$F$2:$F$37,MATCH(C31,Codes!$E$2:$E$37,0)),"OK")))))))</f>
        <v/>
      </c>
      <c r="B31" s="22"/>
      <c r="C31" s="22"/>
      <c r="D31" s="23"/>
      <c r="E31" s="24"/>
      <c r="F31" s="24"/>
      <c r="G31" s="23"/>
    </row>
    <row r="32" spans="1:7" x14ac:dyDescent="0.35">
      <c r="A32" s="21" t="str">
        <f>IF(COUNTA(B32:G32)=0,"",IF((IF(B32="","Vendor Name, ","")&amp;IF(C32="","State, ",""))&lt;&gt;"","Missing: "&amp;LEFT(IF(B32="","Vendor Name, ","")&amp;IF(C32="","State, ",""),LEN(IF(B32="","Vendor Name, ","")&amp;IF(C32="","State, ",""))-2),IF(COUNTIF($B$3:$B$202,B32)&gt;1,"Vendor "&amp;B32&amp;" is listed twice",IF(ISNA(MATCH(C32,Codes!$E$2:$E$37,0)),"Pick the State from the list",IF(E32="","OK",IF(LEN(TRIM(E32))&lt;&gt;15,"GSTIN must be 15 characters - or leave it blank",IF(LEFT(TRIM(E32),2)&lt;&gt;INDEX(Codes!$F$2:$F$37,MATCH(C32,Codes!$E$2:$E$37,0)),"GSTIN starts with "&amp;LEFT(TRIM(E32),2)&amp;" but "&amp;C32&amp;" is "&amp;INDEX(Codes!$F$2:$F$37,MATCH(C32,Codes!$E$2:$E$37,0)),"OK")))))))</f>
        <v/>
      </c>
      <c r="B32" s="22"/>
      <c r="C32" s="22"/>
      <c r="D32" s="23"/>
      <c r="E32" s="24"/>
      <c r="F32" s="24"/>
      <c r="G32" s="23"/>
    </row>
    <row r="33" spans="1:7" x14ac:dyDescent="0.35">
      <c r="A33" s="21" t="str">
        <f>IF(COUNTA(B33:G33)=0,"",IF((IF(B33="","Vendor Name, ","")&amp;IF(C33="","State, ",""))&lt;&gt;"","Missing: "&amp;LEFT(IF(B33="","Vendor Name, ","")&amp;IF(C33="","State, ",""),LEN(IF(B33="","Vendor Name, ","")&amp;IF(C33="","State, ",""))-2),IF(COUNTIF($B$3:$B$202,B33)&gt;1,"Vendor "&amp;B33&amp;" is listed twice",IF(ISNA(MATCH(C33,Codes!$E$2:$E$37,0)),"Pick the State from the list",IF(E33="","OK",IF(LEN(TRIM(E33))&lt;&gt;15,"GSTIN must be 15 characters - or leave it blank",IF(LEFT(TRIM(E33),2)&lt;&gt;INDEX(Codes!$F$2:$F$37,MATCH(C33,Codes!$E$2:$E$37,0)),"GSTIN starts with "&amp;LEFT(TRIM(E33),2)&amp;" but "&amp;C33&amp;" is "&amp;INDEX(Codes!$F$2:$F$37,MATCH(C33,Codes!$E$2:$E$37,0)),"OK")))))))</f>
        <v/>
      </c>
      <c r="B33" s="22"/>
      <c r="C33" s="22"/>
      <c r="D33" s="23"/>
      <c r="E33" s="24"/>
      <c r="F33" s="24"/>
      <c r="G33" s="23"/>
    </row>
    <row r="34" spans="1:7" x14ac:dyDescent="0.35">
      <c r="A34" s="21" t="str">
        <f>IF(COUNTA(B34:G34)=0,"",IF((IF(B34="","Vendor Name, ","")&amp;IF(C34="","State, ",""))&lt;&gt;"","Missing: "&amp;LEFT(IF(B34="","Vendor Name, ","")&amp;IF(C34="","State, ",""),LEN(IF(B34="","Vendor Name, ","")&amp;IF(C34="","State, ",""))-2),IF(COUNTIF($B$3:$B$202,B34)&gt;1,"Vendor "&amp;B34&amp;" is listed twice",IF(ISNA(MATCH(C34,Codes!$E$2:$E$37,0)),"Pick the State from the list",IF(E34="","OK",IF(LEN(TRIM(E34))&lt;&gt;15,"GSTIN must be 15 characters - or leave it blank",IF(LEFT(TRIM(E34),2)&lt;&gt;INDEX(Codes!$F$2:$F$37,MATCH(C34,Codes!$E$2:$E$37,0)),"GSTIN starts with "&amp;LEFT(TRIM(E34),2)&amp;" but "&amp;C34&amp;" is "&amp;INDEX(Codes!$F$2:$F$37,MATCH(C34,Codes!$E$2:$E$37,0)),"OK")))))))</f>
        <v/>
      </c>
      <c r="B34" s="22"/>
      <c r="C34" s="22"/>
      <c r="D34" s="23"/>
      <c r="E34" s="24"/>
      <c r="F34" s="24"/>
      <c r="G34" s="23"/>
    </row>
    <row r="35" spans="1:7" x14ac:dyDescent="0.35">
      <c r="A35" s="21" t="str">
        <f>IF(COUNTA(B35:G35)=0,"",IF((IF(B35="","Vendor Name, ","")&amp;IF(C35="","State, ",""))&lt;&gt;"","Missing: "&amp;LEFT(IF(B35="","Vendor Name, ","")&amp;IF(C35="","State, ",""),LEN(IF(B35="","Vendor Name, ","")&amp;IF(C35="","State, ",""))-2),IF(COUNTIF($B$3:$B$202,B35)&gt;1,"Vendor "&amp;B35&amp;" is listed twice",IF(ISNA(MATCH(C35,Codes!$E$2:$E$37,0)),"Pick the State from the list",IF(E35="","OK",IF(LEN(TRIM(E35))&lt;&gt;15,"GSTIN must be 15 characters - or leave it blank",IF(LEFT(TRIM(E35),2)&lt;&gt;INDEX(Codes!$F$2:$F$37,MATCH(C35,Codes!$E$2:$E$37,0)),"GSTIN starts with "&amp;LEFT(TRIM(E35),2)&amp;" but "&amp;C35&amp;" is "&amp;INDEX(Codes!$F$2:$F$37,MATCH(C35,Codes!$E$2:$E$37,0)),"OK")))))))</f>
        <v/>
      </c>
      <c r="B35" s="22"/>
      <c r="C35" s="22"/>
      <c r="D35" s="23"/>
      <c r="E35" s="24"/>
      <c r="F35" s="24"/>
      <c r="G35" s="23"/>
    </row>
    <row r="36" spans="1:7" x14ac:dyDescent="0.35">
      <c r="A36" s="21" t="str">
        <f>IF(COUNTA(B36:G36)=0,"",IF((IF(B36="","Vendor Name, ","")&amp;IF(C36="","State, ",""))&lt;&gt;"","Missing: "&amp;LEFT(IF(B36="","Vendor Name, ","")&amp;IF(C36="","State, ",""),LEN(IF(B36="","Vendor Name, ","")&amp;IF(C36="","State, ",""))-2),IF(COUNTIF($B$3:$B$202,B36)&gt;1,"Vendor "&amp;B36&amp;" is listed twice",IF(ISNA(MATCH(C36,Codes!$E$2:$E$37,0)),"Pick the State from the list",IF(E36="","OK",IF(LEN(TRIM(E36))&lt;&gt;15,"GSTIN must be 15 characters - or leave it blank",IF(LEFT(TRIM(E36),2)&lt;&gt;INDEX(Codes!$F$2:$F$37,MATCH(C36,Codes!$E$2:$E$37,0)),"GSTIN starts with "&amp;LEFT(TRIM(E36),2)&amp;" but "&amp;C36&amp;" is "&amp;INDEX(Codes!$F$2:$F$37,MATCH(C36,Codes!$E$2:$E$37,0)),"OK")))))))</f>
        <v/>
      </c>
      <c r="B36" s="22"/>
      <c r="C36" s="22"/>
      <c r="D36" s="23"/>
      <c r="E36" s="24"/>
      <c r="F36" s="24"/>
      <c r="G36" s="23"/>
    </row>
    <row r="37" spans="1:7" x14ac:dyDescent="0.35">
      <c r="A37" s="21" t="str">
        <f>IF(COUNTA(B37:G37)=0,"",IF((IF(B37="","Vendor Name, ","")&amp;IF(C37="","State, ",""))&lt;&gt;"","Missing: "&amp;LEFT(IF(B37="","Vendor Name, ","")&amp;IF(C37="","State, ",""),LEN(IF(B37="","Vendor Name, ","")&amp;IF(C37="","State, ",""))-2),IF(COUNTIF($B$3:$B$202,B37)&gt;1,"Vendor "&amp;B37&amp;" is listed twice",IF(ISNA(MATCH(C37,Codes!$E$2:$E$37,0)),"Pick the State from the list",IF(E37="","OK",IF(LEN(TRIM(E37))&lt;&gt;15,"GSTIN must be 15 characters - or leave it blank",IF(LEFT(TRIM(E37),2)&lt;&gt;INDEX(Codes!$F$2:$F$37,MATCH(C37,Codes!$E$2:$E$37,0)),"GSTIN starts with "&amp;LEFT(TRIM(E37),2)&amp;" but "&amp;C37&amp;" is "&amp;INDEX(Codes!$F$2:$F$37,MATCH(C37,Codes!$E$2:$E$37,0)),"OK")))))))</f>
        <v/>
      </c>
      <c r="B37" s="22"/>
      <c r="C37" s="22"/>
      <c r="D37" s="23"/>
      <c r="E37" s="24"/>
      <c r="F37" s="24"/>
      <c r="G37" s="23"/>
    </row>
    <row r="38" spans="1:7" x14ac:dyDescent="0.35">
      <c r="A38" s="21" t="str">
        <f>IF(COUNTA(B38:G38)=0,"",IF((IF(B38="","Vendor Name, ","")&amp;IF(C38="","State, ",""))&lt;&gt;"","Missing: "&amp;LEFT(IF(B38="","Vendor Name, ","")&amp;IF(C38="","State, ",""),LEN(IF(B38="","Vendor Name, ","")&amp;IF(C38="","State, ",""))-2),IF(COUNTIF($B$3:$B$202,B38)&gt;1,"Vendor "&amp;B38&amp;" is listed twice",IF(ISNA(MATCH(C38,Codes!$E$2:$E$37,0)),"Pick the State from the list",IF(E38="","OK",IF(LEN(TRIM(E38))&lt;&gt;15,"GSTIN must be 15 characters - or leave it blank",IF(LEFT(TRIM(E38),2)&lt;&gt;INDEX(Codes!$F$2:$F$37,MATCH(C38,Codes!$E$2:$E$37,0)),"GSTIN starts with "&amp;LEFT(TRIM(E38),2)&amp;" but "&amp;C38&amp;" is "&amp;INDEX(Codes!$F$2:$F$37,MATCH(C38,Codes!$E$2:$E$37,0)),"OK")))))))</f>
        <v/>
      </c>
      <c r="B38" s="22"/>
      <c r="C38" s="22"/>
      <c r="D38" s="23"/>
      <c r="E38" s="24"/>
      <c r="F38" s="24"/>
      <c r="G38" s="23"/>
    </row>
    <row r="39" spans="1:7" x14ac:dyDescent="0.35">
      <c r="A39" s="21" t="str">
        <f>IF(COUNTA(B39:G39)=0,"",IF((IF(B39="","Vendor Name, ","")&amp;IF(C39="","State, ",""))&lt;&gt;"","Missing: "&amp;LEFT(IF(B39="","Vendor Name, ","")&amp;IF(C39="","State, ",""),LEN(IF(B39="","Vendor Name, ","")&amp;IF(C39="","State, ",""))-2),IF(COUNTIF($B$3:$B$202,B39)&gt;1,"Vendor "&amp;B39&amp;" is listed twice",IF(ISNA(MATCH(C39,Codes!$E$2:$E$37,0)),"Pick the State from the list",IF(E39="","OK",IF(LEN(TRIM(E39))&lt;&gt;15,"GSTIN must be 15 characters - or leave it blank",IF(LEFT(TRIM(E39),2)&lt;&gt;INDEX(Codes!$F$2:$F$37,MATCH(C39,Codes!$E$2:$E$37,0)),"GSTIN starts with "&amp;LEFT(TRIM(E39),2)&amp;" but "&amp;C39&amp;" is "&amp;INDEX(Codes!$F$2:$F$37,MATCH(C39,Codes!$E$2:$E$37,0)),"OK")))))))</f>
        <v/>
      </c>
      <c r="B39" s="22"/>
      <c r="C39" s="22"/>
      <c r="D39" s="23"/>
      <c r="E39" s="24"/>
      <c r="F39" s="24"/>
      <c r="G39" s="23"/>
    </row>
    <row r="40" spans="1:7" x14ac:dyDescent="0.35">
      <c r="A40" s="21" t="str">
        <f>IF(COUNTA(B40:G40)=0,"",IF((IF(B40="","Vendor Name, ","")&amp;IF(C40="","State, ",""))&lt;&gt;"","Missing: "&amp;LEFT(IF(B40="","Vendor Name, ","")&amp;IF(C40="","State, ",""),LEN(IF(B40="","Vendor Name, ","")&amp;IF(C40="","State, ",""))-2),IF(COUNTIF($B$3:$B$202,B40)&gt;1,"Vendor "&amp;B40&amp;" is listed twice",IF(ISNA(MATCH(C40,Codes!$E$2:$E$37,0)),"Pick the State from the list",IF(E40="","OK",IF(LEN(TRIM(E40))&lt;&gt;15,"GSTIN must be 15 characters - or leave it blank",IF(LEFT(TRIM(E40),2)&lt;&gt;INDEX(Codes!$F$2:$F$37,MATCH(C40,Codes!$E$2:$E$37,0)),"GSTIN starts with "&amp;LEFT(TRIM(E40),2)&amp;" but "&amp;C40&amp;" is "&amp;INDEX(Codes!$F$2:$F$37,MATCH(C40,Codes!$E$2:$E$37,0)),"OK")))))))</f>
        <v/>
      </c>
      <c r="B40" s="22"/>
      <c r="C40" s="22"/>
      <c r="D40" s="23"/>
      <c r="E40" s="24"/>
      <c r="F40" s="24"/>
      <c r="G40" s="23"/>
    </row>
    <row r="41" spans="1:7" x14ac:dyDescent="0.35">
      <c r="A41" s="21" t="str">
        <f>IF(COUNTA(B41:G41)=0,"",IF((IF(B41="","Vendor Name, ","")&amp;IF(C41="","State, ",""))&lt;&gt;"","Missing: "&amp;LEFT(IF(B41="","Vendor Name, ","")&amp;IF(C41="","State, ",""),LEN(IF(B41="","Vendor Name, ","")&amp;IF(C41="","State, ",""))-2),IF(COUNTIF($B$3:$B$202,B41)&gt;1,"Vendor "&amp;B41&amp;" is listed twice",IF(ISNA(MATCH(C41,Codes!$E$2:$E$37,0)),"Pick the State from the list",IF(E41="","OK",IF(LEN(TRIM(E41))&lt;&gt;15,"GSTIN must be 15 characters - or leave it blank",IF(LEFT(TRIM(E41),2)&lt;&gt;INDEX(Codes!$F$2:$F$37,MATCH(C41,Codes!$E$2:$E$37,0)),"GSTIN starts with "&amp;LEFT(TRIM(E41),2)&amp;" but "&amp;C41&amp;" is "&amp;INDEX(Codes!$F$2:$F$37,MATCH(C41,Codes!$E$2:$E$37,0)),"OK")))))))</f>
        <v/>
      </c>
      <c r="B41" s="22"/>
      <c r="C41" s="22"/>
      <c r="D41" s="23"/>
      <c r="E41" s="24"/>
      <c r="F41" s="24"/>
      <c r="G41" s="23"/>
    </row>
    <row r="42" spans="1:7" x14ac:dyDescent="0.35">
      <c r="A42" s="21" t="str">
        <f>IF(COUNTA(B42:G42)=0,"",IF((IF(B42="","Vendor Name, ","")&amp;IF(C42="","State, ",""))&lt;&gt;"","Missing: "&amp;LEFT(IF(B42="","Vendor Name, ","")&amp;IF(C42="","State, ",""),LEN(IF(B42="","Vendor Name, ","")&amp;IF(C42="","State, ",""))-2),IF(COUNTIF($B$3:$B$202,B42)&gt;1,"Vendor "&amp;B42&amp;" is listed twice",IF(ISNA(MATCH(C42,Codes!$E$2:$E$37,0)),"Pick the State from the list",IF(E42="","OK",IF(LEN(TRIM(E42))&lt;&gt;15,"GSTIN must be 15 characters - or leave it blank",IF(LEFT(TRIM(E42),2)&lt;&gt;INDEX(Codes!$F$2:$F$37,MATCH(C42,Codes!$E$2:$E$37,0)),"GSTIN starts with "&amp;LEFT(TRIM(E42),2)&amp;" but "&amp;C42&amp;" is "&amp;INDEX(Codes!$F$2:$F$37,MATCH(C42,Codes!$E$2:$E$37,0)),"OK")))))))</f>
        <v/>
      </c>
      <c r="B42" s="22"/>
      <c r="C42" s="22"/>
      <c r="D42" s="23"/>
      <c r="E42" s="24"/>
      <c r="F42" s="24"/>
      <c r="G42" s="23"/>
    </row>
    <row r="43" spans="1:7" x14ac:dyDescent="0.35">
      <c r="A43" s="21" t="str">
        <f>IF(COUNTA(B43:G43)=0,"",IF((IF(B43="","Vendor Name, ","")&amp;IF(C43="","State, ",""))&lt;&gt;"","Missing: "&amp;LEFT(IF(B43="","Vendor Name, ","")&amp;IF(C43="","State, ",""),LEN(IF(B43="","Vendor Name, ","")&amp;IF(C43="","State, ",""))-2),IF(COUNTIF($B$3:$B$202,B43)&gt;1,"Vendor "&amp;B43&amp;" is listed twice",IF(ISNA(MATCH(C43,Codes!$E$2:$E$37,0)),"Pick the State from the list",IF(E43="","OK",IF(LEN(TRIM(E43))&lt;&gt;15,"GSTIN must be 15 characters - or leave it blank",IF(LEFT(TRIM(E43),2)&lt;&gt;INDEX(Codes!$F$2:$F$37,MATCH(C43,Codes!$E$2:$E$37,0)),"GSTIN starts with "&amp;LEFT(TRIM(E43),2)&amp;" but "&amp;C43&amp;" is "&amp;INDEX(Codes!$F$2:$F$37,MATCH(C43,Codes!$E$2:$E$37,0)),"OK")))))))</f>
        <v/>
      </c>
      <c r="B43" s="22"/>
      <c r="C43" s="22"/>
      <c r="D43" s="23"/>
      <c r="E43" s="24"/>
      <c r="F43" s="24"/>
      <c r="G43" s="23"/>
    </row>
    <row r="44" spans="1:7" x14ac:dyDescent="0.35">
      <c r="A44" s="21" t="str">
        <f>IF(COUNTA(B44:G44)=0,"",IF((IF(B44="","Vendor Name, ","")&amp;IF(C44="","State, ",""))&lt;&gt;"","Missing: "&amp;LEFT(IF(B44="","Vendor Name, ","")&amp;IF(C44="","State, ",""),LEN(IF(B44="","Vendor Name, ","")&amp;IF(C44="","State, ",""))-2),IF(COUNTIF($B$3:$B$202,B44)&gt;1,"Vendor "&amp;B44&amp;" is listed twice",IF(ISNA(MATCH(C44,Codes!$E$2:$E$37,0)),"Pick the State from the list",IF(E44="","OK",IF(LEN(TRIM(E44))&lt;&gt;15,"GSTIN must be 15 characters - or leave it blank",IF(LEFT(TRIM(E44),2)&lt;&gt;INDEX(Codes!$F$2:$F$37,MATCH(C44,Codes!$E$2:$E$37,0)),"GSTIN starts with "&amp;LEFT(TRIM(E44),2)&amp;" but "&amp;C44&amp;" is "&amp;INDEX(Codes!$F$2:$F$37,MATCH(C44,Codes!$E$2:$E$37,0)),"OK")))))))</f>
        <v/>
      </c>
      <c r="B44" s="22"/>
      <c r="C44" s="22"/>
      <c r="D44" s="23"/>
      <c r="E44" s="24"/>
      <c r="F44" s="24"/>
      <c r="G44" s="23"/>
    </row>
    <row r="45" spans="1:7" x14ac:dyDescent="0.35">
      <c r="A45" s="21" t="str">
        <f>IF(COUNTA(B45:G45)=0,"",IF((IF(B45="","Vendor Name, ","")&amp;IF(C45="","State, ",""))&lt;&gt;"","Missing: "&amp;LEFT(IF(B45="","Vendor Name, ","")&amp;IF(C45="","State, ",""),LEN(IF(B45="","Vendor Name, ","")&amp;IF(C45="","State, ",""))-2),IF(COUNTIF($B$3:$B$202,B45)&gt;1,"Vendor "&amp;B45&amp;" is listed twice",IF(ISNA(MATCH(C45,Codes!$E$2:$E$37,0)),"Pick the State from the list",IF(E45="","OK",IF(LEN(TRIM(E45))&lt;&gt;15,"GSTIN must be 15 characters - or leave it blank",IF(LEFT(TRIM(E45),2)&lt;&gt;INDEX(Codes!$F$2:$F$37,MATCH(C45,Codes!$E$2:$E$37,0)),"GSTIN starts with "&amp;LEFT(TRIM(E45),2)&amp;" but "&amp;C45&amp;" is "&amp;INDEX(Codes!$F$2:$F$37,MATCH(C45,Codes!$E$2:$E$37,0)),"OK")))))))</f>
        <v/>
      </c>
      <c r="B45" s="22"/>
      <c r="C45" s="22"/>
      <c r="D45" s="23"/>
      <c r="E45" s="24"/>
      <c r="F45" s="24"/>
      <c r="G45" s="23"/>
    </row>
    <row r="46" spans="1:7" x14ac:dyDescent="0.35">
      <c r="A46" s="21" t="str">
        <f>IF(COUNTA(B46:G46)=0,"",IF((IF(B46="","Vendor Name, ","")&amp;IF(C46="","State, ",""))&lt;&gt;"","Missing: "&amp;LEFT(IF(B46="","Vendor Name, ","")&amp;IF(C46="","State, ",""),LEN(IF(B46="","Vendor Name, ","")&amp;IF(C46="","State, ",""))-2),IF(COUNTIF($B$3:$B$202,B46)&gt;1,"Vendor "&amp;B46&amp;" is listed twice",IF(ISNA(MATCH(C46,Codes!$E$2:$E$37,0)),"Pick the State from the list",IF(E46="","OK",IF(LEN(TRIM(E46))&lt;&gt;15,"GSTIN must be 15 characters - or leave it blank",IF(LEFT(TRIM(E46),2)&lt;&gt;INDEX(Codes!$F$2:$F$37,MATCH(C46,Codes!$E$2:$E$37,0)),"GSTIN starts with "&amp;LEFT(TRIM(E46),2)&amp;" but "&amp;C46&amp;" is "&amp;INDEX(Codes!$F$2:$F$37,MATCH(C46,Codes!$E$2:$E$37,0)),"OK")))))))</f>
        <v/>
      </c>
      <c r="B46" s="22"/>
      <c r="C46" s="22"/>
      <c r="D46" s="23"/>
      <c r="E46" s="24"/>
      <c r="F46" s="24"/>
      <c r="G46" s="23"/>
    </row>
    <row r="47" spans="1:7" x14ac:dyDescent="0.35">
      <c r="A47" s="21" t="str">
        <f>IF(COUNTA(B47:G47)=0,"",IF((IF(B47="","Vendor Name, ","")&amp;IF(C47="","State, ",""))&lt;&gt;"","Missing: "&amp;LEFT(IF(B47="","Vendor Name, ","")&amp;IF(C47="","State, ",""),LEN(IF(B47="","Vendor Name, ","")&amp;IF(C47="","State, ",""))-2),IF(COUNTIF($B$3:$B$202,B47)&gt;1,"Vendor "&amp;B47&amp;" is listed twice",IF(ISNA(MATCH(C47,Codes!$E$2:$E$37,0)),"Pick the State from the list",IF(E47="","OK",IF(LEN(TRIM(E47))&lt;&gt;15,"GSTIN must be 15 characters - or leave it blank",IF(LEFT(TRIM(E47),2)&lt;&gt;INDEX(Codes!$F$2:$F$37,MATCH(C47,Codes!$E$2:$E$37,0)),"GSTIN starts with "&amp;LEFT(TRIM(E47),2)&amp;" but "&amp;C47&amp;" is "&amp;INDEX(Codes!$F$2:$F$37,MATCH(C47,Codes!$E$2:$E$37,0)),"OK")))))))</f>
        <v/>
      </c>
      <c r="B47" s="22"/>
      <c r="C47" s="22"/>
      <c r="D47" s="23"/>
      <c r="E47" s="24"/>
      <c r="F47" s="24"/>
      <c r="G47" s="23"/>
    </row>
    <row r="48" spans="1:7" x14ac:dyDescent="0.35">
      <c r="A48" s="21" t="str">
        <f>IF(COUNTA(B48:G48)=0,"",IF((IF(B48="","Vendor Name, ","")&amp;IF(C48="","State, ",""))&lt;&gt;"","Missing: "&amp;LEFT(IF(B48="","Vendor Name, ","")&amp;IF(C48="","State, ",""),LEN(IF(B48="","Vendor Name, ","")&amp;IF(C48="","State, ",""))-2),IF(COUNTIF($B$3:$B$202,B48)&gt;1,"Vendor "&amp;B48&amp;" is listed twice",IF(ISNA(MATCH(C48,Codes!$E$2:$E$37,0)),"Pick the State from the list",IF(E48="","OK",IF(LEN(TRIM(E48))&lt;&gt;15,"GSTIN must be 15 characters - or leave it blank",IF(LEFT(TRIM(E48),2)&lt;&gt;INDEX(Codes!$F$2:$F$37,MATCH(C48,Codes!$E$2:$E$37,0)),"GSTIN starts with "&amp;LEFT(TRIM(E48),2)&amp;" but "&amp;C48&amp;" is "&amp;INDEX(Codes!$F$2:$F$37,MATCH(C48,Codes!$E$2:$E$37,0)),"OK")))))))</f>
        <v/>
      </c>
      <c r="B48" s="22"/>
      <c r="C48" s="22"/>
      <c r="D48" s="23"/>
      <c r="E48" s="24"/>
      <c r="F48" s="24"/>
      <c r="G48" s="23"/>
    </row>
    <row r="49" spans="1:7" x14ac:dyDescent="0.35">
      <c r="A49" s="21" t="str">
        <f>IF(COUNTA(B49:G49)=0,"",IF((IF(B49="","Vendor Name, ","")&amp;IF(C49="","State, ",""))&lt;&gt;"","Missing: "&amp;LEFT(IF(B49="","Vendor Name, ","")&amp;IF(C49="","State, ",""),LEN(IF(B49="","Vendor Name, ","")&amp;IF(C49="","State, ",""))-2),IF(COUNTIF($B$3:$B$202,B49)&gt;1,"Vendor "&amp;B49&amp;" is listed twice",IF(ISNA(MATCH(C49,Codes!$E$2:$E$37,0)),"Pick the State from the list",IF(E49="","OK",IF(LEN(TRIM(E49))&lt;&gt;15,"GSTIN must be 15 characters - or leave it blank",IF(LEFT(TRIM(E49),2)&lt;&gt;INDEX(Codes!$F$2:$F$37,MATCH(C49,Codes!$E$2:$E$37,0)),"GSTIN starts with "&amp;LEFT(TRIM(E49),2)&amp;" but "&amp;C49&amp;" is "&amp;INDEX(Codes!$F$2:$F$37,MATCH(C49,Codes!$E$2:$E$37,0)),"OK")))))))</f>
        <v/>
      </c>
      <c r="B49" s="22"/>
      <c r="C49" s="22"/>
      <c r="D49" s="23"/>
      <c r="E49" s="24"/>
      <c r="F49" s="24"/>
      <c r="G49" s="23"/>
    </row>
    <row r="50" spans="1:7" x14ac:dyDescent="0.35">
      <c r="A50" s="21" t="str">
        <f>IF(COUNTA(B50:G50)=0,"",IF((IF(B50="","Vendor Name, ","")&amp;IF(C50="","State, ",""))&lt;&gt;"","Missing: "&amp;LEFT(IF(B50="","Vendor Name, ","")&amp;IF(C50="","State, ",""),LEN(IF(B50="","Vendor Name, ","")&amp;IF(C50="","State, ",""))-2),IF(COUNTIF($B$3:$B$202,B50)&gt;1,"Vendor "&amp;B50&amp;" is listed twice",IF(ISNA(MATCH(C50,Codes!$E$2:$E$37,0)),"Pick the State from the list",IF(E50="","OK",IF(LEN(TRIM(E50))&lt;&gt;15,"GSTIN must be 15 characters - or leave it blank",IF(LEFT(TRIM(E50),2)&lt;&gt;INDEX(Codes!$F$2:$F$37,MATCH(C50,Codes!$E$2:$E$37,0)),"GSTIN starts with "&amp;LEFT(TRIM(E50),2)&amp;" but "&amp;C50&amp;" is "&amp;INDEX(Codes!$F$2:$F$37,MATCH(C50,Codes!$E$2:$E$37,0)),"OK")))))))</f>
        <v/>
      </c>
      <c r="B50" s="22"/>
      <c r="C50" s="22"/>
      <c r="D50" s="23"/>
      <c r="E50" s="24"/>
      <c r="F50" s="24"/>
      <c r="G50" s="23"/>
    </row>
    <row r="51" spans="1:7" x14ac:dyDescent="0.35">
      <c r="A51" s="21" t="str">
        <f>IF(COUNTA(B51:G51)=0,"",IF((IF(B51="","Vendor Name, ","")&amp;IF(C51="","State, ",""))&lt;&gt;"","Missing: "&amp;LEFT(IF(B51="","Vendor Name, ","")&amp;IF(C51="","State, ",""),LEN(IF(B51="","Vendor Name, ","")&amp;IF(C51="","State, ",""))-2),IF(COUNTIF($B$3:$B$202,B51)&gt;1,"Vendor "&amp;B51&amp;" is listed twice",IF(ISNA(MATCH(C51,Codes!$E$2:$E$37,0)),"Pick the State from the list",IF(E51="","OK",IF(LEN(TRIM(E51))&lt;&gt;15,"GSTIN must be 15 characters - or leave it blank",IF(LEFT(TRIM(E51),2)&lt;&gt;INDEX(Codes!$F$2:$F$37,MATCH(C51,Codes!$E$2:$E$37,0)),"GSTIN starts with "&amp;LEFT(TRIM(E51),2)&amp;" but "&amp;C51&amp;" is "&amp;INDEX(Codes!$F$2:$F$37,MATCH(C51,Codes!$E$2:$E$37,0)),"OK")))))))</f>
        <v/>
      </c>
      <c r="B51" s="22"/>
      <c r="C51" s="22"/>
      <c r="D51" s="23"/>
      <c r="E51" s="24"/>
      <c r="F51" s="24"/>
      <c r="G51" s="23"/>
    </row>
    <row r="52" spans="1:7" x14ac:dyDescent="0.35">
      <c r="A52" s="21" t="str">
        <f>IF(COUNTA(B52:G52)=0,"",IF((IF(B52="","Vendor Name, ","")&amp;IF(C52="","State, ",""))&lt;&gt;"","Missing: "&amp;LEFT(IF(B52="","Vendor Name, ","")&amp;IF(C52="","State, ",""),LEN(IF(B52="","Vendor Name, ","")&amp;IF(C52="","State, ",""))-2),IF(COUNTIF($B$3:$B$202,B52)&gt;1,"Vendor "&amp;B52&amp;" is listed twice",IF(ISNA(MATCH(C52,Codes!$E$2:$E$37,0)),"Pick the State from the list",IF(E52="","OK",IF(LEN(TRIM(E52))&lt;&gt;15,"GSTIN must be 15 characters - or leave it blank",IF(LEFT(TRIM(E52),2)&lt;&gt;INDEX(Codes!$F$2:$F$37,MATCH(C52,Codes!$E$2:$E$37,0)),"GSTIN starts with "&amp;LEFT(TRIM(E52),2)&amp;" but "&amp;C52&amp;" is "&amp;INDEX(Codes!$F$2:$F$37,MATCH(C52,Codes!$E$2:$E$37,0)),"OK")))))))</f>
        <v/>
      </c>
      <c r="B52" s="22"/>
      <c r="C52" s="22"/>
      <c r="D52" s="23"/>
      <c r="E52" s="24"/>
      <c r="F52" s="24"/>
      <c r="G52" s="23"/>
    </row>
    <row r="53" spans="1:7" x14ac:dyDescent="0.35">
      <c r="A53" s="21" t="str">
        <f>IF(COUNTA(B53:G53)=0,"",IF((IF(B53="","Vendor Name, ","")&amp;IF(C53="","State, ",""))&lt;&gt;"","Missing: "&amp;LEFT(IF(B53="","Vendor Name, ","")&amp;IF(C53="","State, ",""),LEN(IF(B53="","Vendor Name, ","")&amp;IF(C53="","State, ",""))-2),IF(COUNTIF($B$3:$B$202,B53)&gt;1,"Vendor "&amp;B53&amp;" is listed twice",IF(ISNA(MATCH(C53,Codes!$E$2:$E$37,0)),"Pick the State from the list",IF(E53="","OK",IF(LEN(TRIM(E53))&lt;&gt;15,"GSTIN must be 15 characters - or leave it blank",IF(LEFT(TRIM(E53),2)&lt;&gt;INDEX(Codes!$F$2:$F$37,MATCH(C53,Codes!$E$2:$E$37,0)),"GSTIN starts with "&amp;LEFT(TRIM(E53),2)&amp;" but "&amp;C53&amp;" is "&amp;INDEX(Codes!$F$2:$F$37,MATCH(C53,Codes!$E$2:$E$37,0)),"OK")))))))</f>
        <v/>
      </c>
      <c r="B53" s="22"/>
      <c r="C53" s="22"/>
      <c r="D53" s="23"/>
      <c r="E53" s="24"/>
      <c r="F53" s="24"/>
      <c r="G53" s="23"/>
    </row>
    <row r="54" spans="1:7" x14ac:dyDescent="0.35">
      <c r="A54" s="21" t="str">
        <f>IF(COUNTA(B54:G54)=0,"",IF((IF(B54="","Vendor Name, ","")&amp;IF(C54="","State, ",""))&lt;&gt;"","Missing: "&amp;LEFT(IF(B54="","Vendor Name, ","")&amp;IF(C54="","State, ",""),LEN(IF(B54="","Vendor Name, ","")&amp;IF(C54="","State, ",""))-2),IF(COUNTIF($B$3:$B$202,B54)&gt;1,"Vendor "&amp;B54&amp;" is listed twice",IF(ISNA(MATCH(C54,Codes!$E$2:$E$37,0)),"Pick the State from the list",IF(E54="","OK",IF(LEN(TRIM(E54))&lt;&gt;15,"GSTIN must be 15 characters - or leave it blank",IF(LEFT(TRIM(E54),2)&lt;&gt;INDEX(Codes!$F$2:$F$37,MATCH(C54,Codes!$E$2:$E$37,0)),"GSTIN starts with "&amp;LEFT(TRIM(E54),2)&amp;" but "&amp;C54&amp;" is "&amp;INDEX(Codes!$F$2:$F$37,MATCH(C54,Codes!$E$2:$E$37,0)),"OK")))))))</f>
        <v/>
      </c>
      <c r="B54" s="22"/>
      <c r="C54" s="22"/>
      <c r="D54" s="23"/>
      <c r="E54" s="24"/>
      <c r="F54" s="24"/>
      <c r="G54" s="23"/>
    </row>
    <row r="55" spans="1:7" x14ac:dyDescent="0.35">
      <c r="A55" s="21" t="str">
        <f>IF(COUNTA(B55:G55)=0,"",IF((IF(B55="","Vendor Name, ","")&amp;IF(C55="","State, ",""))&lt;&gt;"","Missing: "&amp;LEFT(IF(B55="","Vendor Name, ","")&amp;IF(C55="","State, ",""),LEN(IF(B55="","Vendor Name, ","")&amp;IF(C55="","State, ",""))-2),IF(COUNTIF($B$3:$B$202,B55)&gt;1,"Vendor "&amp;B55&amp;" is listed twice",IF(ISNA(MATCH(C55,Codes!$E$2:$E$37,0)),"Pick the State from the list",IF(E55="","OK",IF(LEN(TRIM(E55))&lt;&gt;15,"GSTIN must be 15 characters - or leave it blank",IF(LEFT(TRIM(E55),2)&lt;&gt;INDEX(Codes!$F$2:$F$37,MATCH(C55,Codes!$E$2:$E$37,0)),"GSTIN starts with "&amp;LEFT(TRIM(E55),2)&amp;" but "&amp;C55&amp;" is "&amp;INDEX(Codes!$F$2:$F$37,MATCH(C55,Codes!$E$2:$E$37,0)),"OK")))))))</f>
        <v/>
      </c>
      <c r="B55" s="22"/>
      <c r="C55" s="22"/>
      <c r="D55" s="23"/>
      <c r="E55" s="24"/>
      <c r="F55" s="24"/>
      <c r="G55" s="23"/>
    </row>
    <row r="56" spans="1:7" x14ac:dyDescent="0.35">
      <c r="A56" s="21" t="str">
        <f>IF(COUNTA(B56:G56)=0,"",IF((IF(B56="","Vendor Name, ","")&amp;IF(C56="","State, ",""))&lt;&gt;"","Missing: "&amp;LEFT(IF(B56="","Vendor Name, ","")&amp;IF(C56="","State, ",""),LEN(IF(B56="","Vendor Name, ","")&amp;IF(C56="","State, ",""))-2),IF(COUNTIF($B$3:$B$202,B56)&gt;1,"Vendor "&amp;B56&amp;" is listed twice",IF(ISNA(MATCH(C56,Codes!$E$2:$E$37,0)),"Pick the State from the list",IF(E56="","OK",IF(LEN(TRIM(E56))&lt;&gt;15,"GSTIN must be 15 characters - or leave it blank",IF(LEFT(TRIM(E56),2)&lt;&gt;INDEX(Codes!$F$2:$F$37,MATCH(C56,Codes!$E$2:$E$37,0)),"GSTIN starts with "&amp;LEFT(TRIM(E56),2)&amp;" but "&amp;C56&amp;" is "&amp;INDEX(Codes!$F$2:$F$37,MATCH(C56,Codes!$E$2:$E$37,0)),"OK")))))))</f>
        <v/>
      </c>
      <c r="B56" s="22"/>
      <c r="C56" s="22"/>
      <c r="D56" s="23"/>
      <c r="E56" s="24"/>
      <c r="F56" s="24"/>
      <c r="G56" s="23"/>
    </row>
    <row r="57" spans="1:7" x14ac:dyDescent="0.35">
      <c r="A57" s="21" t="str">
        <f>IF(COUNTA(B57:G57)=0,"",IF((IF(B57="","Vendor Name, ","")&amp;IF(C57="","State, ",""))&lt;&gt;"","Missing: "&amp;LEFT(IF(B57="","Vendor Name, ","")&amp;IF(C57="","State, ",""),LEN(IF(B57="","Vendor Name, ","")&amp;IF(C57="","State, ",""))-2),IF(COUNTIF($B$3:$B$202,B57)&gt;1,"Vendor "&amp;B57&amp;" is listed twice",IF(ISNA(MATCH(C57,Codes!$E$2:$E$37,0)),"Pick the State from the list",IF(E57="","OK",IF(LEN(TRIM(E57))&lt;&gt;15,"GSTIN must be 15 characters - or leave it blank",IF(LEFT(TRIM(E57),2)&lt;&gt;INDEX(Codes!$F$2:$F$37,MATCH(C57,Codes!$E$2:$E$37,0)),"GSTIN starts with "&amp;LEFT(TRIM(E57),2)&amp;" but "&amp;C57&amp;" is "&amp;INDEX(Codes!$F$2:$F$37,MATCH(C57,Codes!$E$2:$E$37,0)),"OK")))))))</f>
        <v/>
      </c>
      <c r="B57" s="22"/>
      <c r="C57" s="22"/>
      <c r="D57" s="23"/>
      <c r="E57" s="24"/>
      <c r="F57" s="24"/>
      <c r="G57" s="23"/>
    </row>
    <row r="58" spans="1:7" x14ac:dyDescent="0.35">
      <c r="A58" s="21" t="str">
        <f>IF(COUNTA(B58:G58)=0,"",IF((IF(B58="","Vendor Name, ","")&amp;IF(C58="","State, ",""))&lt;&gt;"","Missing: "&amp;LEFT(IF(B58="","Vendor Name, ","")&amp;IF(C58="","State, ",""),LEN(IF(B58="","Vendor Name, ","")&amp;IF(C58="","State, ",""))-2),IF(COUNTIF($B$3:$B$202,B58)&gt;1,"Vendor "&amp;B58&amp;" is listed twice",IF(ISNA(MATCH(C58,Codes!$E$2:$E$37,0)),"Pick the State from the list",IF(E58="","OK",IF(LEN(TRIM(E58))&lt;&gt;15,"GSTIN must be 15 characters - or leave it blank",IF(LEFT(TRIM(E58),2)&lt;&gt;INDEX(Codes!$F$2:$F$37,MATCH(C58,Codes!$E$2:$E$37,0)),"GSTIN starts with "&amp;LEFT(TRIM(E58),2)&amp;" but "&amp;C58&amp;" is "&amp;INDEX(Codes!$F$2:$F$37,MATCH(C58,Codes!$E$2:$E$37,0)),"OK")))))))</f>
        <v/>
      </c>
      <c r="B58" s="22"/>
      <c r="C58" s="22"/>
      <c r="D58" s="23"/>
      <c r="E58" s="24"/>
      <c r="F58" s="24"/>
      <c r="G58" s="23"/>
    </row>
    <row r="59" spans="1:7" x14ac:dyDescent="0.35">
      <c r="A59" s="21" t="str">
        <f>IF(COUNTA(B59:G59)=0,"",IF((IF(B59="","Vendor Name, ","")&amp;IF(C59="","State, ",""))&lt;&gt;"","Missing: "&amp;LEFT(IF(B59="","Vendor Name, ","")&amp;IF(C59="","State, ",""),LEN(IF(B59="","Vendor Name, ","")&amp;IF(C59="","State, ",""))-2),IF(COUNTIF($B$3:$B$202,B59)&gt;1,"Vendor "&amp;B59&amp;" is listed twice",IF(ISNA(MATCH(C59,Codes!$E$2:$E$37,0)),"Pick the State from the list",IF(E59="","OK",IF(LEN(TRIM(E59))&lt;&gt;15,"GSTIN must be 15 characters - or leave it blank",IF(LEFT(TRIM(E59),2)&lt;&gt;INDEX(Codes!$F$2:$F$37,MATCH(C59,Codes!$E$2:$E$37,0)),"GSTIN starts with "&amp;LEFT(TRIM(E59),2)&amp;" but "&amp;C59&amp;" is "&amp;INDEX(Codes!$F$2:$F$37,MATCH(C59,Codes!$E$2:$E$37,0)),"OK")))))))</f>
        <v/>
      </c>
      <c r="B59" s="22"/>
      <c r="C59" s="22"/>
      <c r="D59" s="23"/>
      <c r="E59" s="24"/>
      <c r="F59" s="24"/>
      <c r="G59" s="23"/>
    </row>
    <row r="60" spans="1:7" x14ac:dyDescent="0.35">
      <c r="A60" s="21" t="str">
        <f>IF(COUNTA(B60:G60)=0,"",IF((IF(B60="","Vendor Name, ","")&amp;IF(C60="","State, ",""))&lt;&gt;"","Missing: "&amp;LEFT(IF(B60="","Vendor Name, ","")&amp;IF(C60="","State, ",""),LEN(IF(B60="","Vendor Name, ","")&amp;IF(C60="","State, ",""))-2),IF(COUNTIF($B$3:$B$202,B60)&gt;1,"Vendor "&amp;B60&amp;" is listed twice",IF(ISNA(MATCH(C60,Codes!$E$2:$E$37,0)),"Pick the State from the list",IF(E60="","OK",IF(LEN(TRIM(E60))&lt;&gt;15,"GSTIN must be 15 characters - or leave it blank",IF(LEFT(TRIM(E60),2)&lt;&gt;INDEX(Codes!$F$2:$F$37,MATCH(C60,Codes!$E$2:$E$37,0)),"GSTIN starts with "&amp;LEFT(TRIM(E60),2)&amp;" but "&amp;C60&amp;" is "&amp;INDEX(Codes!$F$2:$F$37,MATCH(C60,Codes!$E$2:$E$37,0)),"OK")))))))</f>
        <v/>
      </c>
      <c r="B60" s="22"/>
      <c r="C60" s="22"/>
      <c r="D60" s="23"/>
      <c r="E60" s="24"/>
      <c r="F60" s="24"/>
      <c r="G60" s="23"/>
    </row>
    <row r="61" spans="1:7" x14ac:dyDescent="0.35">
      <c r="A61" s="21" t="str">
        <f>IF(COUNTA(B61:G61)=0,"",IF((IF(B61="","Vendor Name, ","")&amp;IF(C61="","State, ",""))&lt;&gt;"","Missing: "&amp;LEFT(IF(B61="","Vendor Name, ","")&amp;IF(C61="","State, ",""),LEN(IF(B61="","Vendor Name, ","")&amp;IF(C61="","State, ",""))-2),IF(COUNTIF($B$3:$B$202,B61)&gt;1,"Vendor "&amp;B61&amp;" is listed twice",IF(ISNA(MATCH(C61,Codes!$E$2:$E$37,0)),"Pick the State from the list",IF(E61="","OK",IF(LEN(TRIM(E61))&lt;&gt;15,"GSTIN must be 15 characters - or leave it blank",IF(LEFT(TRIM(E61),2)&lt;&gt;INDEX(Codes!$F$2:$F$37,MATCH(C61,Codes!$E$2:$E$37,0)),"GSTIN starts with "&amp;LEFT(TRIM(E61),2)&amp;" but "&amp;C61&amp;" is "&amp;INDEX(Codes!$F$2:$F$37,MATCH(C61,Codes!$E$2:$E$37,0)),"OK")))))))</f>
        <v/>
      </c>
      <c r="B61" s="22"/>
      <c r="C61" s="22"/>
      <c r="D61" s="23"/>
      <c r="E61" s="24"/>
      <c r="F61" s="24"/>
      <c r="G61" s="23"/>
    </row>
    <row r="62" spans="1:7" x14ac:dyDescent="0.35">
      <c r="A62" s="21" t="str">
        <f>IF(COUNTA(B62:G62)=0,"",IF((IF(B62="","Vendor Name, ","")&amp;IF(C62="","State, ",""))&lt;&gt;"","Missing: "&amp;LEFT(IF(B62="","Vendor Name, ","")&amp;IF(C62="","State, ",""),LEN(IF(B62="","Vendor Name, ","")&amp;IF(C62="","State, ",""))-2),IF(COUNTIF($B$3:$B$202,B62)&gt;1,"Vendor "&amp;B62&amp;" is listed twice",IF(ISNA(MATCH(C62,Codes!$E$2:$E$37,0)),"Pick the State from the list",IF(E62="","OK",IF(LEN(TRIM(E62))&lt;&gt;15,"GSTIN must be 15 characters - or leave it blank",IF(LEFT(TRIM(E62),2)&lt;&gt;INDEX(Codes!$F$2:$F$37,MATCH(C62,Codes!$E$2:$E$37,0)),"GSTIN starts with "&amp;LEFT(TRIM(E62),2)&amp;" but "&amp;C62&amp;" is "&amp;INDEX(Codes!$F$2:$F$37,MATCH(C62,Codes!$E$2:$E$37,0)),"OK")))))))</f>
        <v/>
      </c>
      <c r="B62" s="22"/>
      <c r="C62" s="22"/>
      <c r="D62" s="23"/>
      <c r="E62" s="24"/>
      <c r="F62" s="24"/>
      <c r="G62" s="23"/>
    </row>
    <row r="63" spans="1:7" x14ac:dyDescent="0.35">
      <c r="A63" s="21" t="str">
        <f>IF(COUNTA(B63:G63)=0,"",IF((IF(B63="","Vendor Name, ","")&amp;IF(C63="","State, ",""))&lt;&gt;"","Missing: "&amp;LEFT(IF(B63="","Vendor Name, ","")&amp;IF(C63="","State, ",""),LEN(IF(B63="","Vendor Name, ","")&amp;IF(C63="","State, ",""))-2),IF(COUNTIF($B$3:$B$202,B63)&gt;1,"Vendor "&amp;B63&amp;" is listed twice",IF(ISNA(MATCH(C63,Codes!$E$2:$E$37,0)),"Pick the State from the list",IF(E63="","OK",IF(LEN(TRIM(E63))&lt;&gt;15,"GSTIN must be 15 characters - or leave it blank",IF(LEFT(TRIM(E63),2)&lt;&gt;INDEX(Codes!$F$2:$F$37,MATCH(C63,Codes!$E$2:$E$37,0)),"GSTIN starts with "&amp;LEFT(TRIM(E63),2)&amp;" but "&amp;C63&amp;" is "&amp;INDEX(Codes!$F$2:$F$37,MATCH(C63,Codes!$E$2:$E$37,0)),"OK")))))))</f>
        <v/>
      </c>
      <c r="B63" s="22"/>
      <c r="C63" s="22"/>
      <c r="D63" s="23"/>
      <c r="E63" s="24"/>
      <c r="F63" s="24"/>
      <c r="G63" s="23"/>
    </row>
    <row r="64" spans="1:7" x14ac:dyDescent="0.35">
      <c r="A64" s="21" t="str">
        <f>IF(COUNTA(B64:G64)=0,"",IF((IF(B64="","Vendor Name, ","")&amp;IF(C64="","State, ",""))&lt;&gt;"","Missing: "&amp;LEFT(IF(B64="","Vendor Name, ","")&amp;IF(C64="","State, ",""),LEN(IF(B64="","Vendor Name, ","")&amp;IF(C64="","State, ",""))-2),IF(COUNTIF($B$3:$B$202,B64)&gt;1,"Vendor "&amp;B64&amp;" is listed twice",IF(ISNA(MATCH(C64,Codes!$E$2:$E$37,0)),"Pick the State from the list",IF(E64="","OK",IF(LEN(TRIM(E64))&lt;&gt;15,"GSTIN must be 15 characters - or leave it blank",IF(LEFT(TRIM(E64),2)&lt;&gt;INDEX(Codes!$F$2:$F$37,MATCH(C64,Codes!$E$2:$E$37,0)),"GSTIN starts with "&amp;LEFT(TRIM(E64),2)&amp;" but "&amp;C64&amp;" is "&amp;INDEX(Codes!$F$2:$F$37,MATCH(C64,Codes!$E$2:$E$37,0)),"OK")))))))</f>
        <v/>
      </c>
      <c r="B64" s="22"/>
      <c r="C64" s="22"/>
      <c r="D64" s="23"/>
      <c r="E64" s="24"/>
      <c r="F64" s="24"/>
      <c r="G64" s="23"/>
    </row>
    <row r="65" spans="1:7" x14ac:dyDescent="0.35">
      <c r="A65" s="21" t="str">
        <f>IF(COUNTA(B65:G65)=0,"",IF((IF(B65="","Vendor Name, ","")&amp;IF(C65="","State, ",""))&lt;&gt;"","Missing: "&amp;LEFT(IF(B65="","Vendor Name, ","")&amp;IF(C65="","State, ",""),LEN(IF(B65="","Vendor Name, ","")&amp;IF(C65="","State, ",""))-2),IF(COUNTIF($B$3:$B$202,B65)&gt;1,"Vendor "&amp;B65&amp;" is listed twice",IF(ISNA(MATCH(C65,Codes!$E$2:$E$37,0)),"Pick the State from the list",IF(E65="","OK",IF(LEN(TRIM(E65))&lt;&gt;15,"GSTIN must be 15 characters - or leave it blank",IF(LEFT(TRIM(E65),2)&lt;&gt;INDEX(Codes!$F$2:$F$37,MATCH(C65,Codes!$E$2:$E$37,0)),"GSTIN starts with "&amp;LEFT(TRIM(E65),2)&amp;" but "&amp;C65&amp;" is "&amp;INDEX(Codes!$F$2:$F$37,MATCH(C65,Codes!$E$2:$E$37,0)),"OK")))))))</f>
        <v/>
      </c>
      <c r="B65" s="22"/>
      <c r="C65" s="22"/>
      <c r="D65" s="23"/>
      <c r="E65" s="24"/>
      <c r="F65" s="24"/>
      <c r="G65" s="23"/>
    </row>
    <row r="66" spans="1:7" x14ac:dyDescent="0.35">
      <c r="A66" s="21" t="str">
        <f>IF(COUNTA(B66:G66)=0,"",IF((IF(B66="","Vendor Name, ","")&amp;IF(C66="","State, ",""))&lt;&gt;"","Missing: "&amp;LEFT(IF(B66="","Vendor Name, ","")&amp;IF(C66="","State, ",""),LEN(IF(B66="","Vendor Name, ","")&amp;IF(C66="","State, ",""))-2),IF(COUNTIF($B$3:$B$202,B66)&gt;1,"Vendor "&amp;B66&amp;" is listed twice",IF(ISNA(MATCH(C66,Codes!$E$2:$E$37,0)),"Pick the State from the list",IF(E66="","OK",IF(LEN(TRIM(E66))&lt;&gt;15,"GSTIN must be 15 characters - or leave it blank",IF(LEFT(TRIM(E66),2)&lt;&gt;INDEX(Codes!$F$2:$F$37,MATCH(C66,Codes!$E$2:$E$37,0)),"GSTIN starts with "&amp;LEFT(TRIM(E66),2)&amp;" but "&amp;C66&amp;" is "&amp;INDEX(Codes!$F$2:$F$37,MATCH(C66,Codes!$E$2:$E$37,0)),"OK")))))))</f>
        <v/>
      </c>
      <c r="B66" s="22"/>
      <c r="C66" s="22"/>
      <c r="D66" s="23"/>
      <c r="E66" s="24"/>
      <c r="F66" s="24"/>
      <c r="G66" s="23"/>
    </row>
    <row r="67" spans="1:7" x14ac:dyDescent="0.35">
      <c r="A67" s="21" t="str">
        <f>IF(COUNTA(B67:G67)=0,"",IF((IF(B67="","Vendor Name, ","")&amp;IF(C67="","State, ",""))&lt;&gt;"","Missing: "&amp;LEFT(IF(B67="","Vendor Name, ","")&amp;IF(C67="","State, ",""),LEN(IF(B67="","Vendor Name, ","")&amp;IF(C67="","State, ",""))-2),IF(COUNTIF($B$3:$B$202,B67)&gt;1,"Vendor "&amp;B67&amp;" is listed twice",IF(ISNA(MATCH(C67,Codes!$E$2:$E$37,0)),"Pick the State from the list",IF(E67="","OK",IF(LEN(TRIM(E67))&lt;&gt;15,"GSTIN must be 15 characters - or leave it blank",IF(LEFT(TRIM(E67),2)&lt;&gt;INDEX(Codes!$F$2:$F$37,MATCH(C67,Codes!$E$2:$E$37,0)),"GSTIN starts with "&amp;LEFT(TRIM(E67),2)&amp;" but "&amp;C67&amp;" is "&amp;INDEX(Codes!$F$2:$F$37,MATCH(C67,Codes!$E$2:$E$37,0)),"OK")))))))</f>
        <v/>
      </c>
      <c r="B67" s="22"/>
      <c r="C67" s="22"/>
      <c r="D67" s="23"/>
      <c r="E67" s="24"/>
      <c r="F67" s="24"/>
      <c r="G67" s="23"/>
    </row>
    <row r="68" spans="1:7" x14ac:dyDescent="0.35">
      <c r="A68" s="21" t="str">
        <f>IF(COUNTA(B68:G68)=0,"",IF((IF(B68="","Vendor Name, ","")&amp;IF(C68="","State, ",""))&lt;&gt;"","Missing: "&amp;LEFT(IF(B68="","Vendor Name, ","")&amp;IF(C68="","State, ",""),LEN(IF(B68="","Vendor Name, ","")&amp;IF(C68="","State, ",""))-2),IF(COUNTIF($B$3:$B$202,B68)&gt;1,"Vendor "&amp;B68&amp;" is listed twice",IF(ISNA(MATCH(C68,Codes!$E$2:$E$37,0)),"Pick the State from the list",IF(E68="","OK",IF(LEN(TRIM(E68))&lt;&gt;15,"GSTIN must be 15 characters - or leave it blank",IF(LEFT(TRIM(E68),2)&lt;&gt;INDEX(Codes!$F$2:$F$37,MATCH(C68,Codes!$E$2:$E$37,0)),"GSTIN starts with "&amp;LEFT(TRIM(E68),2)&amp;" but "&amp;C68&amp;" is "&amp;INDEX(Codes!$F$2:$F$37,MATCH(C68,Codes!$E$2:$E$37,0)),"OK")))))))</f>
        <v/>
      </c>
      <c r="B68" s="22"/>
      <c r="C68" s="22"/>
      <c r="D68" s="23"/>
      <c r="E68" s="24"/>
      <c r="F68" s="24"/>
      <c r="G68" s="23"/>
    </row>
    <row r="69" spans="1:7" x14ac:dyDescent="0.35">
      <c r="A69" s="21" t="str">
        <f>IF(COUNTA(B69:G69)=0,"",IF((IF(B69="","Vendor Name, ","")&amp;IF(C69="","State, ",""))&lt;&gt;"","Missing: "&amp;LEFT(IF(B69="","Vendor Name, ","")&amp;IF(C69="","State, ",""),LEN(IF(B69="","Vendor Name, ","")&amp;IF(C69="","State, ",""))-2),IF(COUNTIF($B$3:$B$202,B69)&gt;1,"Vendor "&amp;B69&amp;" is listed twice",IF(ISNA(MATCH(C69,Codes!$E$2:$E$37,0)),"Pick the State from the list",IF(E69="","OK",IF(LEN(TRIM(E69))&lt;&gt;15,"GSTIN must be 15 characters - or leave it blank",IF(LEFT(TRIM(E69),2)&lt;&gt;INDEX(Codes!$F$2:$F$37,MATCH(C69,Codes!$E$2:$E$37,0)),"GSTIN starts with "&amp;LEFT(TRIM(E69),2)&amp;" but "&amp;C69&amp;" is "&amp;INDEX(Codes!$F$2:$F$37,MATCH(C69,Codes!$E$2:$E$37,0)),"OK")))))))</f>
        <v/>
      </c>
      <c r="B69" s="22"/>
      <c r="C69" s="22"/>
      <c r="D69" s="23"/>
      <c r="E69" s="24"/>
      <c r="F69" s="24"/>
      <c r="G69" s="23"/>
    </row>
    <row r="70" spans="1:7" x14ac:dyDescent="0.35">
      <c r="A70" s="21" t="str">
        <f>IF(COUNTA(B70:G70)=0,"",IF((IF(B70="","Vendor Name, ","")&amp;IF(C70="","State, ",""))&lt;&gt;"","Missing: "&amp;LEFT(IF(B70="","Vendor Name, ","")&amp;IF(C70="","State, ",""),LEN(IF(B70="","Vendor Name, ","")&amp;IF(C70="","State, ",""))-2),IF(COUNTIF($B$3:$B$202,B70)&gt;1,"Vendor "&amp;B70&amp;" is listed twice",IF(ISNA(MATCH(C70,Codes!$E$2:$E$37,0)),"Pick the State from the list",IF(E70="","OK",IF(LEN(TRIM(E70))&lt;&gt;15,"GSTIN must be 15 characters - or leave it blank",IF(LEFT(TRIM(E70),2)&lt;&gt;INDEX(Codes!$F$2:$F$37,MATCH(C70,Codes!$E$2:$E$37,0)),"GSTIN starts with "&amp;LEFT(TRIM(E70),2)&amp;" but "&amp;C70&amp;" is "&amp;INDEX(Codes!$F$2:$F$37,MATCH(C70,Codes!$E$2:$E$37,0)),"OK")))))))</f>
        <v/>
      </c>
      <c r="B70" s="22"/>
      <c r="C70" s="22"/>
      <c r="D70" s="23"/>
      <c r="E70" s="24"/>
      <c r="F70" s="24"/>
      <c r="G70" s="23"/>
    </row>
    <row r="71" spans="1:7" x14ac:dyDescent="0.35">
      <c r="A71" s="21" t="str">
        <f>IF(COUNTA(B71:G71)=0,"",IF((IF(B71="","Vendor Name, ","")&amp;IF(C71="","State, ",""))&lt;&gt;"","Missing: "&amp;LEFT(IF(B71="","Vendor Name, ","")&amp;IF(C71="","State, ",""),LEN(IF(B71="","Vendor Name, ","")&amp;IF(C71="","State, ",""))-2),IF(COUNTIF($B$3:$B$202,B71)&gt;1,"Vendor "&amp;B71&amp;" is listed twice",IF(ISNA(MATCH(C71,Codes!$E$2:$E$37,0)),"Pick the State from the list",IF(E71="","OK",IF(LEN(TRIM(E71))&lt;&gt;15,"GSTIN must be 15 characters - or leave it blank",IF(LEFT(TRIM(E71),2)&lt;&gt;INDEX(Codes!$F$2:$F$37,MATCH(C71,Codes!$E$2:$E$37,0)),"GSTIN starts with "&amp;LEFT(TRIM(E71),2)&amp;" but "&amp;C71&amp;" is "&amp;INDEX(Codes!$F$2:$F$37,MATCH(C71,Codes!$E$2:$E$37,0)),"OK")))))))</f>
        <v/>
      </c>
      <c r="B71" s="22"/>
      <c r="C71" s="22"/>
      <c r="D71" s="23"/>
      <c r="E71" s="24"/>
      <c r="F71" s="24"/>
      <c r="G71" s="23"/>
    </row>
    <row r="72" spans="1:7" x14ac:dyDescent="0.35">
      <c r="A72" s="21" t="str">
        <f>IF(COUNTA(B72:G72)=0,"",IF((IF(B72="","Vendor Name, ","")&amp;IF(C72="","State, ",""))&lt;&gt;"","Missing: "&amp;LEFT(IF(B72="","Vendor Name, ","")&amp;IF(C72="","State, ",""),LEN(IF(B72="","Vendor Name, ","")&amp;IF(C72="","State, ",""))-2),IF(COUNTIF($B$3:$B$202,B72)&gt;1,"Vendor "&amp;B72&amp;" is listed twice",IF(ISNA(MATCH(C72,Codes!$E$2:$E$37,0)),"Pick the State from the list",IF(E72="","OK",IF(LEN(TRIM(E72))&lt;&gt;15,"GSTIN must be 15 characters - or leave it blank",IF(LEFT(TRIM(E72),2)&lt;&gt;INDEX(Codes!$F$2:$F$37,MATCH(C72,Codes!$E$2:$E$37,0)),"GSTIN starts with "&amp;LEFT(TRIM(E72),2)&amp;" but "&amp;C72&amp;" is "&amp;INDEX(Codes!$F$2:$F$37,MATCH(C72,Codes!$E$2:$E$37,0)),"OK")))))))</f>
        <v/>
      </c>
      <c r="B72" s="22"/>
      <c r="C72" s="22"/>
      <c r="D72" s="23"/>
      <c r="E72" s="24"/>
      <c r="F72" s="24"/>
      <c r="G72" s="23"/>
    </row>
    <row r="73" spans="1:7" x14ac:dyDescent="0.35">
      <c r="A73" s="21" t="str">
        <f>IF(COUNTA(B73:G73)=0,"",IF((IF(B73="","Vendor Name, ","")&amp;IF(C73="","State, ",""))&lt;&gt;"","Missing: "&amp;LEFT(IF(B73="","Vendor Name, ","")&amp;IF(C73="","State, ",""),LEN(IF(B73="","Vendor Name, ","")&amp;IF(C73="","State, ",""))-2),IF(COUNTIF($B$3:$B$202,B73)&gt;1,"Vendor "&amp;B73&amp;" is listed twice",IF(ISNA(MATCH(C73,Codes!$E$2:$E$37,0)),"Pick the State from the list",IF(E73="","OK",IF(LEN(TRIM(E73))&lt;&gt;15,"GSTIN must be 15 characters - or leave it blank",IF(LEFT(TRIM(E73),2)&lt;&gt;INDEX(Codes!$F$2:$F$37,MATCH(C73,Codes!$E$2:$E$37,0)),"GSTIN starts with "&amp;LEFT(TRIM(E73),2)&amp;" but "&amp;C73&amp;" is "&amp;INDEX(Codes!$F$2:$F$37,MATCH(C73,Codes!$E$2:$E$37,0)),"OK")))))))</f>
        <v/>
      </c>
      <c r="B73" s="22"/>
      <c r="C73" s="22"/>
      <c r="D73" s="23"/>
      <c r="E73" s="24"/>
      <c r="F73" s="24"/>
      <c r="G73" s="23"/>
    </row>
    <row r="74" spans="1:7" x14ac:dyDescent="0.35">
      <c r="A74" s="21" t="str">
        <f>IF(COUNTA(B74:G74)=0,"",IF((IF(B74="","Vendor Name, ","")&amp;IF(C74="","State, ",""))&lt;&gt;"","Missing: "&amp;LEFT(IF(B74="","Vendor Name, ","")&amp;IF(C74="","State, ",""),LEN(IF(B74="","Vendor Name, ","")&amp;IF(C74="","State, ",""))-2),IF(COUNTIF($B$3:$B$202,B74)&gt;1,"Vendor "&amp;B74&amp;" is listed twice",IF(ISNA(MATCH(C74,Codes!$E$2:$E$37,0)),"Pick the State from the list",IF(E74="","OK",IF(LEN(TRIM(E74))&lt;&gt;15,"GSTIN must be 15 characters - or leave it blank",IF(LEFT(TRIM(E74),2)&lt;&gt;INDEX(Codes!$F$2:$F$37,MATCH(C74,Codes!$E$2:$E$37,0)),"GSTIN starts with "&amp;LEFT(TRIM(E74),2)&amp;" but "&amp;C74&amp;" is "&amp;INDEX(Codes!$F$2:$F$37,MATCH(C74,Codes!$E$2:$E$37,0)),"OK")))))))</f>
        <v/>
      </c>
      <c r="B74" s="22"/>
      <c r="C74" s="22"/>
      <c r="D74" s="23"/>
      <c r="E74" s="24"/>
      <c r="F74" s="24"/>
      <c r="G74" s="23"/>
    </row>
    <row r="75" spans="1:7" x14ac:dyDescent="0.35">
      <c r="A75" s="21" t="str">
        <f>IF(COUNTA(B75:G75)=0,"",IF((IF(B75="","Vendor Name, ","")&amp;IF(C75="","State, ",""))&lt;&gt;"","Missing: "&amp;LEFT(IF(B75="","Vendor Name, ","")&amp;IF(C75="","State, ",""),LEN(IF(B75="","Vendor Name, ","")&amp;IF(C75="","State, ",""))-2),IF(COUNTIF($B$3:$B$202,B75)&gt;1,"Vendor "&amp;B75&amp;" is listed twice",IF(ISNA(MATCH(C75,Codes!$E$2:$E$37,0)),"Pick the State from the list",IF(E75="","OK",IF(LEN(TRIM(E75))&lt;&gt;15,"GSTIN must be 15 characters - or leave it blank",IF(LEFT(TRIM(E75),2)&lt;&gt;INDEX(Codes!$F$2:$F$37,MATCH(C75,Codes!$E$2:$E$37,0)),"GSTIN starts with "&amp;LEFT(TRIM(E75),2)&amp;" but "&amp;C75&amp;" is "&amp;INDEX(Codes!$F$2:$F$37,MATCH(C75,Codes!$E$2:$E$37,0)),"OK")))))))</f>
        <v/>
      </c>
      <c r="B75" s="22"/>
      <c r="C75" s="22"/>
      <c r="D75" s="23"/>
      <c r="E75" s="24"/>
      <c r="F75" s="24"/>
      <c r="G75" s="23"/>
    </row>
    <row r="76" spans="1:7" x14ac:dyDescent="0.35">
      <c r="A76" s="21" t="str">
        <f>IF(COUNTA(B76:G76)=0,"",IF((IF(B76="","Vendor Name, ","")&amp;IF(C76="","State, ",""))&lt;&gt;"","Missing: "&amp;LEFT(IF(B76="","Vendor Name, ","")&amp;IF(C76="","State, ",""),LEN(IF(B76="","Vendor Name, ","")&amp;IF(C76="","State, ",""))-2),IF(COUNTIF($B$3:$B$202,B76)&gt;1,"Vendor "&amp;B76&amp;" is listed twice",IF(ISNA(MATCH(C76,Codes!$E$2:$E$37,0)),"Pick the State from the list",IF(E76="","OK",IF(LEN(TRIM(E76))&lt;&gt;15,"GSTIN must be 15 characters - or leave it blank",IF(LEFT(TRIM(E76),2)&lt;&gt;INDEX(Codes!$F$2:$F$37,MATCH(C76,Codes!$E$2:$E$37,0)),"GSTIN starts with "&amp;LEFT(TRIM(E76),2)&amp;" but "&amp;C76&amp;" is "&amp;INDEX(Codes!$F$2:$F$37,MATCH(C76,Codes!$E$2:$E$37,0)),"OK")))))))</f>
        <v/>
      </c>
      <c r="B76" s="22"/>
      <c r="C76" s="22"/>
      <c r="D76" s="23"/>
      <c r="E76" s="24"/>
      <c r="F76" s="24"/>
      <c r="G76" s="23"/>
    </row>
    <row r="77" spans="1:7" x14ac:dyDescent="0.35">
      <c r="A77" s="21" t="str">
        <f>IF(COUNTA(B77:G77)=0,"",IF((IF(B77="","Vendor Name, ","")&amp;IF(C77="","State, ",""))&lt;&gt;"","Missing: "&amp;LEFT(IF(B77="","Vendor Name, ","")&amp;IF(C77="","State, ",""),LEN(IF(B77="","Vendor Name, ","")&amp;IF(C77="","State, ",""))-2),IF(COUNTIF($B$3:$B$202,B77)&gt;1,"Vendor "&amp;B77&amp;" is listed twice",IF(ISNA(MATCH(C77,Codes!$E$2:$E$37,0)),"Pick the State from the list",IF(E77="","OK",IF(LEN(TRIM(E77))&lt;&gt;15,"GSTIN must be 15 characters - or leave it blank",IF(LEFT(TRIM(E77),2)&lt;&gt;INDEX(Codes!$F$2:$F$37,MATCH(C77,Codes!$E$2:$E$37,0)),"GSTIN starts with "&amp;LEFT(TRIM(E77),2)&amp;" but "&amp;C77&amp;" is "&amp;INDEX(Codes!$F$2:$F$37,MATCH(C77,Codes!$E$2:$E$37,0)),"OK")))))))</f>
        <v/>
      </c>
      <c r="B77" s="22"/>
      <c r="C77" s="22"/>
      <c r="D77" s="23"/>
      <c r="E77" s="24"/>
      <c r="F77" s="24"/>
      <c r="G77" s="23"/>
    </row>
    <row r="78" spans="1:7" x14ac:dyDescent="0.35">
      <c r="A78" s="21" t="str">
        <f>IF(COUNTA(B78:G78)=0,"",IF((IF(B78="","Vendor Name, ","")&amp;IF(C78="","State, ",""))&lt;&gt;"","Missing: "&amp;LEFT(IF(B78="","Vendor Name, ","")&amp;IF(C78="","State, ",""),LEN(IF(B78="","Vendor Name, ","")&amp;IF(C78="","State, ",""))-2),IF(COUNTIF($B$3:$B$202,B78)&gt;1,"Vendor "&amp;B78&amp;" is listed twice",IF(ISNA(MATCH(C78,Codes!$E$2:$E$37,0)),"Pick the State from the list",IF(E78="","OK",IF(LEN(TRIM(E78))&lt;&gt;15,"GSTIN must be 15 characters - or leave it blank",IF(LEFT(TRIM(E78),2)&lt;&gt;INDEX(Codes!$F$2:$F$37,MATCH(C78,Codes!$E$2:$E$37,0)),"GSTIN starts with "&amp;LEFT(TRIM(E78),2)&amp;" but "&amp;C78&amp;" is "&amp;INDEX(Codes!$F$2:$F$37,MATCH(C78,Codes!$E$2:$E$37,0)),"OK")))))))</f>
        <v/>
      </c>
      <c r="B78" s="22"/>
      <c r="C78" s="22"/>
      <c r="D78" s="23"/>
      <c r="E78" s="24"/>
      <c r="F78" s="24"/>
      <c r="G78" s="23"/>
    </row>
    <row r="79" spans="1:7" x14ac:dyDescent="0.35">
      <c r="A79" s="21" t="str">
        <f>IF(COUNTA(B79:G79)=0,"",IF((IF(B79="","Vendor Name, ","")&amp;IF(C79="","State, ",""))&lt;&gt;"","Missing: "&amp;LEFT(IF(B79="","Vendor Name, ","")&amp;IF(C79="","State, ",""),LEN(IF(B79="","Vendor Name, ","")&amp;IF(C79="","State, ",""))-2),IF(COUNTIF($B$3:$B$202,B79)&gt;1,"Vendor "&amp;B79&amp;" is listed twice",IF(ISNA(MATCH(C79,Codes!$E$2:$E$37,0)),"Pick the State from the list",IF(E79="","OK",IF(LEN(TRIM(E79))&lt;&gt;15,"GSTIN must be 15 characters - or leave it blank",IF(LEFT(TRIM(E79),2)&lt;&gt;INDEX(Codes!$F$2:$F$37,MATCH(C79,Codes!$E$2:$E$37,0)),"GSTIN starts with "&amp;LEFT(TRIM(E79),2)&amp;" but "&amp;C79&amp;" is "&amp;INDEX(Codes!$F$2:$F$37,MATCH(C79,Codes!$E$2:$E$37,0)),"OK")))))))</f>
        <v/>
      </c>
      <c r="B79" s="22"/>
      <c r="C79" s="22"/>
      <c r="D79" s="23"/>
      <c r="E79" s="24"/>
      <c r="F79" s="24"/>
      <c r="G79" s="23"/>
    </row>
    <row r="80" spans="1:7" x14ac:dyDescent="0.35">
      <c r="A80" s="21" t="str">
        <f>IF(COUNTA(B80:G80)=0,"",IF((IF(B80="","Vendor Name, ","")&amp;IF(C80="","State, ",""))&lt;&gt;"","Missing: "&amp;LEFT(IF(B80="","Vendor Name, ","")&amp;IF(C80="","State, ",""),LEN(IF(B80="","Vendor Name, ","")&amp;IF(C80="","State, ",""))-2),IF(COUNTIF($B$3:$B$202,B80)&gt;1,"Vendor "&amp;B80&amp;" is listed twice",IF(ISNA(MATCH(C80,Codes!$E$2:$E$37,0)),"Pick the State from the list",IF(E80="","OK",IF(LEN(TRIM(E80))&lt;&gt;15,"GSTIN must be 15 characters - or leave it blank",IF(LEFT(TRIM(E80),2)&lt;&gt;INDEX(Codes!$F$2:$F$37,MATCH(C80,Codes!$E$2:$E$37,0)),"GSTIN starts with "&amp;LEFT(TRIM(E80),2)&amp;" but "&amp;C80&amp;" is "&amp;INDEX(Codes!$F$2:$F$37,MATCH(C80,Codes!$E$2:$E$37,0)),"OK")))))))</f>
        <v/>
      </c>
      <c r="B80" s="22"/>
      <c r="C80" s="22"/>
      <c r="D80" s="23"/>
      <c r="E80" s="24"/>
      <c r="F80" s="24"/>
      <c r="G80" s="23"/>
    </row>
    <row r="81" spans="1:7" x14ac:dyDescent="0.35">
      <c r="A81" s="21" t="str">
        <f>IF(COUNTA(B81:G81)=0,"",IF((IF(B81="","Vendor Name, ","")&amp;IF(C81="","State, ",""))&lt;&gt;"","Missing: "&amp;LEFT(IF(B81="","Vendor Name, ","")&amp;IF(C81="","State, ",""),LEN(IF(B81="","Vendor Name, ","")&amp;IF(C81="","State, ",""))-2),IF(COUNTIF($B$3:$B$202,B81)&gt;1,"Vendor "&amp;B81&amp;" is listed twice",IF(ISNA(MATCH(C81,Codes!$E$2:$E$37,0)),"Pick the State from the list",IF(E81="","OK",IF(LEN(TRIM(E81))&lt;&gt;15,"GSTIN must be 15 characters - or leave it blank",IF(LEFT(TRIM(E81),2)&lt;&gt;INDEX(Codes!$F$2:$F$37,MATCH(C81,Codes!$E$2:$E$37,0)),"GSTIN starts with "&amp;LEFT(TRIM(E81),2)&amp;" but "&amp;C81&amp;" is "&amp;INDEX(Codes!$F$2:$F$37,MATCH(C81,Codes!$E$2:$E$37,0)),"OK")))))))</f>
        <v/>
      </c>
      <c r="B81" s="22"/>
      <c r="C81" s="22"/>
      <c r="D81" s="23"/>
      <c r="E81" s="24"/>
      <c r="F81" s="24"/>
      <c r="G81" s="23"/>
    </row>
    <row r="82" spans="1:7" x14ac:dyDescent="0.35">
      <c r="A82" s="21" t="str">
        <f>IF(COUNTA(B82:G82)=0,"",IF((IF(B82="","Vendor Name, ","")&amp;IF(C82="","State, ",""))&lt;&gt;"","Missing: "&amp;LEFT(IF(B82="","Vendor Name, ","")&amp;IF(C82="","State, ",""),LEN(IF(B82="","Vendor Name, ","")&amp;IF(C82="","State, ",""))-2),IF(COUNTIF($B$3:$B$202,B82)&gt;1,"Vendor "&amp;B82&amp;" is listed twice",IF(ISNA(MATCH(C82,Codes!$E$2:$E$37,0)),"Pick the State from the list",IF(E82="","OK",IF(LEN(TRIM(E82))&lt;&gt;15,"GSTIN must be 15 characters - or leave it blank",IF(LEFT(TRIM(E82),2)&lt;&gt;INDEX(Codes!$F$2:$F$37,MATCH(C82,Codes!$E$2:$E$37,0)),"GSTIN starts with "&amp;LEFT(TRIM(E82),2)&amp;" but "&amp;C82&amp;" is "&amp;INDEX(Codes!$F$2:$F$37,MATCH(C82,Codes!$E$2:$E$37,0)),"OK")))))))</f>
        <v/>
      </c>
      <c r="B82" s="22"/>
      <c r="C82" s="22"/>
      <c r="D82" s="23"/>
      <c r="E82" s="24"/>
      <c r="F82" s="24"/>
      <c r="G82" s="23"/>
    </row>
    <row r="83" spans="1:7" x14ac:dyDescent="0.35">
      <c r="A83" s="21" t="str">
        <f>IF(COUNTA(B83:G83)=0,"",IF((IF(B83="","Vendor Name, ","")&amp;IF(C83="","State, ",""))&lt;&gt;"","Missing: "&amp;LEFT(IF(B83="","Vendor Name, ","")&amp;IF(C83="","State, ",""),LEN(IF(B83="","Vendor Name, ","")&amp;IF(C83="","State, ",""))-2),IF(COUNTIF($B$3:$B$202,B83)&gt;1,"Vendor "&amp;B83&amp;" is listed twice",IF(ISNA(MATCH(C83,Codes!$E$2:$E$37,0)),"Pick the State from the list",IF(E83="","OK",IF(LEN(TRIM(E83))&lt;&gt;15,"GSTIN must be 15 characters - or leave it blank",IF(LEFT(TRIM(E83),2)&lt;&gt;INDEX(Codes!$F$2:$F$37,MATCH(C83,Codes!$E$2:$E$37,0)),"GSTIN starts with "&amp;LEFT(TRIM(E83),2)&amp;" but "&amp;C83&amp;" is "&amp;INDEX(Codes!$F$2:$F$37,MATCH(C83,Codes!$E$2:$E$37,0)),"OK")))))))</f>
        <v/>
      </c>
      <c r="B83" s="22"/>
      <c r="C83" s="22"/>
      <c r="D83" s="23"/>
      <c r="E83" s="24"/>
      <c r="F83" s="24"/>
      <c r="G83" s="23"/>
    </row>
    <row r="84" spans="1:7" x14ac:dyDescent="0.35">
      <c r="A84" s="21" t="str">
        <f>IF(COUNTA(B84:G84)=0,"",IF((IF(B84="","Vendor Name, ","")&amp;IF(C84="","State, ",""))&lt;&gt;"","Missing: "&amp;LEFT(IF(B84="","Vendor Name, ","")&amp;IF(C84="","State, ",""),LEN(IF(B84="","Vendor Name, ","")&amp;IF(C84="","State, ",""))-2),IF(COUNTIF($B$3:$B$202,B84)&gt;1,"Vendor "&amp;B84&amp;" is listed twice",IF(ISNA(MATCH(C84,Codes!$E$2:$E$37,0)),"Pick the State from the list",IF(E84="","OK",IF(LEN(TRIM(E84))&lt;&gt;15,"GSTIN must be 15 characters - or leave it blank",IF(LEFT(TRIM(E84),2)&lt;&gt;INDEX(Codes!$F$2:$F$37,MATCH(C84,Codes!$E$2:$E$37,0)),"GSTIN starts with "&amp;LEFT(TRIM(E84),2)&amp;" but "&amp;C84&amp;" is "&amp;INDEX(Codes!$F$2:$F$37,MATCH(C84,Codes!$E$2:$E$37,0)),"OK")))))))</f>
        <v/>
      </c>
      <c r="B84" s="22"/>
      <c r="C84" s="22"/>
      <c r="D84" s="23"/>
      <c r="E84" s="24"/>
      <c r="F84" s="24"/>
      <c r="G84" s="23"/>
    </row>
    <row r="85" spans="1:7" x14ac:dyDescent="0.35">
      <c r="A85" s="21" t="str">
        <f>IF(COUNTA(B85:G85)=0,"",IF((IF(B85="","Vendor Name, ","")&amp;IF(C85="","State, ",""))&lt;&gt;"","Missing: "&amp;LEFT(IF(B85="","Vendor Name, ","")&amp;IF(C85="","State, ",""),LEN(IF(B85="","Vendor Name, ","")&amp;IF(C85="","State, ",""))-2),IF(COUNTIF($B$3:$B$202,B85)&gt;1,"Vendor "&amp;B85&amp;" is listed twice",IF(ISNA(MATCH(C85,Codes!$E$2:$E$37,0)),"Pick the State from the list",IF(E85="","OK",IF(LEN(TRIM(E85))&lt;&gt;15,"GSTIN must be 15 characters - or leave it blank",IF(LEFT(TRIM(E85),2)&lt;&gt;INDEX(Codes!$F$2:$F$37,MATCH(C85,Codes!$E$2:$E$37,0)),"GSTIN starts with "&amp;LEFT(TRIM(E85),2)&amp;" but "&amp;C85&amp;" is "&amp;INDEX(Codes!$F$2:$F$37,MATCH(C85,Codes!$E$2:$E$37,0)),"OK")))))))</f>
        <v/>
      </c>
      <c r="B85" s="22"/>
      <c r="C85" s="22"/>
      <c r="D85" s="23"/>
      <c r="E85" s="24"/>
      <c r="F85" s="24"/>
      <c r="G85" s="23"/>
    </row>
    <row r="86" spans="1:7" x14ac:dyDescent="0.35">
      <c r="A86" s="21" t="str">
        <f>IF(COUNTA(B86:G86)=0,"",IF((IF(B86="","Vendor Name, ","")&amp;IF(C86="","State, ",""))&lt;&gt;"","Missing: "&amp;LEFT(IF(B86="","Vendor Name, ","")&amp;IF(C86="","State, ",""),LEN(IF(B86="","Vendor Name, ","")&amp;IF(C86="","State, ",""))-2),IF(COUNTIF($B$3:$B$202,B86)&gt;1,"Vendor "&amp;B86&amp;" is listed twice",IF(ISNA(MATCH(C86,Codes!$E$2:$E$37,0)),"Pick the State from the list",IF(E86="","OK",IF(LEN(TRIM(E86))&lt;&gt;15,"GSTIN must be 15 characters - or leave it blank",IF(LEFT(TRIM(E86),2)&lt;&gt;INDEX(Codes!$F$2:$F$37,MATCH(C86,Codes!$E$2:$E$37,0)),"GSTIN starts with "&amp;LEFT(TRIM(E86),2)&amp;" but "&amp;C86&amp;" is "&amp;INDEX(Codes!$F$2:$F$37,MATCH(C86,Codes!$E$2:$E$37,0)),"OK")))))))</f>
        <v/>
      </c>
      <c r="B86" s="22"/>
      <c r="C86" s="22"/>
      <c r="D86" s="23"/>
      <c r="E86" s="24"/>
      <c r="F86" s="24"/>
      <c r="G86" s="23"/>
    </row>
    <row r="87" spans="1:7" x14ac:dyDescent="0.35">
      <c r="A87" s="21" t="str">
        <f>IF(COUNTA(B87:G87)=0,"",IF((IF(B87="","Vendor Name, ","")&amp;IF(C87="","State, ",""))&lt;&gt;"","Missing: "&amp;LEFT(IF(B87="","Vendor Name, ","")&amp;IF(C87="","State, ",""),LEN(IF(B87="","Vendor Name, ","")&amp;IF(C87="","State, ",""))-2),IF(COUNTIF($B$3:$B$202,B87)&gt;1,"Vendor "&amp;B87&amp;" is listed twice",IF(ISNA(MATCH(C87,Codes!$E$2:$E$37,0)),"Pick the State from the list",IF(E87="","OK",IF(LEN(TRIM(E87))&lt;&gt;15,"GSTIN must be 15 characters - or leave it blank",IF(LEFT(TRIM(E87),2)&lt;&gt;INDEX(Codes!$F$2:$F$37,MATCH(C87,Codes!$E$2:$E$37,0)),"GSTIN starts with "&amp;LEFT(TRIM(E87),2)&amp;" but "&amp;C87&amp;" is "&amp;INDEX(Codes!$F$2:$F$37,MATCH(C87,Codes!$E$2:$E$37,0)),"OK")))))))</f>
        <v/>
      </c>
      <c r="B87" s="22"/>
      <c r="C87" s="22"/>
      <c r="D87" s="23"/>
      <c r="E87" s="24"/>
      <c r="F87" s="24"/>
      <c r="G87" s="23"/>
    </row>
    <row r="88" spans="1:7" x14ac:dyDescent="0.35">
      <c r="A88" s="21" t="str">
        <f>IF(COUNTA(B88:G88)=0,"",IF((IF(B88="","Vendor Name, ","")&amp;IF(C88="","State, ",""))&lt;&gt;"","Missing: "&amp;LEFT(IF(B88="","Vendor Name, ","")&amp;IF(C88="","State, ",""),LEN(IF(B88="","Vendor Name, ","")&amp;IF(C88="","State, ",""))-2),IF(COUNTIF($B$3:$B$202,B88)&gt;1,"Vendor "&amp;B88&amp;" is listed twice",IF(ISNA(MATCH(C88,Codes!$E$2:$E$37,0)),"Pick the State from the list",IF(E88="","OK",IF(LEN(TRIM(E88))&lt;&gt;15,"GSTIN must be 15 characters - or leave it blank",IF(LEFT(TRIM(E88),2)&lt;&gt;INDEX(Codes!$F$2:$F$37,MATCH(C88,Codes!$E$2:$E$37,0)),"GSTIN starts with "&amp;LEFT(TRIM(E88),2)&amp;" but "&amp;C88&amp;" is "&amp;INDEX(Codes!$F$2:$F$37,MATCH(C88,Codes!$E$2:$E$37,0)),"OK")))))))</f>
        <v/>
      </c>
      <c r="B88" s="22"/>
      <c r="C88" s="22"/>
      <c r="D88" s="23"/>
      <c r="E88" s="24"/>
      <c r="F88" s="24"/>
      <c r="G88" s="23"/>
    </row>
    <row r="89" spans="1:7" x14ac:dyDescent="0.35">
      <c r="A89" s="21" t="str">
        <f>IF(COUNTA(B89:G89)=0,"",IF((IF(B89="","Vendor Name, ","")&amp;IF(C89="","State, ",""))&lt;&gt;"","Missing: "&amp;LEFT(IF(B89="","Vendor Name, ","")&amp;IF(C89="","State, ",""),LEN(IF(B89="","Vendor Name, ","")&amp;IF(C89="","State, ",""))-2),IF(COUNTIF($B$3:$B$202,B89)&gt;1,"Vendor "&amp;B89&amp;" is listed twice",IF(ISNA(MATCH(C89,Codes!$E$2:$E$37,0)),"Pick the State from the list",IF(E89="","OK",IF(LEN(TRIM(E89))&lt;&gt;15,"GSTIN must be 15 characters - or leave it blank",IF(LEFT(TRIM(E89),2)&lt;&gt;INDEX(Codes!$F$2:$F$37,MATCH(C89,Codes!$E$2:$E$37,0)),"GSTIN starts with "&amp;LEFT(TRIM(E89),2)&amp;" but "&amp;C89&amp;" is "&amp;INDEX(Codes!$F$2:$F$37,MATCH(C89,Codes!$E$2:$E$37,0)),"OK")))))))</f>
        <v/>
      </c>
      <c r="B89" s="22"/>
      <c r="C89" s="22"/>
      <c r="D89" s="23"/>
      <c r="E89" s="24"/>
      <c r="F89" s="24"/>
      <c r="G89" s="23"/>
    </row>
    <row r="90" spans="1:7" x14ac:dyDescent="0.35">
      <c r="A90" s="21" t="str">
        <f>IF(COUNTA(B90:G90)=0,"",IF((IF(B90="","Vendor Name, ","")&amp;IF(C90="","State, ",""))&lt;&gt;"","Missing: "&amp;LEFT(IF(B90="","Vendor Name, ","")&amp;IF(C90="","State, ",""),LEN(IF(B90="","Vendor Name, ","")&amp;IF(C90="","State, ",""))-2),IF(COUNTIF($B$3:$B$202,B90)&gt;1,"Vendor "&amp;B90&amp;" is listed twice",IF(ISNA(MATCH(C90,Codes!$E$2:$E$37,0)),"Pick the State from the list",IF(E90="","OK",IF(LEN(TRIM(E90))&lt;&gt;15,"GSTIN must be 15 characters - or leave it blank",IF(LEFT(TRIM(E90),2)&lt;&gt;INDEX(Codes!$F$2:$F$37,MATCH(C90,Codes!$E$2:$E$37,0)),"GSTIN starts with "&amp;LEFT(TRIM(E90),2)&amp;" but "&amp;C90&amp;" is "&amp;INDEX(Codes!$F$2:$F$37,MATCH(C90,Codes!$E$2:$E$37,0)),"OK")))))))</f>
        <v/>
      </c>
      <c r="B90" s="22"/>
      <c r="C90" s="22"/>
      <c r="D90" s="23"/>
      <c r="E90" s="24"/>
      <c r="F90" s="24"/>
      <c r="G90" s="23"/>
    </row>
    <row r="91" spans="1:7" x14ac:dyDescent="0.35">
      <c r="A91" s="21" t="str">
        <f>IF(COUNTA(B91:G91)=0,"",IF((IF(B91="","Vendor Name, ","")&amp;IF(C91="","State, ",""))&lt;&gt;"","Missing: "&amp;LEFT(IF(B91="","Vendor Name, ","")&amp;IF(C91="","State, ",""),LEN(IF(B91="","Vendor Name, ","")&amp;IF(C91="","State, ",""))-2),IF(COUNTIF($B$3:$B$202,B91)&gt;1,"Vendor "&amp;B91&amp;" is listed twice",IF(ISNA(MATCH(C91,Codes!$E$2:$E$37,0)),"Pick the State from the list",IF(E91="","OK",IF(LEN(TRIM(E91))&lt;&gt;15,"GSTIN must be 15 characters - or leave it blank",IF(LEFT(TRIM(E91),2)&lt;&gt;INDEX(Codes!$F$2:$F$37,MATCH(C91,Codes!$E$2:$E$37,0)),"GSTIN starts with "&amp;LEFT(TRIM(E91),2)&amp;" but "&amp;C91&amp;" is "&amp;INDEX(Codes!$F$2:$F$37,MATCH(C91,Codes!$E$2:$E$37,0)),"OK")))))))</f>
        <v/>
      </c>
      <c r="B91" s="22"/>
      <c r="C91" s="22"/>
      <c r="D91" s="23"/>
      <c r="E91" s="24"/>
      <c r="F91" s="24"/>
      <c r="G91" s="23"/>
    </row>
    <row r="92" spans="1:7" x14ac:dyDescent="0.35">
      <c r="A92" s="21" t="str">
        <f>IF(COUNTA(B92:G92)=0,"",IF((IF(B92="","Vendor Name, ","")&amp;IF(C92="","State, ",""))&lt;&gt;"","Missing: "&amp;LEFT(IF(B92="","Vendor Name, ","")&amp;IF(C92="","State, ",""),LEN(IF(B92="","Vendor Name, ","")&amp;IF(C92="","State, ",""))-2),IF(COUNTIF($B$3:$B$202,B92)&gt;1,"Vendor "&amp;B92&amp;" is listed twice",IF(ISNA(MATCH(C92,Codes!$E$2:$E$37,0)),"Pick the State from the list",IF(E92="","OK",IF(LEN(TRIM(E92))&lt;&gt;15,"GSTIN must be 15 characters - or leave it blank",IF(LEFT(TRIM(E92),2)&lt;&gt;INDEX(Codes!$F$2:$F$37,MATCH(C92,Codes!$E$2:$E$37,0)),"GSTIN starts with "&amp;LEFT(TRIM(E92),2)&amp;" but "&amp;C92&amp;" is "&amp;INDEX(Codes!$F$2:$F$37,MATCH(C92,Codes!$E$2:$E$37,0)),"OK")))))))</f>
        <v/>
      </c>
      <c r="B92" s="22"/>
      <c r="C92" s="22"/>
      <c r="D92" s="23"/>
      <c r="E92" s="24"/>
      <c r="F92" s="24"/>
      <c r="G92" s="23"/>
    </row>
    <row r="93" spans="1:7" x14ac:dyDescent="0.35">
      <c r="A93" s="21" t="str">
        <f>IF(COUNTA(B93:G93)=0,"",IF((IF(B93="","Vendor Name, ","")&amp;IF(C93="","State, ",""))&lt;&gt;"","Missing: "&amp;LEFT(IF(B93="","Vendor Name, ","")&amp;IF(C93="","State, ",""),LEN(IF(B93="","Vendor Name, ","")&amp;IF(C93="","State, ",""))-2),IF(COUNTIF($B$3:$B$202,B93)&gt;1,"Vendor "&amp;B93&amp;" is listed twice",IF(ISNA(MATCH(C93,Codes!$E$2:$E$37,0)),"Pick the State from the list",IF(E93="","OK",IF(LEN(TRIM(E93))&lt;&gt;15,"GSTIN must be 15 characters - or leave it blank",IF(LEFT(TRIM(E93),2)&lt;&gt;INDEX(Codes!$F$2:$F$37,MATCH(C93,Codes!$E$2:$E$37,0)),"GSTIN starts with "&amp;LEFT(TRIM(E93),2)&amp;" but "&amp;C93&amp;" is "&amp;INDEX(Codes!$F$2:$F$37,MATCH(C93,Codes!$E$2:$E$37,0)),"OK")))))))</f>
        <v/>
      </c>
      <c r="B93" s="22"/>
      <c r="C93" s="22"/>
      <c r="D93" s="23"/>
      <c r="E93" s="24"/>
      <c r="F93" s="24"/>
      <c r="G93" s="23"/>
    </row>
    <row r="94" spans="1:7" x14ac:dyDescent="0.35">
      <c r="A94" s="21" t="str">
        <f>IF(COUNTA(B94:G94)=0,"",IF((IF(B94="","Vendor Name, ","")&amp;IF(C94="","State, ",""))&lt;&gt;"","Missing: "&amp;LEFT(IF(B94="","Vendor Name, ","")&amp;IF(C94="","State, ",""),LEN(IF(B94="","Vendor Name, ","")&amp;IF(C94="","State, ",""))-2),IF(COUNTIF($B$3:$B$202,B94)&gt;1,"Vendor "&amp;B94&amp;" is listed twice",IF(ISNA(MATCH(C94,Codes!$E$2:$E$37,0)),"Pick the State from the list",IF(E94="","OK",IF(LEN(TRIM(E94))&lt;&gt;15,"GSTIN must be 15 characters - or leave it blank",IF(LEFT(TRIM(E94),2)&lt;&gt;INDEX(Codes!$F$2:$F$37,MATCH(C94,Codes!$E$2:$E$37,0)),"GSTIN starts with "&amp;LEFT(TRIM(E94),2)&amp;" but "&amp;C94&amp;" is "&amp;INDEX(Codes!$F$2:$F$37,MATCH(C94,Codes!$E$2:$E$37,0)),"OK")))))))</f>
        <v/>
      </c>
      <c r="B94" s="22"/>
      <c r="C94" s="22"/>
      <c r="D94" s="23"/>
      <c r="E94" s="24"/>
      <c r="F94" s="24"/>
      <c r="G94" s="23"/>
    </row>
    <row r="95" spans="1:7" x14ac:dyDescent="0.35">
      <c r="A95" s="21" t="str">
        <f>IF(COUNTA(B95:G95)=0,"",IF((IF(B95="","Vendor Name, ","")&amp;IF(C95="","State, ",""))&lt;&gt;"","Missing: "&amp;LEFT(IF(B95="","Vendor Name, ","")&amp;IF(C95="","State, ",""),LEN(IF(B95="","Vendor Name, ","")&amp;IF(C95="","State, ",""))-2),IF(COUNTIF($B$3:$B$202,B95)&gt;1,"Vendor "&amp;B95&amp;" is listed twice",IF(ISNA(MATCH(C95,Codes!$E$2:$E$37,0)),"Pick the State from the list",IF(E95="","OK",IF(LEN(TRIM(E95))&lt;&gt;15,"GSTIN must be 15 characters - or leave it blank",IF(LEFT(TRIM(E95),2)&lt;&gt;INDEX(Codes!$F$2:$F$37,MATCH(C95,Codes!$E$2:$E$37,0)),"GSTIN starts with "&amp;LEFT(TRIM(E95),2)&amp;" but "&amp;C95&amp;" is "&amp;INDEX(Codes!$F$2:$F$37,MATCH(C95,Codes!$E$2:$E$37,0)),"OK")))))))</f>
        <v/>
      </c>
      <c r="B95" s="22"/>
      <c r="C95" s="22"/>
      <c r="D95" s="23"/>
      <c r="E95" s="24"/>
      <c r="F95" s="24"/>
      <c r="G95" s="23"/>
    </row>
    <row r="96" spans="1:7" x14ac:dyDescent="0.35">
      <c r="A96" s="21" t="str">
        <f>IF(COUNTA(B96:G96)=0,"",IF((IF(B96="","Vendor Name, ","")&amp;IF(C96="","State, ",""))&lt;&gt;"","Missing: "&amp;LEFT(IF(B96="","Vendor Name, ","")&amp;IF(C96="","State, ",""),LEN(IF(B96="","Vendor Name, ","")&amp;IF(C96="","State, ",""))-2),IF(COUNTIF($B$3:$B$202,B96)&gt;1,"Vendor "&amp;B96&amp;" is listed twice",IF(ISNA(MATCH(C96,Codes!$E$2:$E$37,0)),"Pick the State from the list",IF(E96="","OK",IF(LEN(TRIM(E96))&lt;&gt;15,"GSTIN must be 15 characters - or leave it blank",IF(LEFT(TRIM(E96),2)&lt;&gt;INDEX(Codes!$F$2:$F$37,MATCH(C96,Codes!$E$2:$E$37,0)),"GSTIN starts with "&amp;LEFT(TRIM(E96),2)&amp;" but "&amp;C96&amp;" is "&amp;INDEX(Codes!$F$2:$F$37,MATCH(C96,Codes!$E$2:$E$37,0)),"OK")))))))</f>
        <v/>
      </c>
      <c r="B96" s="22"/>
      <c r="C96" s="22"/>
      <c r="D96" s="23"/>
      <c r="E96" s="24"/>
      <c r="F96" s="24"/>
      <c r="G96" s="23"/>
    </row>
    <row r="97" spans="1:7" x14ac:dyDescent="0.35">
      <c r="A97" s="21" t="str">
        <f>IF(COUNTA(B97:G97)=0,"",IF((IF(B97="","Vendor Name, ","")&amp;IF(C97="","State, ",""))&lt;&gt;"","Missing: "&amp;LEFT(IF(B97="","Vendor Name, ","")&amp;IF(C97="","State, ",""),LEN(IF(B97="","Vendor Name, ","")&amp;IF(C97="","State, ",""))-2),IF(COUNTIF($B$3:$B$202,B97)&gt;1,"Vendor "&amp;B97&amp;" is listed twice",IF(ISNA(MATCH(C97,Codes!$E$2:$E$37,0)),"Pick the State from the list",IF(E97="","OK",IF(LEN(TRIM(E97))&lt;&gt;15,"GSTIN must be 15 characters - or leave it blank",IF(LEFT(TRIM(E97),2)&lt;&gt;INDEX(Codes!$F$2:$F$37,MATCH(C97,Codes!$E$2:$E$37,0)),"GSTIN starts with "&amp;LEFT(TRIM(E97),2)&amp;" but "&amp;C97&amp;" is "&amp;INDEX(Codes!$F$2:$F$37,MATCH(C97,Codes!$E$2:$E$37,0)),"OK")))))))</f>
        <v/>
      </c>
      <c r="B97" s="22"/>
      <c r="C97" s="22"/>
      <c r="D97" s="23"/>
      <c r="E97" s="24"/>
      <c r="F97" s="24"/>
      <c r="G97" s="23"/>
    </row>
    <row r="98" spans="1:7" x14ac:dyDescent="0.35">
      <c r="A98" s="21" t="str">
        <f>IF(COUNTA(B98:G98)=0,"",IF((IF(B98="","Vendor Name, ","")&amp;IF(C98="","State, ",""))&lt;&gt;"","Missing: "&amp;LEFT(IF(B98="","Vendor Name, ","")&amp;IF(C98="","State, ",""),LEN(IF(B98="","Vendor Name, ","")&amp;IF(C98="","State, ",""))-2),IF(COUNTIF($B$3:$B$202,B98)&gt;1,"Vendor "&amp;B98&amp;" is listed twice",IF(ISNA(MATCH(C98,Codes!$E$2:$E$37,0)),"Pick the State from the list",IF(E98="","OK",IF(LEN(TRIM(E98))&lt;&gt;15,"GSTIN must be 15 characters - or leave it blank",IF(LEFT(TRIM(E98),2)&lt;&gt;INDEX(Codes!$F$2:$F$37,MATCH(C98,Codes!$E$2:$E$37,0)),"GSTIN starts with "&amp;LEFT(TRIM(E98),2)&amp;" but "&amp;C98&amp;" is "&amp;INDEX(Codes!$F$2:$F$37,MATCH(C98,Codes!$E$2:$E$37,0)),"OK")))))))</f>
        <v/>
      </c>
      <c r="B98" s="22"/>
      <c r="C98" s="22"/>
      <c r="D98" s="23"/>
      <c r="E98" s="24"/>
      <c r="F98" s="24"/>
      <c r="G98" s="23"/>
    </row>
    <row r="99" spans="1:7" x14ac:dyDescent="0.35">
      <c r="A99" s="21" t="str">
        <f>IF(COUNTA(B99:G99)=0,"",IF((IF(B99="","Vendor Name, ","")&amp;IF(C99="","State, ",""))&lt;&gt;"","Missing: "&amp;LEFT(IF(B99="","Vendor Name, ","")&amp;IF(C99="","State, ",""),LEN(IF(B99="","Vendor Name, ","")&amp;IF(C99="","State, ",""))-2),IF(COUNTIF($B$3:$B$202,B99)&gt;1,"Vendor "&amp;B99&amp;" is listed twice",IF(ISNA(MATCH(C99,Codes!$E$2:$E$37,0)),"Pick the State from the list",IF(E99="","OK",IF(LEN(TRIM(E99))&lt;&gt;15,"GSTIN must be 15 characters - or leave it blank",IF(LEFT(TRIM(E99),2)&lt;&gt;INDEX(Codes!$F$2:$F$37,MATCH(C99,Codes!$E$2:$E$37,0)),"GSTIN starts with "&amp;LEFT(TRIM(E99),2)&amp;" but "&amp;C99&amp;" is "&amp;INDEX(Codes!$F$2:$F$37,MATCH(C99,Codes!$E$2:$E$37,0)),"OK")))))))</f>
        <v/>
      </c>
      <c r="B99" s="22"/>
      <c r="C99" s="22"/>
      <c r="D99" s="23"/>
      <c r="E99" s="24"/>
      <c r="F99" s="24"/>
      <c r="G99" s="23"/>
    </row>
    <row r="100" spans="1:7" x14ac:dyDescent="0.35">
      <c r="A100" s="21" t="str">
        <f>IF(COUNTA(B100:G100)=0,"",IF((IF(B100="","Vendor Name, ","")&amp;IF(C100="","State, ",""))&lt;&gt;"","Missing: "&amp;LEFT(IF(B100="","Vendor Name, ","")&amp;IF(C100="","State, ",""),LEN(IF(B100="","Vendor Name, ","")&amp;IF(C100="","State, ",""))-2),IF(COUNTIF($B$3:$B$202,B100)&gt;1,"Vendor "&amp;B100&amp;" is listed twice",IF(ISNA(MATCH(C100,Codes!$E$2:$E$37,0)),"Pick the State from the list",IF(E100="","OK",IF(LEN(TRIM(E100))&lt;&gt;15,"GSTIN must be 15 characters - or leave it blank",IF(LEFT(TRIM(E100),2)&lt;&gt;INDEX(Codes!$F$2:$F$37,MATCH(C100,Codes!$E$2:$E$37,0)),"GSTIN starts with "&amp;LEFT(TRIM(E100),2)&amp;" but "&amp;C100&amp;" is "&amp;INDEX(Codes!$F$2:$F$37,MATCH(C100,Codes!$E$2:$E$37,0)),"OK")))))))</f>
        <v/>
      </c>
      <c r="B100" s="22"/>
      <c r="C100" s="22"/>
      <c r="D100" s="23"/>
      <c r="E100" s="24"/>
      <c r="F100" s="24"/>
      <c r="G100" s="23"/>
    </row>
    <row r="101" spans="1:7" x14ac:dyDescent="0.35">
      <c r="A101" s="21" t="str">
        <f>IF(COUNTA(B101:G101)=0,"",IF((IF(B101="","Vendor Name, ","")&amp;IF(C101="","State, ",""))&lt;&gt;"","Missing: "&amp;LEFT(IF(B101="","Vendor Name, ","")&amp;IF(C101="","State, ",""),LEN(IF(B101="","Vendor Name, ","")&amp;IF(C101="","State, ",""))-2),IF(COUNTIF($B$3:$B$202,B101)&gt;1,"Vendor "&amp;B101&amp;" is listed twice",IF(ISNA(MATCH(C101,Codes!$E$2:$E$37,0)),"Pick the State from the list",IF(E101="","OK",IF(LEN(TRIM(E101))&lt;&gt;15,"GSTIN must be 15 characters - or leave it blank",IF(LEFT(TRIM(E101),2)&lt;&gt;INDEX(Codes!$F$2:$F$37,MATCH(C101,Codes!$E$2:$E$37,0)),"GSTIN starts with "&amp;LEFT(TRIM(E101),2)&amp;" but "&amp;C101&amp;" is "&amp;INDEX(Codes!$F$2:$F$37,MATCH(C101,Codes!$E$2:$E$37,0)),"OK")))))))</f>
        <v/>
      </c>
      <c r="B101" s="22"/>
      <c r="C101" s="22"/>
      <c r="D101" s="23"/>
      <c r="E101" s="24"/>
      <c r="F101" s="24"/>
      <c r="G101" s="23"/>
    </row>
    <row r="102" spans="1:7" x14ac:dyDescent="0.35">
      <c r="A102" s="21" t="str">
        <f>IF(COUNTA(B102:G102)=0,"",IF((IF(B102="","Vendor Name, ","")&amp;IF(C102="","State, ",""))&lt;&gt;"","Missing: "&amp;LEFT(IF(B102="","Vendor Name, ","")&amp;IF(C102="","State, ",""),LEN(IF(B102="","Vendor Name, ","")&amp;IF(C102="","State, ",""))-2),IF(COUNTIF($B$3:$B$202,B102)&gt;1,"Vendor "&amp;B102&amp;" is listed twice",IF(ISNA(MATCH(C102,Codes!$E$2:$E$37,0)),"Pick the State from the list",IF(E102="","OK",IF(LEN(TRIM(E102))&lt;&gt;15,"GSTIN must be 15 characters - or leave it blank",IF(LEFT(TRIM(E102),2)&lt;&gt;INDEX(Codes!$F$2:$F$37,MATCH(C102,Codes!$E$2:$E$37,0)),"GSTIN starts with "&amp;LEFT(TRIM(E102),2)&amp;" but "&amp;C102&amp;" is "&amp;INDEX(Codes!$F$2:$F$37,MATCH(C102,Codes!$E$2:$E$37,0)),"OK")))))))</f>
        <v/>
      </c>
      <c r="B102" s="22"/>
      <c r="C102" s="22"/>
      <c r="D102" s="23"/>
      <c r="E102" s="24"/>
      <c r="F102" s="24"/>
      <c r="G102" s="23"/>
    </row>
    <row r="103" spans="1:7" x14ac:dyDescent="0.35">
      <c r="A103" s="21" t="str">
        <f>IF(COUNTA(B103:G103)=0,"",IF((IF(B103="","Vendor Name, ","")&amp;IF(C103="","State, ",""))&lt;&gt;"","Missing: "&amp;LEFT(IF(B103="","Vendor Name, ","")&amp;IF(C103="","State, ",""),LEN(IF(B103="","Vendor Name, ","")&amp;IF(C103="","State, ",""))-2),IF(COUNTIF($B$3:$B$202,B103)&gt;1,"Vendor "&amp;B103&amp;" is listed twice",IF(ISNA(MATCH(C103,Codes!$E$2:$E$37,0)),"Pick the State from the list",IF(E103="","OK",IF(LEN(TRIM(E103))&lt;&gt;15,"GSTIN must be 15 characters - or leave it blank",IF(LEFT(TRIM(E103),2)&lt;&gt;INDEX(Codes!$F$2:$F$37,MATCH(C103,Codes!$E$2:$E$37,0)),"GSTIN starts with "&amp;LEFT(TRIM(E103),2)&amp;" but "&amp;C103&amp;" is "&amp;INDEX(Codes!$F$2:$F$37,MATCH(C103,Codes!$E$2:$E$37,0)),"OK")))))))</f>
        <v/>
      </c>
      <c r="B103" s="22"/>
      <c r="C103" s="22"/>
      <c r="D103" s="23"/>
      <c r="E103" s="24"/>
      <c r="F103" s="24"/>
      <c r="G103" s="23"/>
    </row>
    <row r="104" spans="1:7" x14ac:dyDescent="0.35">
      <c r="A104" s="21" t="str">
        <f>IF(COUNTA(B104:G104)=0,"",IF((IF(B104="","Vendor Name, ","")&amp;IF(C104="","State, ",""))&lt;&gt;"","Missing: "&amp;LEFT(IF(B104="","Vendor Name, ","")&amp;IF(C104="","State, ",""),LEN(IF(B104="","Vendor Name, ","")&amp;IF(C104="","State, ",""))-2),IF(COUNTIF($B$3:$B$202,B104)&gt;1,"Vendor "&amp;B104&amp;" is listed twice",IF(ISNA(MATCH(C104,Codes!$E$2:$E$37,0)),"Pick the State from the list",IF(E104="","OK",IF(LEN(TRIM(E104))&lt;&gt;15,"GSTIN must be 15 characters - or leave it blank",IF(LEFT(TRIM(E104),2)&lt;&gt;INDEX(Codes!$F$2:$F$37,MATCH(C104,Codes!$E$2:$E$37,0)),"GSTIN starts with "&amp;LEFT(TRIM(E104),2)&amp;" but "&amp;C104&amp;" is "&amp;INDEX(Codes!$F$2:$F$37,MATCH(C104,Codes!$E$2:$E$37,0)),"OK")))))))</f>
        <v/>
      </c>
      <c r="B104" s="22"/>
      <c r="C104" s="22"/>
      <c r="D104" s="23"/>
      <c r="E104" s="24"/>
      <c r="F104" s="24"/>
      <c r="G104" s="23"/>
    </row>
    <row r="105" spans="1:7" x14ac:dyDescent="0.35">
      <c r="A105" s="21" t="str">
        <f>IF(COUNTA(B105:G105)=0,"",IF((IF(B105="","Vendor Name, ","")&amp;IF(C105="","State, ",""))&lt;&gt;"","Missing: "&amp;LEFT(IF(B105="","Vendor Name, ","")&amp;IF(C105="","State, ",""),LEN(IF(B105="","Vendor Name, ","")&amp;IF(C105="","State, ",""))-2),IF(COUNTIF($B$3:$B$202,B105)&gt;1,"Vendor "&amp;B105&amp;" is listed twice",IF(ISNA(MATCH(C105,Codes!$E$2:$E$37,0)),"Pick the State from the list",IF(E105="","OK",IF(LEN(TRIM(E105))&lt;&gt;15,"GSTIN must be 15 characters - or leave it blank",IF(LEFT(TRIM(E105),2)&lt;&gt;INDEX(Codes!$F$2:$F$37,MATCH(C105,Codes!$E$2:$E$37,0)),"GSTIN starts with "&amp;LEFT(TRIM(E105),2)&amp;" but "&amp;C105&amp;" is "&amp;INDEX(Codes!$F$2:$F$37,MATCH(C105,Codes!$E$2:$E$37,0)),"OK")))))))</f>
        <v/>
      </c>
      <c r="B105" s="22"/>
      <c r="C105" s="22"/>
      <c r="D105" s="23"/>
      <c r="E105" s="24"/>
      <c r="F105" s="24"/>
      <c r="G105" s="23"/>
    </row>
    <row r="106" spans="1:7" x14ac:dyDescent="0.35">
      <c r="A106" s="21" t="str">
        <f>IF(COUNTA(B106:G106)=0,"",IF((IF(B106="","Vendor Name, ","")&amp;IF(C106="","State, ",""))&lt;&gt;"","Missing: "&amp;LEFT(IF(B106="","Vendor Name, ","")&amp;IF(C106="","State, ",""),LEN(IF(B106="","Vendor Name, ","")&amp;IF(C106="","State, ",""))-2),IF(COUNTIF($B$3:$B$202,B106)&gt;1,"Vendor "&amp;B106&amp;" is listed twice",IF(ISNA(MATCH(C106,Codes!$E$2:$E$37,0)),"Pick the State from the list",IF(E106="","OK",IF(LEN(TRIM(E106))&lt;&gt;15,"GSTIN must be 15 characters - or leave it blank",IF(LEFT(TRIM(E106),2)&lt;&gt;INDEX(Codes!$F$2:$F$37,MATCH(C106,Codes!$E$2:$E$37,0)),"GSTIN starts with "&amp;LEFT(TRIM(E106),2)&amp;" but "&amp;C106&amp;" is "&amp;INDEX(Codes!$F$2:$F$37,MATCH(C106,Codes!$E$2:$E$37,0)),"OK")))))))</f>
        <v/>
      </c>
      <c r="B106" s="22"/>
      <c r="C106" s="22"/>
      <c r="D106" s="23"/>
      <c r="E106" s="24"/>
      <c r="F106" s="24"/>
      <c r="G106" s="23"/>
    </row>
    <row r="107" spans="1:7" x14ac:dyDescent="0.35">
      <c r="A107" s="21" t="str">
        <f>IF(COUNTA(B107:G107)=0,"",IF((IF(B107="","Vendor Name, ","")&amp;IF(C107="","State, ",""))&lt;&gt;"","Missing: "&amp;LEFT(IF(B107="","Vendor Name, ","")&amp;IF(C107="","State, ",""),LEN(IF(B107="","Vendor Name, ","")&amp;IF(C107="","State, ",""))-2),IF(COUNTIF($B$3:$B$202,B107)&gt;1,"Vendor "&amp;B107&amp;" is listed twice",IF(ISNA(MATCH(C107,Codes!$E$2:$E$37,0)),"Pick the State from the list",IF(E107="","OK",IF(LEN(TRIM(E107))&lt;&gt;15,"GSTIN must be 15 characters - or leave it blank",IF(LEFT(TRIM(E107),2)&lt;&gt;INDEX(Codes!$F$2:$F$37,MATCH(C107,Codes!$E$2:$E$37,0)),"GSTIN starts with "&amp;LEFT(TRIM(E107),2)&amp;" but "&amp;C107&amp;" is "&amp;INDEX(Codes!$F$2:$F$37,MATCH(C107,Codes!$E$2:$E$37,0)),"OK")))))))</f>
        <v/>
      </c>
      <c r="B107" s="22"/>
      <c r="C107" s="22"/>
      <c r="D107" s="23"/>
      <c r="E107" s="24"/>
      <c r="F107" s="24"/>
      <c r="G107" s="23"/>
    </row>
    <row r="108" spans="1:7" x14ac:dyDescent="0.35">
      <c r="A108" s="21" t="str">
        <f>IF(COUNTA(B108:G108)=0,"",IF((IF(B108="","Vendor Name, ","")&amp;IF(C108="","State, ",""))&lt;&gt;"","Missing: "&amp;LEFT(IF(B108="","Vendor Name, ","")&amp;IF(C108="","State, ",""),LEN(IF(B108="","Vendor Name, ","")&amp;IF(C108="","State, ",""))-2),IF(COUNTIF($B$3:$B$202,B108)&gt;1,"Vendor "&amp;B108&amp;" is listed twice",IF(ISNA(MATCH(C108,Codes!$E$2:$E$37,0)),"Pick the State from the list",IF(E108="","OK",IF(LEN(TRIM(E108))&lt;&gt;15,"GSTIN must be 15 characters - or leave it blank",IF(LEFT(TRIM(E108),2)&lt;&gt;INDEX(Codes!$F$2:$F$37,MATCH(C108,Codes!$E$2:$E$37,0)),"GSTIN starts with "&amp;LEFT(TRIM(E108),2)&amp;" but "&amp;C108&amp;" is "&amp;INDEX(Codes!$F$2:$F$37,MATCH(C108,Codes!$E$2:$E$37,0)),"OK")))))))</f>
        <v/>
      </c>
      <c r="B108" s="22"/>
      <c r="C108" s="22"/>
      <c r="D108" s="23"/>
      <c r="E108" s="24"/>
      <c r="F108" s="24"/>
      <c r="G108" s="23"/>
    </row>
    <row r="109" spans="1:7" x14ac:dyDescent="0.35">
      <c r="A109" s="21" t="str">
        <f>IF(COUNTA(B109:G109)=0,"",IF((IF(B109="","Vendor Name, ","")&amp;IF(C109="","State, ",""))&lt;&gt;"","Missing: "&amp;LEFT(IF(B109="","Vendor Name, ","")&amp;IF(C109="","State, ",""),LEN(IF(B109="","Vendor Name, ","")&amp;IF(C109="","State, ",""))-2),IF(COUNTIF($B$3:$B$202,B109)&gt;1,"Vendor "&amp;B109&amp;" is listed twice",IF(ISNA(MATCH(C109,Codes!$E$2:$E$37,0)),"Pick the State from the list",IF(E109="","OK",IF(LEN(TRIM(E109))&lt;&gt;15,"GSTIN must be 15 characters - or leave it blank",IF(LEFT(TRIM(E109),2)&lt;&gt;INDEX(Codes!$F$2:$F$37,MATCH(C109,Codes!$E$2:$E$37,0)),"GSTIN starts with "&amp;LEFT(TRIM(E109),2)&amp;" but "&amp;C109&amp;" is "&amp;INDEX(Codes!$F$2:$F$37,MATCH(C109,Codes!$E$2:$E$37,0)),"OK")))))))</f>
        <v/>
      </c>
      <c r="B109" s="22"/>
      <c r="C109" s="22"/>
      <c r="D109" s="23"/>
      <c r="E109" s="24"/>
      <c r="F109" s="24"/>
      <c r="G109" s="23"/>
    </row>
    <row r="110" spans="1:7" x14ac:dyDescent="0.35">
      <c r="A110" s="21" t="str">
        <f>IF(COUNTA(B110:G110)=0,"",IF((IF(B110="","Vendor Name, ","")&amp;IF(C110="","State, ",""))&lt;&gt;"","Missing: "&amp;LEFT(IF(B110="","Vendor Name, ","")&amp;IF(C110="","State, ",""),LEN(IF(B110="","Vendor Name, ","")&amp;IF(C110="","State, ",""))-2),IF(COUNTIF($B$3:$B$202,B110)&gt;1,"Vendor "&amp;B110&amp;" is listed twice",IF(ISNA(MATCH(C110,Codes!$E$2:$E$37,0)),"Pick the State from the list",IF(E110="","OK",IF(LEN(TRIM(E110))&lt;&gt;15,"GSTIN must be 15 characters - or leave it blank",IF(LEFT(TRIM(E110),2)&lt;&gt;INDEX(Codes!$F$2:$F$37,MATCH(C110,Codes!$E$2:$E$37,0)),"GSTIN starts with "&amp;LEFT(TRIM(E110),2)&amp;" but "&amp;C110&amp;" is "&amp;INDEX(Codes!$F$2:$F$37,MATCH(C110,Codes!$E$2:$E$37,0)),"OK")))))))</f>
        <v/>
      </c>
      <c r="B110" s="22"/>
      <c r="C110" s="22"/>
      <c r="D110" s="23"/>
      <c r="E110" s="24"/>
      <c r="F110" s="24"/>
      <c r="G110" s="23"/>
    </row>
    <row r="111" spans="1:7" x14ac:dyDescent="0.35">
      <c r="A111" s="21" t="str">
        <f>IF(COUNTA(B111:G111)=0,"",IF((IF(B111="","Vendor Name, ","")&amp;IF(C111="","State, ",""))&lt;&gt;"","Missing: "&amp;LEFT(IF(B111="","Vendor Name, ","")&amp;IF(C111="","State, ",""),LEN(IF(B111="","Vendor Name, ","")&amp;IF(C111="","State, ",""))-2),IF(COUNTIF($B$3:$B$202,B111)&gt;1,"Vendor "&amp;B111&amp;" is listed twice",IF(ISNA(MATCH(C111,Codes!$E$2:$E$37,0)),"Pick the State from the list",IF(E111="","OK",IF(LEN(TRIM(E111))&lt;&gt;15,"GSTIN must be 15 characters - or leave it blank",IF(LEFT(TRIM(E111),2)&lt;&gt;INDEX(Codes!$F$2:$F$37,MATCH(C111,Codes!$E$2:$E$37,0)),"GSTIN starts with "&amp;LEFT(TRIM(E111),2)&amp;" but "&amp;C111&amp;" is "&amp;INDEX(Codes!$F$2:$F$37,MATCH(C111,Codes!$E$2:$E$37,0)),"OK")))))))</f>
        <v/>
      </c>
      <c r="B111" s="22"/>
      <c r="C111" s="22"/>
      <c r="D111" s="23"/>
      <c r="E111" s="24"/>
      <c r="F111" s="24"/>
      <c r="G111" s="23"/>
    </row>
    <row r="112" spans="1:7" x14ac:dyDescent="0.35">
      <c r="A112" s="21" t="str">
        <f>IF(COUNTA(B112:G112)=0,"",IF((IF(B112="","Vendor Name, ","")&amp;IF(C112="","State, ",""))&lt;&gt;"","Missing: "&amp;LEFT(IF(B112="","Vendor Name, ","")&amp;IF(C112="","State, ",""),LEN(IF(B112="","Vendor Name, ","")&amp;IF(C112="","State, ",""))-2),IF(COUNTIF($B$3:$B$202,B112)&gt;1,"Vendor "&amp;B112&amp;" is listed twice",IF(ISNA(MATCH(C112,Codes!$E$2:$E$37,0)),"Pick the State from the list",IF(E112="","OK",IF(LEN(TRIM(E112))&lt;&gt;15,"GSTIN must be 15 characters - or leave it blank",IF(LEFT(TRIM(E112),2)&lt;&gt;INDEX(Codes!$F$2:$F$37,MATCH(C112,Codes!$E$2:$E$37,0)),"GSTIN starts with "&amp;LEFT(TRIM(E112),2)&amp;" but "&amp;C112&amp;" is "&amp;INDEX(Codes!$F$2:$F$37,MATCH(C112,Codes!$E$2:$E$37,0)),"OK")))))))</f>
        <v/>
      </c>
      <c r="B112" s="22"/>
      <c r="C112" s="22"/>
      <c r="D112" s="23"/>
      <c r="E112" s="24"/>
      <c r="F112" s="24"/>
      <c r="G112" s="23"/>
    </row>
    <row r="113" spans="1:7" x14ac:dyDescent="0.35">
      <c r="A113" s="21" t="str">
        <f>IF(COUNTA(B113:G113)=0,"",IF((IF(B113="","Vendor Name, ","")&amp;IF(C113="","State, ",""))&lt;&gt;"","Missing: "&amp;LEFT(IF(B113="","Vendor Name, ","")&amp;IF(C113="","State, ",""),LEN(IF(B113="","Vendor Name, ","")&amp;IF(C113="","State, ",""))-2),IF(COUNTIF($B$3:$B$202,B113)&gt;1,"Vendor "&amp;B113&amp;" is listed twice",IF(ISNA(MATCH(C113,Codes!$E$2:$E$37,0)),"Pick the State from the list",IF(E113="","OK",IF(LEN(TRIM(E113))&lt;&gt;15,"GSTIN must be 15 characters - or leave it blank",IF(LEFT(TRIM(E113),2)&lt;&gt;INDEX(Codes!$F$2:$F$37,MATCH(C113,Codes!$E$2:$E$37,0)),"GSTIN starts with "&amp;LEFT(TRIM(E113),2)&amp;" but "&amp;C113&amp;" is "&amp;INDEX(Codes!$F$2:$F$37,MATCH(C113,Codes!$E$2:$E$37,0)),"OK")))))))</f>
        <v/>
      </c>
      <c r="B113" s="22"/>
      <c r="C113" s="22"/>
      <c r="D113" s="23"/>
      <c r="E113" s="24"/>
      <c r="F113" s="24"/>
      <c r="G113" s="23"/>
    </row>
    <row r="114" spans="1:7" x14ac:dyDescent="0.35">
      <c r="A114" s="21" t="str">
        <f>IF(COUNTA(B114:G114)=0,"",IF((IF(B114="","Vendor Name, ","")&amp;IF(C114="","State, ",""))&lt;&gt;"","Missing: "&amp;LEFT(IF(B114="","Vendor Name, ","")&amp;IF(C114="","State, ",""),LEN(IF(B114="","Vendor Name, ","")&amp;IF(C114="","State, ",""))-2),IF(COUNTIF($B$3:$B$202,B114)&gt;1,"Vendor "&amp;B114&amp;" is listed twice",IF(ISNA(MATCH(C114,Codes!$E$2:$E$37,0)),"Pick the State from the list",IF(E114="","OK",IF(LEN(TRIM(E114))&lt;&gt;15,"GSTIN must be 15 characters - or leave it blank",IF(LEFT(TRIM(E114),2)&lt;&gt;INDEX(Codes!$F$2:$F$37,MATCH(C114,Codes!$E$2:$E$37,0)),"GSTIN starts with "&amp;LEFT(TRIM(E114),2)&amp;" but "&amp;C114&amp;" is "&amp;INDEX(Codes!$F$2:$F$37,MATCH(C114,Codes!$E$2:$E$37,0)),"OK")))))))</f>
        <v/>
      </c>
      <c r="B114" s="22"/>
      <c r="C114" s="22"/>
      <c r="D114" s="23"/>
      <c r="E114" s="24"/>
      <c r="F114" s="24"/>
      <c r="G114" s="23"/>
    </row>
    <row r="115" spans="1:7" x14ac:dyDescent="0.35">
      <c r="A115" s="21" t="str">
        <f>IF(COUNTA(B115:G115)=0,"",IF((IF(B115="","Vendor Name, ","")&amp;IF(C115="","State, ",""))&lt;&gt;"","Missing: "&amp;LEFT(IF(B115="","Vendor Name, ","")&amp;IF(C115="","State, ",""),LEN(IF(B115="","Vendor Name, ","")&amp;IF(C115="","State, ",""))-2),IF(COUNTIF($B$3:$B$202,B115)&gt;1,"Vendor "&amp;B115&amp;" is listed twice",IF(ISNA(MATCH(C115,Codes!$E$2:$E$37,0)),"Pick the State from the list",IF(E115="","OK",IF(LEN(TRIM(E115))&lt;&gt;15,"GSTIN must be 15 characters - or leave it blank",IF(LEFT(TRIM(E115),2)&lt;&gt;INDEX(Codes!$F$2:$F$37,MATCH(C115,Codes!$E$2:$E$37,0)),"GSTIN starts with "&amp;LEFT(TRIM(E115),2)&amp;" but "&amp;C115&amp;" is "&amp;INDEX(Codes!$F$2:$F$37,MATCH(C115,Codes!$E$2:$E$37,0)),"OK")))))))</f>
        <v/>
      </c>
      <c r="B115" s="22"/>
      <c r="C115" s="22"/>
      <c r="D115" s="23"/>
      <c r="E115" s="24"/>
      <c r="F115" s="24"/>
      <c r="G115" s="23"/>
    </row>
    <row r="116" spans="1:7" x14ac:dyDescent="0.35">
      <c r="A116" s="21" t="str">
        <f>IF(COUNTA(B116:G116)=0,"",IF((IF(B116="","Vendor Name, ","")&amp;IF(C116="","State, ",""))&lt;&gt;"","Missing: "&amp;LEFT(IF(B116="","Vendor Name, ","")&amp;IF(C116="","State, ",""),LEN(IF(B116="","Vendor Name, ","")&amp;IF(C116="","State, ",""))-2),IF(COUNTIF($B$3:$B$202,B116)&gt;1,"Vendor "&amp;B116&amp;" is listed twice",IF(ISNA(MATCH(C116,Codes!$E$2:$E$37,0)),"Pick the State from the list",IF(E116="","OK",IF(LEN(TRIM(E116))&lt;&gt;15,"GSTIN must be 15 characters - or leave it blank",IF(LEFT(TRIM(E116),2)&lt;&gt;INDEX(Codes!$F$2:$F$37,MATCH(C116,Codes!$E$2:$E$37,0)),"GSTIN starts with "&amp;LEFT(TRIM(E116),2)&amp;" but "&amp;C116&amp;" is "&amp;INDEX(Codes!$F$2:$F$37,MATCH(C116,Codes!$E$2:$E$37,0)),"OK")))))))</f>
        <v/>
      </c>
      <c r="B116" s="22"/>
      <c r="C116" s="22"/>
      <c r="D116" s="23"/>
      <c r="E116" s="24"/>
      <c r="F116" s="24"/>
      <c r="G116" s="23"/>
    </row>
    <row r="117" spans="1:7" x14ac:dyDescent="0.35">
      <c r="A117" s="21" t="str">
        <f>IF(COUNTA(B117:G117)=0,"",IF((IF(B117="","Vendor Name, ","")&amp;IF(C117="","State, ",""))&lt;&gt;"","Missing: "&amp;LEFT(IF(B117="","Vendor Name, ","")&amp;IF(C117="","State, ",""),LEN(IF(B117="","Vendor Name, ","")&amp;IF(C117="","State, ",""))-2),IF(COUNTIF($B$3:$B$202,B117)&gt;1,"Vendor "&amp;B117&amp;" is listed twice",IF(ISNA(MATCH(C117,Codes!$E$2:$E$37,0)),"Pick the State from the list",IF(E117="","OK",IF(LEN(TRIM(E117))&lt;&gt;15,"GSTIN must be 15 characters - or leave it blank",IF(LEFT(TRIM(E117),2)&lt;&gt;INDEX(Codes!$F$2:$F$37,MATCH(C117,Codes!$E$2:$E$37,0)),"GSTIN starts with "&amp;LEFT(TRIM(E117),2)&amp;" but "&amp;C117&amp;" is "&amp;INDEX(Codes!$F$2:$F$37,MATCH(C117,Codes!$E$2:$E$37,0)),"OK")))))))</f>
        <v/>
      </c>
      <c r="B117" s="22"/>
      <c r="C117" s="22"/>
      <c r="D117" s="23"/>
      <c r="E117" s="24"/>
      <c r="F117" s="24"/>
      <c r="G117" s="23"/>
    </row>
    <row r="118" spans="1:7" x14ac:dyDescent="0.35">
      <c r="A118" s="21" t="str">
        <f>IF(COUNTA(B118:G118)=0,"",IF((IF(B118="","Vendor Name, ","")&amp;IF(C118="","State, ",""))&lt;&gt;"","Missing: "&amp;LEFT(IF(B118="","Vendor Name, ","")&amp;IF(C118="","State, ",""),LEN(IF(B118="","Vendor Name, ","")&amp;IF(C118="","State, ",""))-2),IF(COUNTIF($B$3:$B$202,B118)&gt;1,"Vendor "&amp;B118&amp;" is listed twice",IF(ISNA(MATCH(C118,Codes!$E$2:$E$37,0)),"Pick the State from the list",IF(E118="","OK",IF(LEN(TRIM(E118))&lt;&gt;15,"GSTIN must be 15 characters - or leave it blank",IF(LEFT(TRIM(E118),2)&lt;&gt;INDEX(Codes!$F$2:$F$37,MATCH(C118,Codes!$E$2:$E$37,0)),"GSTIN starts with "&amp;LEFT(TRIM(E118),2)&amp;" but "&amp;C118&amp;" is "&amp;INDEX(Codes!$F$2:$F$37,MATCH(C118,Codes!$E$2:$E$37,0)),"OK")))))))</f>
        <v/>
      </c>
      <c r="B118" s="22"/>
      <c r="C118" s="22"/>
      <c r="D118" s="23"/>
      <c r="E118" s="24"/>
      <c r="F118" s="24"/>
      <c r="G118" s="23"/>
    </row>
    <row r="119" spans="1:7" x14ac:dyDescent="0.35">
      <c r="A119" s="21" t="str">
        <f>IF(COUNTA(B119:G119)=0,"",IF((IF(B119="","Vendor Name, ","")&amp;IF(C119="","State, ",""))&lt;&gt;"","Missing: "&amp;LEFT(IF(B119="","Vendor Name, ","")&amp;IF(C119="","State, ",""),LEN(IF(B119="","Vendor Name, ","")&amp;IF(C119="","State, ",""))-2),IF(COUNTIF($B$3:$B$202,B119)&gt;1,"Vendor "&amp;B119&amp;" is listed twice",IF(ISNA(MATCH(C119,Codes!$E$2:$E$37,0)),"Pick the State from the list",IF(E119="","OK",IF(LEN(TRIM(E119))&lt;&gt;15,"GSTIN must be 15 characters - or leave it blank",IF(LEFT(TRIM(E119),2)&lt;&gt;INDEX(Codes!$F$2:$F$37,MATCH(C119,Codes!$E$2:$E$37,0)),"GSTIN starts with "&amp;LEFT(TRIM(E119),2)&amp;" but "&amp;C119&amp;" is "&amp;INDEX(Codes!$F$2:$F$37,MATCH(C119,Codes!$E$2:$E$37,0)),"OK")))))))</f>
        <v/>
      </c>
      <c r="B119" s="22"/>
      <c r="C119" s="22"/>
      <c r="D119" s="23"/>
      <c r="E119" s="24"/>
      <c r="F119" s="24"/>
      <c r="G119" s="23"/>
    </row>
    <row r="120" spans="1:7" x14ac:dyDescent="0.35">
      <c r="A120" s="21" t="str">
        <f>IF(COUNTA(B120:G120)=0,"",IF((IF(B120="","Vendor Name, ","")&amp;IF(C120="","State, ",""))&lt;&gt;"","Missing: "&amp;LEFT(IF(B120="","Vendor Name, ","")&amp;IF(C120="","State, ",""),LEN(IF(B120="","Vendor Name, ","")&amp;IF(C120="","State, ",""))-2),IF(COUNTIF($B$3:$B$202,B120)&gt;1,"Vendor "&amp;B120&amp;" is listed twice",IF(ISNA(MATCH(C120,Codes!$E$2:$E$37,0)),"Pick the State from the list",IF(E120="","OK",IF(LEN(TRIM(E120))&lt;&gt;15,"GSTIN must be 15 characters - or leave it blank",IF(LEFT(TRIM(E120),2)&lt;&gt;INDEX(Codes!$F$2:$F$37,MATCH(C120,Codes!$E$2:$E$37,0)),"GSTIN starts with "&amp;LEFT(TRIM(E120),2)&amp;" but "&amp;C120&amp;" is "&amp;INDEX(Codes!$F$2:$F$37,MATCH(C120,Codes!$E$2:$E$37,0)),"OK")))))))</f>
        <v/>
      </c>
      <c r="B120" s="22"/>
      <c r="C120" s="22"/>
      <c r="D120" s="23"/>
      <c r="E120" s="24"/>
      <c r="F120" s="24"/>
      <c r="G120" s="23"/>
    </row>
    <row r="121" spans="1:7" x14ac:dyDescent="0.35">
      <c r="A121" s="21" t="str">
        <f>IF(COUNTA(B121:G121)=0,"",IF((IF(B121="","Vendor Name, ","")&amp;IF(C121="","State, ",""))&lt;&gt;"","Missing: "&amp;LEFT(IF(B121="","Vendor Name, ","")&amp;IF(C121="","State, ",""),LEN(IF(B121="","Vendor Name, ","")&amp;IF(C121="","State, ",""))-2),IF(COUNTIF($B$3:$B$202,B121)&gt;1,"Vendor "&amp;B121&amp;" is listed twice",IF(ISNA(MATCH(C121,Codes!$E$2:$E$37,0)),"Pick the State from the list",IF(E121="","OK",IF(LEN(TRIM(E121))&lt;&gt;15,"GSTIN must be 15 characters - or leave it blank",IF(LEFT(TRIM(E121),2)&lt;&gt;INDEX(Codes!$F$2:$F$37,MATCH(C121,Codes!$E$2:$E$37,0)),"GSTIN starts with "&amp;LEFT(TRIM(E121),2)&amp;" but "&amp;C121&amp;" is "&amp;INDEX(Codes!$F$2:$F$37,MATCH(C121,Codes!$E$2:$E$37,0)),"OK")))))))</f>
        <v/>
      </c>
      <c r="B121" s="22"/>
      <c r="C121" s="22"/>
      <c r="D121" s="23"/>
      <c r="E121" s="24"/>
      <c r="F121" s="24"/>
      <c r="G121" s="23"/>
    </row>
    <row r="122" spans="1:7" x14ac:dyDescent="0.35">
      <c r="A122" s="21" t="str">
        <f>IF(COUNTA(B122:G122)=0,"",IF((IF(B122="","Vendor Name, ","")&amp;IF(C122="","State, ",""))&lt;&gt;"","Missing: "&amp;LEFT(IF(B122="","Vendor Name, ","")&amp;IF(C122="","State, ",""),LEN(IF(B122="","Vendor Name, ","")&amp;IF(C122="","State, ",""))-2),IF(COUNTIF($B$3:$B$202,B122)&gt;1,"Vendor "&amp;B122&amp;" is listed twice",IF(ISNA(MATCH(C122,Codes!$E$2:$E$37,0)),"Pick the State from the list",IF(E122="","OK",IF(LEN(TRIM(E122))&lt;&gt;15,"GSTIN must be 15 characters - or leave it blank",IF(LEFT(TRIM(E122),2)&lt;&gt;INDEX(Codes!$F$2:$F$37,MATCH(C122,Codes!$E$2:$E$37,0)),"GSTIN starts with "&amp;LEFT(TRIM(E122),2)&amp;" but "&amp;C122&amp;" is "&amp;INDEX(Codes!$F$2:$F$37,MATCH(C122,Codes!$E$2:$E$37,0)),"OK")))))))</f>
        <v/>
      </c>
      <c r="B122" s="22"/>
      <c r="C122" s="22"/>
      <c r="D122" s="23"/>
      <c r="E122" s="24"/>
      <c r="F122" s="24"/>
      <c r="G122" s="23"/>
    </row>
    <row r="123" spans="1:7" x14ac:dyDescent="0.35">
      <c r="A123" s="21" t="str">
        <f>IF(COUNTA(B123:G123)=0,"",IF((IF(B123="","Vendor Name, ","")&amp;IF(C123="","State, ",""))&lt;&gt;"","Missing: "&amp;LEFT(IF(B123="","Vendor Name, ","")&amp;IF(C123="","State, ",""),LEN(IF(B123="","Vendor Name, ","")&amp;IF(C123="","State, ",""))-2),IF(COUNTIF($B$3:$B$202,B123)&gt;1,"Vendor "&amp;B123&amp;" is listed twice",IF(ISNA(MATCH(C123,Codes!$E$2:$E$37,0)),"Pick the State from the list",IF(E123="","OK",IF(LEN(TRIM(E123))&lt;&gt;15,"GSTIN must be 15 characters - or leave it blank",IF(LEFT(TRIM(E123),2)&lt;&gt;INDEX(Codes!$F$2:$F$37,MATCH(C123,Codes!$E$2:$E$37,0)),"GSTIN starts with "&amp;LEFT(TRIM(E123),2)&amp;" but "&amp;C123&amp;" is "&amp;INDEX(Codes!$F$2:$F$37,MATCH(C123,Codes!$E$2:$E$37,0)),"OK")))))))</f>
        <v/>
      </c>
      <c r="B123" s="22"/>
      <c r="C123" s="22"/>
      <c r="D123" s="23"/>
      <c r="E123" s="24"/>
      <c r="F123" s="24"/>
      <c r="G123" s="23"/>
    </row>
    <row r="124" spans="1:7" x14ac:dyDescent="0.35">
      <c r="A124" s="21" t="str">
        <f>IF(COUNTA(B124:G124)=0,"",IF((IF(B124="","Vendor Name, ","")&amp;IF(C124="","State, ",""))&lt;&gt;"","Missing: "&amp;LEFT(IF(B124="","Vendor Name, ","")&amp;IF(C124="","State, ",""),LEN(IF(B124="","Vendor Name, ","")&amp;IF(C124="","State, ",""))-2),IF(COUNTIF($B$3:$B$202,B124)&gt;1,"Vendor "&amp;B124&amp;" is listed twice",IF(ISNA(MATCH(C124,Codes!$E$2:$E$37,0)),"Pick the State from the list",IF(E124="","OK",IF(LEN(TRIM(E124))&lt;&gt;15,"GSTIN must be 15 characters - or leave it blank",IF(LEFT(TRIM(E124),2)&lt;&gt;INDEX(Codes!$F$2:$F$37,MATCH(C124,Codes!$E$2:$E$37,0)),"GSTIN starts with "&amp;LEFT(TRIM(E124),2)&amp;" but "&amp;C124&amp;" is "&amp;INDEX(Codes!$F$2:$F$37,MATCH(C124,Codes!$E$2:$E$37,0)),"OK")))))))</f>
        <v/>
      </c>
      <c r="B124" s="22"/>
      <c r="C124" s="22"/>
      <c r="D124" s="23"/>
      <c r="E124" s="24"/>
      <c r="F124" s="24"/>
      <c r="G124" s="23"/>
    </row>
    <row r="125" spans="1:7" x14ac:dyDescent="0.35">
      <c r="A125" s="21" t="str">
        <f>IF(COUNTA(B125:G125)=0,"",IF((IF(B125="","Vendor Name, ","")&amp;IF(C125="","State, ",""))&lt;&gt;"","Missing: "&amp;LEFT(IF(B125="","Vendor Name, ","")&amp;IF(C125="","State, ",""),LEN(IF(B125="","Vendor Name, ","")&amp;IF(C125="","State, ",""))-2),IF(COUNTIF($B$3:$B$202,B125)&gt;1,"Vendor "&amp;B125&amp;" is listed twice",IF(ISNA(MATCH(C125,Codes!$E$2:$E$37,0)),"Pick the State from the list",IF(E125="","OK",IF(LEN(TRIM(E125))&lt;&gt;15,"GSTIN must be 15 characters - or leave it blank",IF(LEFT(TRIM(E125),2)&lt;&gt;INDEX(Codes!$F$2:$F$37,MATCH(C125,Codes!$E$2:$E$37,0)),"GSTIN starts with "&amp;LEFT(TRIM(E125),2)&amp;" but "&amp;C125&amp;" is "&amp;INDEX(Codes!$F$2:$F$37,MATCH(C125,Codes!$E$2:$E$37,0)),"OK")))))))</f>
        <v/>
      </c>
      <c r="B125" s="22"/>
      <c r="C125" s="22"/>
      <c r="D125" s="23"/>
      <c r="E125" s="24"/>
      <c r="F125" s="24"/>
      <c r="G125" s="23"/>
    </row>
    <row r="126" spans="1:7" x14ac:dyDescent="0.35">
      <c r="A126" s="21" t="str">
        <f>IF(COUNTA(B126:G126)=0,"",IF((IF(B126="","Vendor Name, ","")&amp;IF(C126="","State, ",""))&lt;&gt;"","Missing: "&amp;LEFT(IF(B126="","Vendor Name, ","")&amp;IF(C126="","State, ",""),LEN(IF(B126="","Vendor Name, ","")&amp;IF(C126="","State, ",""))-2),IF(COUNTIF($B$3:$B$202,B126)&gt;1,"Vendor "&amp;B126&amp;" is listed twice",IF(ISNA(MATCH(C126,Codes!$E$2:$E$37,0)),"Pick the State from the list",IF(E126="","OK",IF(LEN(TRIM(E126))&lt;&gt;15,"GSTIN must be 15 characters - or leave it blank",IF(LEFT(TRIM(E126),2)&lt;&gt;INDEX(Codes!$F$2:$F$37,MATCH(C126,Codes!$E$2:$E$37,0)),"GSTIN starts with "&amp;LEFT(TRIM(E126),2)&amp;" but "&amp;C126&amp;" is "&amp;INDEX(Codes!$F$2:$F$37,MATCH(C126,Codes!$E$2:$E$37,0)),"OK")))))))</f>
        <v/>
      </c>
      <c r="B126" s="22"/>
      <c r="C126" s="22"/>
      <c r="D126" s="23"/>
      <c r="E126" s="24"/>
      <c r="F126" s="24"/>
      <c r="G126" s="23"/>
    </row>
    <row r="127" spans="1:7" x14ac:dyDescent="0.35">
      <c r="A127" s="21" t="str">
        <f>IF(COUNTA(B127:G127)=0,"",IF((IF(B127="","Vendor Name, ","")&amp;IF(C127="","State, ",""))&lt;&gt;"","Missing: "&amp;LEFT(IF(B127="","Vendor Name, ","")&amp;IF(C127="","State, ",""),LEN(IF(B127="","Vendor Name, ","")&amp;IF(C127="","State, ",""))-2),IF(COUNTIF($B$3:$B$202,B127)&gt;1,"Vendor "&amp;B127&amp;" is listed twice",IF(ISNA(MATCH(C127,Codes!$E$2:$E$37,0)),"Pick the State from the list",IF(E127="","OK",IF(LEN(TRIM(E127))&lt;&gt;15,"GSTIN must be 15 characters - or leave it blank",IF(LEFT(TRIM(E127),2)&lt;&gt;INDEX(Codes!$F$2:$F$37,MATCH(C127,Codes!$E$2:$E$37,0)),"GSTIN starts with "&amp;LEFT(TRIM(E127),2)&amp;" but "&amp;C127&amp;" is "&amp;INDEX(Codes!$F$2:$F$37,MATCH(C127,Codes!$E$2:$E$37,0)),"OK")))))))</f>
        <v/>
      </c>
      <c r="B127" s="22"/>
      <c r="C127" s="22"/>
      <c r="D127" s="23"/>
      <c r="E127" s="24"/>
      <c r="F127" s="24"/>
      <c r="G127" s="23"/>
    </row>
    <row r="128" spans="1:7" x14ac:dyDescent="0.35">
      <c r="A128" s="21" t="str">
        <f>IF(COUNTA(B128:G128)=0,"",IF((IF(B128="","Vendor Name, ","")&amp;IF(C128="","State, ",""))&lt;&gt;"","Missing: "&amp;LEFT(IF(B128="","Vendor Name, ","")&amp;IF(C128="","State, ",""),LEN(IF(B128="","Vendor Name, ","")&amp;IF(C128="","State, ",""))-2),IF(COUNTIF($B$3:$B$202,B128)&gt;1,"Vendor "&amp;B128&amp;" is listed twice",IF(ISNA(MATCH(C128,Codes!$E$2:$E$37,0)),"Pick the State from the list",IF(E128="","OK",IF(LEN(TRIM(E128))&lt;&gt;15,"GSTIN must be 15 characters - or leave it blank",IF(LEFT(TRIM(E128),2)&lt;&gt;INDEX(Codes!$F$2:$F$37,MATCH(C128,Codes!$E$2:$E$37,0)),"GSTIN starts with "&amp;LEFT(TRIM(E128),2)&amp;" but "&amp;C128&amp;" is "&amp;INDEX(Codes!$F$2:$F$37,MATCH(C128,Codes!$E$2:$E$37,0)),"OK")))))))</f>
        <v/>
      </c>
      <c r="B128" s="22"/>
      <c r="C128" s="22"/>
      <c r="D128" s="23"/>
      <c r="E128" s="24"/>
      <c r="F128" s="24"/>
      <c r="G128" s="23"/>
    </row>
    <row r="129" spans="1:7" x14ac:dyDescent="0.35">
      <c r="A129" s="21" t="str">
        <f>IF(COUNTA(B129:G129)=0,"",IF((IF(B129="","Vendor Name, ","")&amp;IF(C129="","State, ",""))&lt;&gt;"","Missing: "&amp;LEFT(IF(B129="","Vendor Name, ","")&amp;IF(C129="","State, ",""),LEN(IF(B129="","Vendor Name, ","")&amp;IF(C129="","State, ",""))-2),IF(COUNTIF($B$3:$B$202,B129)&gt;1,"Vendor "&amp;B129&amp;" is listed twice",IF(ISNA(MATCH(C129,Codes!$E$2:$E$37,0)),"Pick the State from the list",IF(E129="","OK",IF(LEN(TRIM(E129))&lt;&gt;15,"GSTIN must be 15 characters - or leave it blank",IF(LEFT(TRIM(E129),2)&lt;&gt;INDEX(Codes!$F$2:$F$37,MATCH(C129,Codes!$E$2:$E$37,0)),"GSTIN starts with "&amp;LEFT(TRIM(E129),2)&amp;" but "&amp;C129&amp;" is "&amp;INDEX(Codes!$F$2:$F$37,MATCH(C129,Codes!$E$2:$E$37,0)),"OK")))))))</f>
        <v/>
      </c>
      <c r="B129" s="22"/>
      <c r="C129" s="22"/>
      <c r="D129" s="23"/>
      <c r="E129" s="24"/>
      <c r="F129" s="24"/>
      <c r="G129" s="23"/>
    </row>
    <row r="130" spans="1:7" x14ac:dyDescent="0.35">
      <c r="A130" s="21" t="str">
        <f>IF(COUNTA(B130:G130)=0,"",IF((IF(B130="","Vendor Name, ","")&amp;IF(C130="","State, ",""))&lt;&gt;"","Missing: "&amp;LEFT(IF(B130="","Vendor Name, ","")&amp;IF(C130="","State, ",""),LEN(IF(B130="","Vendor Name, ","")&amp;IF(C130="","State, ",""))-2),IF(COUNTIF($B$3:$B$202,B130)&gt;1,"Vendor "&amp;B130&amp;" is listed twice",IF(ISNA(MATCH(C130,Codes!$E$2:$E$37,0)),"Pick the State from the list",IF(E130="","OK",IF(LEN(TRIM(E130))&lt;&gt;15,"GSTIN must be 15 characters - or leave it blank",IF(LEFT(TRIM(E130),2)&lt;&gt;INDEX(Codes!$F$2:$F$37,MATCH(C130,Codes!$E$2:$E$37,0)),"GSTIN starts with "&amp;LEFT(TRIM(E130),2)&amp;" but "&amp;C130&amp;" is "&amp;INDEX(Codes!$F$2:$F$37,MATCH(C130,Codes!$E$2:$E$37,0)),"OK")))))))</f>
        <v/>
      </c>
      <c r="B130" s="22"/>
      <c r="C130" s="22"/>
      <c r="D130" s="23"/>
      <c r="E130" s="24"/>
      <c r="F130" s="24"/>
      <c r="G130" s="23"/>
    </row>
    <row r="131" spans="1:7" x14ac:dyDescent="0.35">
      <c r="A131" s="21" t="str">
        <f>IF(COUNTA(B131:G131)=0,"",IF((IF(B131="","Vendor Name, ","")&amp;IF(C131="","State, ",""))&lt;&gt;"","Missing: "&amp;LEFT(IF(B131="","Vendor Name, ","")&amp;IF(C131="","State, ",""),LEN(IF(B131="","Vendor Name, ","")&amp;IF(C131="","State, ",""))-2),IF(COUNTIF($B$3:$B$202,B131)&gt;1,"Vendor "&amp;B131&amp;" is listed twice",IF(ISNA(MATCH(C131,Codes!$E$2:$E$37,0)),"Pick the State from the list",IF(E131="","OK",IF(LEN(TRIM(E131))&lt;&gt;15,"GSTIN must be 15 characters - or leave it blank",IF(LEFT(TRIM(E131),2)&lt;&gt;INDEX(Codes!$F$2:$F$37,MATCH(C131,Codes!$E$2:$E$37,0)),"GSTIN starts with "&amp;LEFT(TRIM(E131),2)&amp;" but "&amp;C131&amp;" is "&amp;INDEX(Codes!$F$2:$F$37,MATCH(C131,Codes!$E$2:$E$37,0)),"OK")))))))</f>
        <v/>
      </c>
      <c r="B131" s="22"/>
      <c r="C131" s="22"/>
      <c r="D131" s="23"/>
      <c r="E131" s="24"/>
      <c r="F131" s="24"/>
      <c r="G131" s="23"/>
    </row>
    <row r="132" spans="1:7" x14ac:dyDescent="0.35">
      <c r="A132" s="21" t="str">
        <f>IF(COUNTA(B132:G132)=0,"",IF((IF(B132="","Vendor Name, ","")&amp;IF(C132="","State, ",""))&lt;&gt;"","Missing: "&amp;LEFT(IF(B132="","Vendor Name, ","")&amp;IF(C132="","State, ",""),LEN(IF(B132="","Vendor Name, ","")&amp;IF(C132="","State, ",""))-2),IF(COUNTIF($B$3:$B$202,B132)&gt;1,"Vendor "&amp;B132&amp;" is listed twice",IF(ISNA(MATCH(C132,Codes!$E$2:$E$37,0)),"Pick the State from the list",IF(E132="","OK",IF(LEN(TRIM(E132))&lt;&gt;15,"GSTIN must be 15 characters - or leave it blank",IF(LEFT(TRIM(E132),2)&lt;&gt;INDEX(Codes!$F$2:$F$37,MATCH(C132,Codes!$E$2:$E$37,0)),"GSTIN starts with "&amp;LEFT(TRIM(E132),2)&amp;" but "&amp;C132&amp;" is "&amp;INDEX(Codes!$F$2:$F$37,MATCH(C132,Codes!$E$2:$E$37,0)),"OK")))))))</f>
        <v/>
      </c>
      <c r="B132" s="22"/>
      <c r="C132" s="22"/>
      <c r="D132" s="23"/>
      <c r="E132" s="24"/>
      <c r="F132" s="24"/>
      <c r="G132" s="23"/>
    </row>
    <row r="133" spans="1:7" x14ac:dyDescent="0.35">
      <c r="A133" s="21" t="str">
        <f>IF(COUNTA(B133:G133)=0,"",IF((IF(B133="","Vendor Name, ","")&amp;IF(C133="","State, ",""))&lt;&gt;"","Missing: "&amp;LEFT(IF(B133="","Vendor Name, ","")&amp;IF(C133="","State, ",""),LEN(IF(B133="","Vendor Name, ","")&amp;IF(C133="","State, ",""))-2),IF(COUNTIF($B$3:$B$202,B133)&gt;1,"Vendor "&amp;B133&amp;" is listed twice",IF(ISNA(MATCH(C133,Codes!$E$2:$E$37,0)),"Pick the State from the list",IF(E133="","OK",IF(LEN(TRIM(E133))&lt;&gt;15,"GSTIN must be 15 characters - or leave it blank",IF(LEFT(TRIM(E133),2)&lt;&gt;INDEX(Codes!$F$2:$F$37,MATCH(C133,Codes!$E$2:$E$37,0)),"GSTIN starts with "&amp;LEFT(TRIM(E133),2)&amp;" but "&amp;C133&amp;" is "&amp;INDEX(Codes!$F$2:$F$37,MATCH(C133,Codes!$E$2:$E$37,0)),"OK")))))))</f>
        <v/>
      </c>
      <c r="B133" s="22"/>
      <c r="C133" s="22"/>
      <c r="D133" s="23"/>
      <c r="E133" s="24"/>
      <c r="F133" s="24"/>
      <c r="G133" s="23"/>
    </row>
    <row r="134" spans="1:7" x14ac:dyDescent="0.35">
      <c r="A134" s="21" t="str">
        <f>IF(COUNTA(B134:G134)=0,"",IF((IF(B134="","Vendor Name, ","")&amp;IF(C134="","State, ",""))&lt;&gt;"","Missing: "&amp;LEFT(IF(B134="","Vendor Name, ","")&amp;IF(C134="","State, ",""),LEN(IF(B134="","Vendor Name, ","")&amp;IF(C134="","State, ",""))-2),IF(COUNTIF($B$3:$B$202,B134)&gt;1,"Vendor "&amp;B134&amp;" is listed twice",IF(ISNA(MATCH(C134,Codes!$E$2:$E$37,0)),"Pick the State from the list",IF(E134="","OK",IF(LEN(TRIM(E134))&lt;&gt;15,"GSTIN must be 15 characters - or leave it blank",IF(LEFT(TRIM(E134),2)&lt;&gt;INDEX(Codes!$F$2:$F$37,MATCH(C134,Codes!$E$2:$E$37,0)),"GSTIN starts with "&amp;LEFT(TRIM(E134),2)&amp;" but "&amp;C134&amp;" is "&amp;INDEX(Codes!$F$2:$F$37,MATCH(C134,Codes!$E$2:$E$37,0)),"OK")))))))</f>
        <v/>
      </c>
      <c r="B134" s="22"/>
      <c r="C134" s="22"/>
      <c r="D134" s="23"/>
      <c r="E134" s="24"/>
      <c r="F134" s="24"/>
      <c r="G134" s="23"/>
    </row>
    <row r="135" spans="1:7" x14ac:dyDescent="0.35">
      <c r="A135" s="21" t="str">
        <f>IF(COUNTA(B135:G135)=0,"",IF((IF(B135="","Vendor Name, ","")&amp;IF(C135="","State, ",""))&lt;&gt;"","Missing: "&amp;LEFT(IF(B135="","Vendor Name, ","")&amp;IF(C135="","State, ",""),LEN(IF(B135="","Vendor Name, ","")&amp;IF(C135="","State, ",""))-2),IF(COUNTIF($B$3:$B$202,B135)&gt;1,"Vendor "&amp;B135&amp;" is listed twice",IF(ISNA(MATCH(C135,Codes!$E$2:$E$37,0)),"Pick the State from the list",IF(E135="","OK",IF(LEN(TRIM(E135))&lt;&gt;15,"GSTIN must be 15 characters - or leave it blank",IF(LEFT(TRIM(E135),2)&lt;&gt;INDEX(Codes!$F$2:$F$37,MATCH(C135,Codes!$E$2:$E$37,0)),"GSTIN starts with "&amp;LEFT(TRIM(E135),2)&amp;" but "&amp;C135&amp;" is "&amp;INDEX(Codes!$F$2:$F$37,MATCH(C135,Codes!$E$2:$E$37,0)),"OK")))))))</f>
        <v/>
      </c>
      <c r="B135" s="22"/>
      <c r="C135" s="22"/>
      <c r="D135" s="23"/>
      <c r="E135" s="24"/>
      <c r="F135" s="24"/>
      <c r="G135" s="23"/>
    </row>
    <row r="136" spans="1:7" x14ac:dyDescent="0.35">
      <c r="A136" s="21" t="str">
        <f>IF(COUNTA(B136:G136)=0,"",IF((IF(B136="","Vendor Name, ","")&amp;IF(C136="","State, ",""))&lt;&gt;"","Missing: "&amp;LEFT(IF(B136="","Vendor Name, ","")&amp;IF(C136="","State, ",""),LEN(IF(B136="","Vendor Name, ","")&amp;IF(C136="","State, ",""))-2),IF(COUNTIF($B$3:$B$202,B136)&gt;1,"Vendor "&amp;B136&amp;" is listed twice",IF(ISNA(MATCH(C136,Codes!$E$2:$E$37,0)),"Pick the State from the list",IF(E136="","OK",IF(LEN(TRIM(E136))&lt;&gt;15,"GSTIN must be 15 characters - or leave it blank",IF(LEFT(TRIM(E136),2)&lt;&gt;INDEX(Codes!$F$2:$F$37,MATCH(C136,Codes!$E$2:$E$37,0)),"GSTIN starts with "&amp;LEFT(TRIM(E136),2)&amp;" but "&amp;C136&amp;" is "&amp;INDEX(Codes!$F$2:$F$37,MATCH(C136,Codes!$E$2:$E$37,0)),"OK")))))))</f>
        <v/>
      </c>
      <c r="B136" s="22"/>
      <c r="C136" s="22"/>
      <c r="D136" s="23"/>
      <c r="E136" s="24"/>
      <c r="F136" s="24"/>
      <c r="G136" s="23"/>
    </row>
    <row r="137" spans="1:7" x14ac:dyDescent="0.35">
      <c r="A137" s="21" t="str">
        <f>IF(COUNTA(B137:G137)=0,"",IF((IF(B137="","Vendor Name, ","")&amp;IF(C137="","State, ",""))&lt;&gt;"","Missing: "&amp;LEFT(IF(B137="","Vendor Name, ","")&amp;IF(C137="","State, ",""),LEN(IF(B137="","Vendor Name, ","")&amp;IF(C137="","State, ",""))-2),IF(COUNTIF($B$3:$B$202,B137)&gt;1,"Vendor "&amp;B137&amp;" is listed twice",IF(ISNA(MATCH(C137,Codes!$E$2:$E$37,0)),"Pick the State from the list",IF(E137="","OK",IF(LEN(TRIM(E137))&lt;&gt;15,"GSTIN must be 15 characters - or leave it blank",IF(LEFT(TRIM(E137),2)&lt;&gt;INDEX(Codes!$F$2:$F$37,MATCH(C137,Codes!$E$2:$E$37,0)),"GSTIN starts with "&amp;LEFT(TRIM(E137),2)&amp;" but "&amp;C137&amp;" is "&amp;INDEX(Codes!$F$2:$F$37,MATCH(C137,Codes!$E$2:$E$37,0)),"OK")))))))</f>
        <v/>
      </c>
      <c r="B137" s="22"/>
      <c r="C137" s="22"/>
      <c r="D137" s="23"/>
      <c r="E137" s="24"/>
      <c r="F137" s="24"/>
      <c r="G137" s="23"/>
    </row>
    <row r="138" spans="1:7" x14ac:dyDescent="0.35">
      <c r="A138" s="21" t="str">
        <f>IF(COUNTA(B138:G138)=0,"",IF((IF(B138="","Vendor Name, ","")&amp;IF(C138="","State, ",""))&lt;&gt;"","Missing: "&amp;LEFT(IF(B138="","Vendor Name, ","")&amp;IF(C138="","State, ",""),LEN(IF(B138="","Vendor Name, ","")&amp;IF(C138="","State, ",""))-2),IF(COUNTIF($B$3:$B$202,B138)&gt;1,"Vendor "&amp;B138&amp;" is listed twice",IF(ISNA(MATCH(C138,Codes!$E$2:$E$37,0)),"Pick the State from the list",IF(E138="","OK",IF(LEN(TRIM(E138))&lt;&gt;15,"GSTIN must be 15 characters - or leave it blank",IF(LEFT(TRIM(E138),2)&lt;&gt;INDEX(Codes!$F$2:$F$37,MATCH(C138,Codes!$E$2:$E$37,0)),"GSTIN starts with "&amp;LEFT(TRIM(E138),2)&amp;" but "&amp;C138&amp;" is "&amp;INDEX(Codes!$F$2:$F$37,MATCH(C138,Codes!$E$2:$E$37,0)),"OK")))))))</f>
        <v/>
      </c>
      <c r="B138" s="22"/>
      <c r="C138" s="22"/>
      <c r="D138" s="23"/>
      <c r="E138" s="24"/>
      <c r="F138" s="24"/>
      <c r="G138" s="23"/>
    </row>
    <row r="139" spans="1:7" x14ac:dyDescent="0.35">
      <c r="A139" s="21" t="str">
        <f>IF(COUNTA(B139:G139)=0,"",IF((IF(B139="","Vendor Name, ","")&amp;IF(C139="","State, ",""))&lt;&gt;"","Missing: "&amp;LEFT(IF(B139="","Vendor Name, ","")&amp;IF(C139="","State, ",""),LEN(IF(B139="","Vendor Name, ","")&amp;IF(C139="","State, ",""))-2),IF(COUNTIF($B$3:$B$202,B139)&gt;1,"Vendor "&amp;B139&amp;" is listed twice",IF(ISNA(MATCH(C139,Codes!$E$2:$E$37,0)),"Pick the State from the list",IF(E139="","OK",IF(LEN(TRIM(E139))&lt;&gt;15,"GSTIN must be 15 characters - or leave it blank",IF(LEFT(TRIM(E139),2)&lt;&gt;INDEX(Codes!$F$2:$F$37,MATCH(C139,Codes!$E$2:$E$37,0)),"GSTIN starts with "&amp;LEFT(TRIM(E139),2)&amp;" but "&amp;C139&amp;" is "&amp;INDEX(Codes!$F$2:$F$37,MATCH(C139,Codes!$E$2:$E$37,0)),"OK")))))))</f>
        <v/>
      </c>
      <c r="B139" s="22"/>
      <c r="C139" s="22"/>
      <c r="D139" s="23"/>
      <c r="E139" s="24"/>
      <c r="F139" s="24"/>
      <c r="G139" s="23"/>
    </row>
    <row r="140" spans="1:7" x14ac:dyDescent="0.35">
      <c r="A140" s="21" t="str">
        <f>IF(COUNTA(B140:G140)=0,"",IF((IF(B140="","Vendor Name, ","")&amp;IF(C140="","State, ",""))&lt;&gt;"","Missing: "&amp;LEFT(IF(B140="","Vendor Name, ","")&amp;IF(C140="","State, ",""),LEN(IF(B140="","Vendor Name, ","")&amp;IF(C140="","State, ",""))-2),IF(COUNTIF($B$3:$B$202,B140)&gt;1,"Vendor "&amp;B140&amp;" is listed twice",IF(ISNA(MATCH(C140,Codes!$E$2:$E$37,0)),"Pick the State from the list",IF(E140="","OK",IF(LEN(TRIM(E140))&lt;&gt;15,"GSTIN must be 15 characters - or leave it blank",IF(LEFT(TRIM(E140),2)&lt;&gt;INDEX(Codes!$F$2:$F$37,MATCH(C140,Codes!$E$2:$E$37,0)),"GSTIN starts with "&amp;LEFT(TRIM(E140),2)&amp;" but "&amp;C140&amp;" is "&amp;INDEX(Codes!$F$2:$F$37,MATCH(C140,Codes!$E$2:$E$37,0)),"OK")))))))</f>
        <v/>
      </c>
      <c r="B140" s="22"/>
      <c r="C140" s="22"/>
      <c r="D140" s="23"/>
      <c r="E140" s="24"/>
      <c r="F140" s="24"/>
      <c r="G140" s="23"/>
    </row>
    <row r="141" spans="1:7" x14ac:dyDescent="0.35">
      <c r="A141" s="21" t="str">
        <f>IF(COUNTA(B141:G141)=0,"",IF((IF(B141="","Vendor Name, ","")&amp;IF(C141="","State, ",""))&lt;&gt;"","Missing: "&amp;LEFT(IF(B141="","Vendor Name, ","")&amp;IF(C141="","State, ",""),LEN(IF(B141="","Vendor Name, ","")&amp;IF(C141="","State, ",""))-2),IF(COUNTIF($B$3:$B$202,B141)&gt;1,"Vendor "&amp;B141&amp;" is listed twice",IF(ISNA(MATCH(C141,Codes!$E$2:$E$37,0)),"Pick the State from the list",IF(E141="","OK",IF(LEN(TRIM(E141))&lt;&gt;15,"GSTIN must be 15 characters - or leave it blank",IF(LEFT(TRIM(E141),2)&lt;&gt;INDEX(Codes!$F$2:$F$37,MATCH(C141,Codes!$E$2:$E$37,0)),"GSTIN starts with "&amp;LEFT(TRIM(E141),2)&amp;" but "&amp;C141&amp;" is "&amp;INDEX(Codes!$F$2:$F$37,MATCH(C141,Codes!$E$2:$E$37,0)),"OK")))))))</f>
        <v/>
      </c>
      <c r="B141" s="22"/>
      <c r="C141" s="22"/>
      <c r="D141" s="23"/>
      <c r="E141" s="24"/>
      <c r="F141" s="24"/>
      <c r="G141" s="23"/>
    </row>
    <row r="142" spans="1:7" x14ac:dyDescent="0.35">
      <c r="A142" s="21" t="str">
        <f>IF(COUNTA(B142:G142)=0,"",IF((IF(B142="","Vendor Name, ","")&amp;IF(C142="","State, ",""))&lt;&gt;"","Missing: "&amp;LEFT(IF(B142="","Vendor Name, ","")&amp;IF(C142="","State, ",""),LEN(IF(B142="","Vendor Name, ","")&amp;IF(C142="","State, ",""))-2),IF(COUNTIF($B$3:$B$202,B142)&gt;1,"Vendor "&amp;B142&amp;" is listed twice",IF(ISNA(MATCH(C142,Codes!$E$2:$E$37,0)),"Pick the State from the list",IF(E142="","OK",IF(LEN(TRIM(E142))&lt;&gt;15,"GSTIN must be 15 characters - or leave it blank",IF(LEFT(TRIM(E142),2)&lt;&gt;INDEX(Codes!$F$2:$F$37,MATCH(C142,Codes!$E$2:$E$37,0)),"GSTIN starts with "&amp;LEFT(TRIM(E142),2)&amp;" but "&amp;C142&amp;" is "&amp;INDEX(Codes!$F$2:$F$37,MATCH(C142,Codes!$E$2:$E$37,0)),"OK")))))))</f>
        <v/>
      </c>
      <c r="B142" s="22"/>
      <c r="C142" s="22"/>
      <c r="D142" s="23"/>
      <c r="E142" s="24"/>
      <c r="F142" s="24"/>
      <c r="G142" s="23"/>
    </row>
    <row r="143" spans="1:7" x14ac:dyDescent="0.35">
      <c r="A143" s="21" t="str">
        <f>IF(COUNTA(B143:G143)=0,"",IF((IF(B143="","Vendor Name, ","")&amp;IF(C143="","State, ",""))&lt;&gt;"","Missing: "&amp;LEFT(IF(B143="","Vendor Name, ","")&amp;IF(C143="","State, ",""),LEN(IF(B143="","Vendor Name, ","")&amp;IF(C143="","State, ",""))-2),IF(COUNTIF($B$3:$B$202,B143)&gt;1,"Vendor "&amp;B143&amp;" is listed twice",IF(ISNA(MATCH(C143,Codes!$E$2:$E$37,0)),"Pick the State from the list",IF(E143="","OK",IF(LEN(TRIM(E143))&lt;&gt;15,"GSTIN must be 15 characters - or leave it blank",IF(LEFT(TRIM(E143),2)&lt;&gt;INDEX(Codes!$F$2:$F$37,MATCH(C143,Codes!$E$2:$E$37,0)),"GSTIN starts with "&amp;LEFT(TRIM(E143),2)&amp;" but "&amp;C143&amp;" is "&amp;INDEX(Codes!$F$2:$F$37,MATCH(C143,Codes!$E$2:$E$37,0)),"OK")))))))</f>
        <v/>
      </c>
      <c r="B143" s="22"/>
      <c r="C143" s="22"/>
      <c r="D143" s="23"/>
      <c r="E143" s="24"/>
      <c r="F143" s="24"/>
      <c r="G143" s="23"/>
    </row>
    <row r="144" spans="1:7" x14ac:dyDescent="0.35">
      <c r="A144" s="21" t="str">
        <f>IF(COUNTA(B144:G144)=0,"",IF((IF(B144="","Vendor Name, ","")&amp;IF(C144="","State, ",""))&lt;&gt;"","Missing: "&amp;LEFT(IF(B144="","Vendor Name, ","")&amp;IF(C144="","State, ",""),LEN(IF(B144="","Vendor Name, ","")&amp;IF(C144="","State, ",""))-2),IF(COUNTIF($B$3:$B$202,B144)&gt;1,"Vendor "&amp;B144&amp;" is listed twice",IF(ISNA(MATCH(C144,Codes!$E$2:$E$37,0)),"Pick the State from the list",IF(E144="","OK",IF(LEN(TRIM(E144))&lt;&gt;15,"GSTIN must be 15 characters - or leave it blank",IF(LEFT(TRIM(E144),2)&lt;&gt;INDEX(Codes!$F$2:$F$37,MATCH(C144,Codes!$E$2:$E$37,0)),"GSTIN starts with "&amp;LEFT(TRIM(E144),2)&amp;" but "&amp;C144&amp;" is "&amp;INDEX(Codes!$F$2:$F$37,MATCH(C144,Codes!$E$2:$E$37,0)),"OK")))))))</f>
        <v/>
      </c>
      <c r="B144" s="22"/>
      <c r="C144" s="22"/>
      <c r="D144" s="23"/>
      <c r="E144" s="24"/>
      <c r="F144" s="24"/>
      <c r="G144" s="23"/>
    </row>
    <row r="145" spans="1:7" x14ac:dyDescent="0.35">
      <c r="A145" s="21" t="str">
        <f>IF(COUNTA(B145:G145)=0,"",IF((IF(B145="","Vendor Name, ","")&amp;IF(C145="","State, ",""))&lt;&gt;"","Missing: "&amp;LEFT(IF(B145="","Vendor Name, ","")&amp;IF(C145="","State, ",""),LEN(IF(B145="","Vendor Name, ","")&amp;IF(C145="","State, ",""))-2),IF(COUNTIF($B$3:$B$202,B145)&gt;1,"Vendor "&amp;B145&amp;" is listed twice",IF(ISNA(MATCH(C145,Codes!$E$2:$E$37,0)),"Pick the State from the list",IF(E145="","OK",IF(LEN(TRIM(E145))&lt;&gt;15,"GSTIN must be 15 characters - or leave it blank",IF(LEFT(TRIM(E145),2)&lt;&gt;INDEX(Codes!$F$2:$F$37,MATCH(C145,Codes!$E$2:$E$37,0)),"GSTIN starts with "&amp;LEFT(TRIM(E145),2)&amp;" but "&amp;C145&amp;" is "&amp;INDEX(Codes!$F$2:$F$37,MATCH(C145,Codes!$E$2:$E$37,0)),"OK")))))))</f>
        <v/>
      </c>
      <c r="B145" s="22"/>
      <c r="C145" s="22"/>
      <c r="D145" s="23"/>
      <c r="E145" s="24"/>
      <c r="F145" s="24"/>
      <c r="G145" s="23"/>
    </row>
    <row r="146" spans="1:7" x14ac:dyDescent="0.35">
      <c r="A146" s="21" t="str">
        <f>IF(COUNTA(B146:G146)=0,"",IF((IF(B146="","Vendor Name, ","")&amp;IF(C146="","State, ",""))&lt;&gt;"","Missing: "&amp;LEFT(IF(B146="","Vendor Name, ","")&amp;IF(C146="","State, ",""),LEN(IF(B146="","Vendor Name, ","")&amp;IF(C146="","State, ",""))-2),IF(COUNTIF($B$3:$B$202,B146)&gt;1,"Vendor "&amp;B146&amp;" is listed twice",IF(ISNA(MATCH(C146,Codes!$E$2:$E$37,0)),"Pick the State from the list",IF(E146="","OK",IF(LEN(TRIM(E146))&lt;&gt;15,"GSTIN must be 15 characters - or leave it blank",IF(LEFT(TRIM(E146),2)&lt;&gt;INDEX(Codes!$F$2:$F$37,MATCH(C146,Codes!$E$2:$E$37,0)),"GSTIN starts with "&amp;LEFT(TRIM(E146),2)&amp;" but "&amp;C146&amp;" is "&amp;INDEX(Codes!$F$2:$F$37,MATCH(C146,Codes!$E$2:$E$37,0)),"OK")))))))</f>
        <v/>
      </c>
      <c r="B146" s="22"/>
      <c r="C146" s="22"/>
      <c r="D146" s="23"/>
      <c r="E146" s="24"/>
      <c r="F146" s="24"/>
      <c r="G146" s="23"/>
    </row>
    <row r="147" spans="1:7" x14ac:dyDescent="0.35">
      <c r="A147" s="21" t="str">
        <f>IF(COUNTA(B147:G147)=0,"",IF((IF(B147="","Vendor Name, ","")&amp;IF(C147="","State, ",""))&lt;&gt;"","Missing: "&amp;LEFT(IF(B147="","Vendor Name, ","")&amp;IF(C147="","State, ",""),LEN(IF(B147="","Vendor Name, ","")&amp;IF(C147="","State, ",""))-2),IF(COUNTIF($B$3:$B$202,B147)&gt;1,"Vendor "&amp;B147&amp;" is listed twice",IF(ISNA(MATCH(C147,Codes!$E$2:$E$37,0)),"Pick the State from the list",IF(E147="","OK",IF(LEN(TRIM(E147))&lt;&gt;15,"GSTIN must be 15 characters - or leave it blank",IF(LEFT(TRIM(E147),2)&lt;&gt;INDEX(Codes!$F$2:$F$37,MATCH(C147,Codes!$E$2:$E$37,0)),"GSTIN starts with "&amp;LEFT(TRIM(E147),2)&amp;" but "&amp;C147&amp;" is "&amp;INDEX(Codes!$F$2:$F$37,MATCH(C147,Codes!$E$2:$E$37,0)),"OK")))))))</f>
        <v/>
      </c>
      <c r="B147" s="22"/>
      <c r="C147" s="22"/>
      <c r="D147" s="23"/>
      <c r="E147" s="24"/>
      <c r="F147" s="24"/>
      <c r="G147" s="23"/>
    </row>
    <row r="148" spans="1:7" x14ac:dyDescent="0.35">
      <c r="A148" s="21" t="str">
        <f>IF(COUNTA(B148:G148)=0,"",IF((IF(B148="","Vendor Name, ","")&amp;IF(C148="","State, ",""))&lt;&gt;"","Missing: "&amp;LEFT(IF(B148="","Vendor Name, ","")&amp;IF(C148="","State, ",""),LEN(IF(B148="","Vendor Name, ","")&amp;IF(C148="","State, ",""))-2),IF(COUNTIF($B$3:$B$202,B148)&gt;1,"Vendor "&amp;B148&amp;" is listed twice",IF(ISNA(MATCH(C148,Codes!$E$2:$E$37,0)),"Pick the State from the list",IF(E148="","OK",IF(LEN(TRIM(E148))&lt;&gt;15,"GSTIN must be 15 characters - or leave it blank",IF(LEFT(TRIM(E148),2)&lt;&gt;INDEX(Codes!$F$2:$F$37,MATCH(C148,Codes!$E$2:$E$37,0)),"GSTIN starts with "&amp;LEFT(TRIM(E148),2)&amp;" but "&amp;C148&amp;" is "&amp;INDEX(Codes!$F$2:$F$37,MATCH(C148,Codes!$E$2:$E$37,0)),"OK")))))))</f>
        <v/>
      </c>
      <c r="B148" s="22"/>
      <c r="C148" s="22"/>
      <c r="D148" s="23"/>
      <c r="E148" s="24"/>
      <c r="F148" s="24"/>
      <c r="G148" s="23"/>
    </row>
    <row r="149" spans="1:7" x14ac:dyDescent="0.35">
      <c r="A149" s="21" t="str">
        <f>IF(COUNTA(B149:G149)=0,"",IF((IF(B149="","Vendor Name, ","")&amp;IF(C149="","State, ",""))&lt;&gt;"","Missing: "&amp;LEFT(IF(B149="","Vendor Name, ","")&amp;IF(C149="","State, ",""),LEN(IF(B149="","Vendor Name, ","")&amp;IF(C149="","State, ",""))-2),IF(COUNTIF($B$3:$B$202,B149)&gt;1,"Vendor "&amp;B149&amp;" is listed twice",IF(ISNA(MATCH(C149,Codes!$E$2:$E$37,0)),"Pick the State from the list",IF(E149="","OK",IF(LEN(TRIM(E149))&lt;&gt;15,"GSTIN must be 15 characters - or leave it blank",IF(LEFT(TRIM(E149),2)&lt;&gt;INDEX(Codes!$F$2:$F$37,MATCH(C149,Codes!$E$2:$E$37,0)),"GSTIN starts with "&amp;LEFT(TRIM(E149),2)&amp;" but "&amp;C149&amp;" is "&amp;INDEX(Codes!$F$2:$F$37,MATCH(C149,Codes!$E$2:$E$37,0)),"OK")))))))</f>
        <v/>
      </c>
      <c r="B149" s="22"/>
      <c r="C149" s="22"/>
      <c r="D149" s="23"/>
      <c r="E149" s="24"/>
      <c r="F149" s="24"/>
      <c r="G149" s="23"/>
    </row>
    <row r="150" spans="1:7" x14ac:dyDescent="0.35">
      <c r="A150" s="21" t="str">
        <f>IF(COUNTA(B150:G150)=0,"",IF((IF(B150="","Vendor Name, ","")&amp;IF(C150="","State, ",""))&lt;&gt;"","Missing: "&amp;LEFT(IF(B150="","Vendor Name, ","")&amp;IF(C150="","State, ",""),LEN(IF(B150="","Vendor Name, ","")&amp;IF(C150="","State, ",""))-2),IF(COUNTIF($B$3:$B$202,B150)&gt;1,"Vendor "&amp;B150&amp;" is listed twice",IF(ISNA(MATCH(C150,Codes!$E$2:$E$37,0)),"Pick the State from the list",IF(E150="","OK",IF(LEN(TRIM(E150))&lt;&gt;15,"GSTIN must be 15 characters - or leave it blank",IF(LEFT(TRIM(E150),2)&lt;&gt;INDEX(Codes!$F$2:$F$37,MATCH(C150,Codes!$E$2:$E$37,0)),"GSTIN starts with "&amp;LEFT(TRIM(E150),2)&amp;" but "&amp;C150&amp;" is "&amp;INDEX(Codes!$F$2:$F$37,MATCH(C150,Codes!$E$2:$E$37,0)),"OK")))))))</f>
        <v/>
      </c>
      <c r="B150" s="22"/>
      <c r="C150" s="22"/>
      <c r="D150" s="23"/>
      <c r="E150" s="24"/>
      <c r="F150" s="24"/>
      <c r="G150" s="23"/>
    </row>
    <row r="151" spans="1:7" x14ac:dyDescent="0.35">
      <c r="A151" s="21" t="str">
        <f>IF(COUNTA(B151:G151)=0,"",IF((IF(B151="","Vendor Name, ","")&amp;IF(C151="","State, ",""))&lt;&gt;"","Missing: "&amp;LEFT(IF(B151="","Vendor Name, ","")&amp;IF(C151="","State, ",""),LEN(IF(B151="","Vendor Name, ","")&amp;IF(C151="","State, ",""))-2),IF(COUNTIF($B$3:$B$202,B151)&gt;1,"Vendor "&amp;B151&amp;" is listed twice",IF(ISNA(MATCH(C151,Codes!$E$2:$E$37,0)),"Pick the State from the list",IF(E151="","OK",IF(LEN(TRIM(E151))&lt;&gt;15,"GSTIN must be 15 characters - or leave it blank",IF(LEFT(TRIM(E151),2)&lt;&gt;INDEX(Codes!$F$2:$F$37,MATCH(C151,Codes!$E$2:$E$37,0)),"GSTIN starts with "&amp;LEFT(TRIM(E151),2)&amp;" but "&amp;C151&amp;" is "&amp;INDEX(Codes!$F$2:$F$37,MATCH(C151,Codes!$E$2:$E$37,0)),"OK")))))))</f>
        <v/>
      </c>
      <c r="B151" s="22"/>
      <c r="C151" s="22"/>
      <c r="D151" s="23"/>
      <c r="E151" s="24"/>
      <c r="F151" s="24"/>
      <c r="G151" s="23"/>
    </row>
    <row r="152" spans="1:7" x14ac:dyDescent="0.35">
      <c r="A152" s="21" t="str">
        <f>IF(COUNTA(B152:G152)=0,"",IF((IF(B152="","Vendor Name, ","")&amp;IF(C152="","State, ",""))&lt;&gt;"","Missing: "&amp;LEFT(IF(B152="","Vendor Name, ","")&amp;IF(C152="","State, ",""),LEN(IF(B152="","Vendor Name, ","")&amp;IF(C152="","State, ",""))-2),IF(COUNTIF($B$3:$B$202,B152)&gt;1,"Vendor "&amp;B152&amp;" is listed twice",IF(ISNA(MATCH(C152,Codes!$E$2:$E$37,0)),"Pick the State from the list",IF(E152="","OK",IF(LEN(TRIM(E152))&lt;&gt;15,"GSTIN must be 15 characters - or leave it blank",IF(LEFT(TRIM(E152),2)&lt;&gt;INDEX(Codes!$F$2:$F$37,MATCH(C152,Codes!$E$2:$E$37,0)),"GSTIN starts with "&amp;LEFT(TRIM(E152),2)&amp;" but "&amp;C152&amp;" is "&amp;INDEX(Codes!$F$2:$F$37,MATCH(C152,Codes!$E$2:$E$37,0)),"OK")))))))</f>
        <v/>
      </c>
      <c r="B152" s="22"/>
      <c r="C152" s="22"/>
      <c r="D152" s="23"/>
      <c r="E152" s="24"/>
      <c r="F152" s="24"/>
      <c r="G152" s="23"/>
    </row>
    <row r="153" spans="1:7" x14ac:dyDescent="0.35">
      <c r="A153" s="21" t="str">
        <f>IF(COUNTA(B153:G153)=0,"",IF((IF(B153="","Vendor Name, ","")&amp;IF(C153="","State, ",""))&lt;&gt;"","Missing: "&amp;LEFT(IF(B153="","Vendor Name, ","")&amp;IF(C153="","State, ",""),LEN(IF(B153="","Vendor Name, ","")&amp;IF(C153="","State, ",""))-2),IF(COUNTIF($B$3:$B$202,B153)&gt;1,"Vendor "&amp;B153&amp;" is listed twice",IF(ISNA(MATCH(C153,Codes!$E$2:$E$37,0)),"Pick the State from the list",IF(E153="","OK",IF(LEN(TRIM(E153))&lt;&gt;15,"GSTIN must be 15 characters - or leave it blank",IF(LEFT(TRIM(E153),2)&lt;&gt;INDEX(Codes!$F$2:$F$37,MATCH(C153,Codes!$E$2:$E$37,0)),"GSTIN starts with "&amp;LEFT(TRIM(E153),2)&amp;" but "&amp;C153&amp;" is "&amp;INDEX(Codes!$F$2:$F$37,MATCH(C153,Codes!$E$2:$E$37,0)),"OK")))))))</f>
        <v/>
      </c>
      <c r="B153" s="22"/>
      <c r="C153" s="22"/>
      <c r="D153" s="23"/>
      <c r="E153" s="24"/>
      <c r="F153" s="24"/>
      <c r="G153" s="23"/>
    </row>
    <row r="154" spans="1:7" x14ac:dyDescent="0.35">
      <c r="A154" s="21" t="str">
        <f>IF(COUNTA(B154:G154)=0,"",IF((IF(B154="","Vendor Name, ","")&amp;IF(C154="","State, ",""))&lt;&gt;"","Missing: "&amp;LEFT(IF(B154="","Vendor Name, ","")&amp;IF(C154="","State, ",""),LEN(IF(B154="","Vendor Name, ","")&amp;IF(C154="","State, ",""))-2),IF(COUNTIF($B$3:$B$202,B154)&gt;1,"Vendor "&amp;B154&amp;" is listed twice",IF(ISNA(MATCH(C154,Codes!$E$2:$E$37,0)),"Pick the State from the list",IF(E154="","OK",IF(LEN(TRIM(E154))&lt;&gt;15,"GSTIN must be 15 characters - or leave it blank",IF(LEFT(TRIM(E154),2)&lt;&gt;INDEX(Codes!$F$2:$F$37,MATCH(C154,Codes!$E$2:$E$37,0)),"GSTIN starts with "&amp;LEFT(TRIM(E154),2)&amp;" but "&amp;C154&amp;" is "&amp;INDEX(Codes!$F$2:$F$37,MATCH(C154,Codes!$E$2:$E$37,0)),"OK")))))))</f>
        <v/>
      </c>
      <c r="B154" s="22"/>
      <c r="C154" s="22"/>
      <c r="D154" s="23"/>
      <c r="E154" s="24"/>
      <c r="F154" s="24"/>
      <c r="G154" s="23"/>
    </row>
    <row r="155" spans="1:7" x14ac:dyDescent="0.35">
      <c r="A155" s="21" t="str">
        <f>IF(COUNTA(B155:G155)=0,"",IF((IF(B155="","Vendor Name, ","")&amp;IF(C155="","State, ",""))&lt;&gt;"","Missing: "&amp;LEFT(IF(B155="","Vendor Name, ","")&amp;IF(C155="","State, ",""),LEN(IF(B155="","Vendor Name, ","")&amp;IF(C155="","State, ",""))-2),IF(COUNTIF($B$3:$B$202,B155)&gt;1,"Vendor "&amp;B155&amp;" is listed twice",IF(ISNA(MATCH(C155,Codes!$E$2:$E$37,0)),"Pick the State from the list",IF(E155="","OK",IF(LEN(TRIM(E155))&lt;&gt;15,"GSTIN must be 15 characters - or leave it blank",IF(LEFT(TRIM(E155),2)&lt;&gt;INDEX(Codes!$F$2:$F$37,MATCH(C155,Codes!$E$2:$E$37,0)),"GSTIN starts with "&amp;LEFT(TRIM(E155),2)&amp;" but "&amp;C155&amp;" is "&amp;INDEX(Codes!$F$2:$F$37,MATCH(C155,Codes!$E$2:$E$37,0)),"OK")))))))</f>
        <v/>
      </c>
      <c r="B155" s="22"/>
      <c r="C155" s="22"/>
      <c r="D155" s="23"/>
      <c r="E155" s="24"/>
      <c r="F155" s="24"/>
      <c r="G155" s="23"/>
    </row>
    <row r="156" spans="1:7" x14ac:dyDescent="0.35">
      <c r="A156" s="21" t="str">
        <f>IF(COUNTA(B156:G156)=0,"",IF((IF(B156="","Vendor Name, ","")&amp;IF(C156="","State, ",""))&lt;&gt;"","Missing: "&amp;LEFT(IF(B156="","Vendor Name, ","")&amp;IF(C156="","State, ",""),LEN(IF(B156="","Vendor Name, ","")&amp;IF(C156="","State, ",""))-2),IF(COUNTIF($B$3:$B$202,B156)&gt;1,"Vendor "&amp;B156&amp;" is listed twice",IF(ISNA(MATCH(C156,Codes!$E$2:$E$37,0)),"Pick the State from the list",IF(E156="","OK",IF(LEN(TRIM(E156))&lt;&gt;15,"GSTIN must be 15 characters - or leave it blank",IF(LEFT(TRIM(E156),2)&lt;&gt;INDEX(Codes!$F$2:$F$37,MATCH(C156,Codes!$E$2:$E$37,0)),"GSTIN starts with "&amp;LEFT(TRIM(E156),2)&amp;" but "&amp;C156&amp;" is "&amp;INDEX(Codes!$F$2:$F$37,MATCH(C156,Codes!$E$2:$E$37,0)),"OK")))))))</f>
        <v/>
      </c>
      <c r="B156" s="22"/>
      <c r="C156" s="22"/>
      <c r="D156" s="23"/>
      <c r="E156" s="24"/>
      <c r="F156" s="24"/>
      <c r="G156" s="23"/>
    </row>
    <row r="157" spans="1:7" x14ac:dyDescent="0.35">
      <c r="A157" s="21" t="str">
        <f>IF(COUNTA(B157:G157)=0,"",IF((IF(B157="","Vendor Name, ","")&amp;IF(C157="","State, ",""))&lt;&gt;"","Missing: "&amp;LEFT(IF(B157="","Vendor Name, ","")&amp;IF(C157="","State, ",""),LEN(IF(B157="","Vendor Name, ","")&amp;IF(C157="","State, ",""))-2),IF(COUNTIF($B$3:$B$202,B157)&gt;1,"Vendor "&amp;B157&amp;" is listed twice",IF(ISNA(MATCH(C157,Codes!$E$2:$E$37,0)),"Pick the State from the list",IF(E157="","OK",IF(LEN(TRIM(E157))&lt;&gt;15,"GSTIN must be 15 characters - or leave it blank",IF(LEFT(TRIM(E157),2)&lt;&gt;INDEX(Codes!$F$2:$F$37,MATCH(C157,Codes!$E$2:$E$37,0)),"GSTIN starts with "&amp;LEFT(TRIM(E157),2)&amp;" but "&amp;C157&amp;" is "&amp;INDEX(Codes!$F$2:$F$37,MATCH(C157,Codes!$E$2:$E$37,0)),"OK")))))))</f>
        <v/>
      </c>
      <c r="B157" s="22"/>
      <c r="C157" s="22"/>
      <c r="D157" s="23"/>
      <c r="E157" s="24"/>
      <c r="F157" s="24"/>
      <c r="G157" s="23"/>
    </row>
    <row r="158" spans="1:7" x14ac:dyDescent="0.35">
      <c r="A158" s="21" t="str">
        <f>IF(COUNTA(B158:G158)=0,"",IF((IF(B158="","Vendor Name, ","")&amp;IF(C158="","State, ",""))&lt;&gt;"","Missing: "&amp;LEFT(IF(B158="","Vendor Name, ","")&amp;IF(C158="","State, ",""),LEN(IF(B158="","Vendor Name, ","")&amp;IF(C158="","State, ",""))-2),IF(COUNTIF($B$3:$B$202,B158)&gt;1,"Vendor "&amp;B158&amp;" is listed twice",IF(ISNA(MATCH(C158,Codes!$E$2:$E$37,0)),"Pick the State from the list",IF(E158="","OK",IF(LEN(TRIM(E158))&lt;&gt;15,"GSTIN must be 15 characters - or leave it blank",IF(LEFT(TRIM(E158),2)&lt;&gt;INDEX(Codes!$F$2:$F$37,MATCH(C158,Codes!$E$2:$E$37,0)),"GSTIN starts with "&amp;LEFT(TRIM(E158),2)&amp;" but "&amp;C158&amp;" is "&amp;INDEX(Codes!$F$2:$F$37,MATCH(C158,Codes!$E$2:$E$37,0)),"OK")))))))</f>
        <v/>
      </c>
      <c r="B158" s="22"/>
      <c r="C158" s="22"/>
      <c r="D158" s="23"/>
      <c r="E158" s="24"/>
      <c r="F158" s="24"/>
      <c r="G158" s="23"/>
    </row>
    <row r="159" spans="1:7" x14ac:dyDescent="0.35">
      <c r="A159" s="21" t="str">
        <f>IF(COUNTA(B159:G159)=0,"",IF((IF(B159="","Vendor Name, ","")&amp;IF(C159="","State, ",""))&lt;&gt;"","Missing: "&amp;LEFT(IF(B159="","Vendor Name, ","")&amp;IF(C159="","State, ",""),LEN(IF(B159="","Vendor Name, ","")&amp;IF(C159="","State, ",""))-2),IF(COUNTIF($B$3:$B$202,B159)&gt;1,"Vendor "&amp;B159&amp;" is listed twice",IF(ISNA(MATCH(C159,Codes!$E$2:$E$37,0)),"Pick the State from the list",IF(E159="","OK",IF(LEN(TRIM(E159))&lt;&gt;15,"GSTIN must be 15 characters - or leave it blank",IF(LEFT(TRIM(E159),2)&lt;&gt;INDEX(Codes!$F$2:$F$37,MATCH(C159,Codes!$E$2:$E$37,0)),"GSTIN starts with "&amp;LEFT(TRIM(E159),2)&amp;" but "&amp;C159&amp;" is "&amp;INDEX(Codes!$F$2:$F$37,MATCH(C159,Codes!$E$2:$E$37,0)),"OK")))))))</f>
        <v/>
      </c>
      <c r="B159" s="22"/>
      <c r="C159" s="22"/>
      <c r="D159" s="23"/>
      <c r="E159" s="24"/>
      <c r="F159" s="24"/>
      <c r="G159" s="23"/>
    </row>
    <row r="160" spans="1:7" x14ac:dyDescent="0.35">
      <c r="A160" s="21" t="str">
        <f>IF(COUNTA(B160:G160)=0,"",IF((IF(B160="","Vendor Name, ","")&amp;IF(C160="","State, ",""))&lt;&gt;"","Missing: "&amp;LEFT(IF(B160="","Vendor Name, ","")&amp;IF(C160="","State, ",""),LEN(IF(B160="","Vendor Name, ","")&amp;IF(C160="","State, ",""))-2),IF(COUNTIF($B$3:$B$202,B160)&gt;1,"Vendor "&amp;B160&amp;" is listed twice",IF(ISNA(MATCH(C160,Codes!$E$2:$E$37,0)),"Pick the State from the list",IF(E160="","OK",IF(LEN(TRIM(E160))&lt;&gt;15,"GSTIN must be 15 characters - or leave it blank",IF(LEFT(TRIM(E160),2)&lt;&gt;INDEX(Codes!$F$2:$F$37,MATCH(C160,Codes!$E$2:$E$37,0)),"GSTIN starts with "&amp;LEFT(TRIM(E160),2)&amp;" but "&amp;C160&amp;" is "&amp;INDEX(Codes!$F$2:$F$37,MATCH(C160,Codes!$E$2:$E$37,0)),"OK")))))))</f>
        <v/>
      </c>
      <c r="B160" s="22"/>
      <c r="C160" s="22"/>
      <c r="D160" s="23"/>
      <c r="E160" s="24"/>
      <c r="F160" s="24"/>
      <c r="G160" s="23"/>
    </row>
    <row r="161" spans="1:7" x14ac:dyDescent="0.35">
      <c r="A161" s="21" t="str">
        <f>IF(COUNTA(B161:G161)=0,"",IF((IF(B161="","Vendor Name, ","")&amp;IF(C161="","State, ",""))&lt;&gt;"","Missing: "&amp;LEFT(IF(B161="","Vendor Name, ","")&amp;IF(C161="","State, ",""),LEN(IF(B161="","Vendor Name, ","")&amp;IF(C161="","State, ",""))-2),IF(COUNTIF($B$3:$B$202,B161)&gt;1,"Vendor "&amp;B161&amp;" is listed twice",IF(ISNA(MATCH(C161,Codes!$E$2:$E$37,0)),"Pick the State from the list",IF(E161="","OK",IF(LEN(TRIM(E161))&lt;&gt;15,"GSTIN must be 15 characters - or leave it blank",IF(LEFT(TRIM(E161),2)&lt;&gt;INDEX(Codes!$F$2:$F$37,MATCH(C161,Codes!$E$2:$E$37,0)),"GSTIN starts with "&amp;LEFT(TRIM(E161),2)&amp;" but "&amp;C161&amp;" is "&amp;INDEX(Codes!$F$2:$F$37,MATCH(C161,Codes!$E$2:$E$37,0)),"OK")))))))</f>
        <v/>
      </c>
      <c r="B161" s="22"/>
      <c r="C161" s="22"/>
      <c r="D161" s="23"/>
      <c r="E161" s="24"/>
      <c r="F161" s="24"/>
      <c r="G161" s="23"/>
    </row>
    <row r="162" spans="1:7" x14ac:dyDescent="0.35">
      <c r="A162" s="21" t="str">
        <f>IF(COUNTA(B162:G162)=0,"",IF((IF(B162="","Vendor Name, ","")&amp;IF(C162="","State, ",""))&lt;&gt;"","Missing: "&amp;LEFT(IF(B162="","Vendor Name, ","")&amp;IF(C162="","State, ",""),LEN(IF(B162="","Vendor Name, ","")&amp;IF(C162="","State, ",""))-2),IF(COUNTIF($B$3:$B$202,B162)&gt;1,"Vendor "&amp;B162&amp;" is listed twice",IF(ISNA(MATCH(C162,Codes!$E$2:$E$37,0)),"Pick the State from the list",IF(E162="","OK",IF(LEN(TRIM(E162))&lt;&gt;15,"GSTIN must be 15 characters - or leave it blank",IF(LEFT(TRIM(E162),2)&lt;&gt;INDEX(Codes!$F$2:$F$37,MATCH(C162,Codes!$E$2:$E$37,0)),"GSTIN starts with "&amp;LEFT(TRIM(E162),2)&amp;" but "&amp;C162&amp;" is "&amp;INDEX(Codes!$F$2:$F$37,MATCH(C162,Codes!$E$2:$E$37,0)),"OK")))))))</f>
        <v/>
      </c>
      <c r="B162" s="22"/>
      <c r="C162" s="22"/>
      <c r="D162" s="23"/>
      <c r="E162" s="24"/>
      <c r="F162" s="24"/>
      <c r="G162" s="23"/>
    </row>
    <row r="163" spans="1:7" x14ac:dyDescent="0.35">
      <c r="A163" s="21" t="str">
        <f>IF(COUNTA(B163:G163)=0,"",IF((IF(B163="","Vendor Name, ","")&amp;IF(C163="","State, ",""))&lt;&gt;"","Missing: "&amp;LEFT(IF(B163="","Vendor Name, ","")&amp;IF(C163="","State, ",""),LEN(IF(B163="","Vendor Name, ","")&amp;IF(C163="","State, ",""))-2),IF(COUNTIF($B$3:$B$202,B163)&gt;1,"Vendor "&amp;B163&amp;" is listed twice",IF(ISNA(MATCH(C163,Codes!$E$2:$E$37,0)),"Pick the State from the list",IF(E163="","OK",IF(LEN(TRIM(E163))&lt;&gt;15,"GSTIN must be 15 characters - or leave it blank",IF(LEFT(TRIM(E163),2)&lt;&gt;INDEX(Codes!$F$2:$F$37,MATCH(C163,Codes!$E$2:$E$37,0)),"GSTIN starts with "&amp;LEFT(TRIM(E163),2)&amp;" but "&amp;C163&amp;" is "&amp;INDEX(Codes!$F$2:$F$37,MATCH(C163,Codes!$E$2:$E$37,0)),"OK")))))))</f>
        <v/>
      </c>
      <c r="B163" s="22"/>
      <c r="C163" s="22"/>
      <c r="D163" s="23"/>
      <c r="E163" s="24"/>
      <c r="F163" s="24"/>
      <c r="G163" s="23"/>
    </row>
    <row r="164" spans="1:7" x14ac:dyDescent="0.35">
      <c r="A164" s="21" t="str">
        <f>IF(COUNTA(B164:G164)=0,"",IF((IF(B164="","Vendor Name, ","")&amp;IF(C164="","State, ",""))&lt;&gt;"","Missing: "&amp;LEFT(IF(B164="","Vendor Name, ","")&amp;IF(C164="","State, ",""),LEN(IF(B164="","Vendor Name, ","")&amp;IF(C164="","State, ",""))-2),IF(COUNTIF($B$3:$B$202,B164)&gt;1,"Vendor "&amp;B164&amp;" is listed twice",IF(ISNA(MATCH(C164,Codes!$E$2:$E$37,0)),"Pick the State from the list",IF(E164="","OK",IF(LEN(TRIM(E164))&lt;&gt;15,"GSTIN must be 15 characters - or leave it blank",IF(LEFT(TRIM(E164),2)&lt;&gt;INDEX(Codes!$F$2:$F$37,MATCH(C164,Codes!$E$2:$E$37,0)),"GSTIN starts with "&amp;LEFT(TRIM(E164),2)&amp;" but "&amp;C164&amp;" is "&amp;INDEX(Codes!$F$2:$F$37,MATCH(C164,Codes!$E$2:$E$37,0)),"OK")))))))</f>
        <v/>
      </c>
      <c r="B164" s="22"/>
      <c r="C164" s="22"/>
      <c r="D164" s="23"/>
      <c r="E164" s="24"/>
      <c r="F164" s="24"/>
      <c r="G164" s="23"/>
    </row>
    <row r="165" spans="1:7" x14ac:dyDescent="0.35">
      <c r="A165" s="21" t="str">
        <f>IF(COUNTA(B165:G165)=0,"",IF((IF(B165="","Vendor Name, ","")&amp;IF(C165="","State, ",""))&lt;&gt;"","Missing: "&amp;LEFT(IF(B165="","Vendor Name, ","")&amp;IF(C165="","State, ",""),LEN(IF(B165="","Vendor Name, ","")&amp;IF(C165="","State, ",""))-2),IF(COUNTIF($B$3:$B$202,B165)&gt;1,"Vendor "&amp;B165&amp;" is listed twice",IF(ISNA(MATCH(C165,Codes!$E$2:$E$37,0)),"Pick the State from the list",IF(E165="","OK",IF(LEN(TRIM(E165))&lt;&gt;15,"GSTIN must be 15 characters - or leave it blank",IF(LEFT(TRIM(E165),2)&lt;&gt;INDEX(Codes!$F$2:$F$37,MATCH(C165,Codes!$E$2:$E$37,0)),"GSTIN starts with "&amp;LEFT(TRIM(E165),2)&amp;" but "&amp;C165&amp;" is "&amp;INDEX(Codes!$F$2:$F$37,MATCH(C165,Codes!$E$2:$E$37,0)),"OK")))))))</f>
        <v/>
      </c>
      <c r="B165" s="22"/>
      <c r="C165" s="22"/>
      <c r="D165" s="23"/>
      <c r="E165" s="24"/>
      <c r="F165" s="24"/>
      <c r="G165" s="23"/>
    </row>
    <row r="166" spans="1:7" x14ac:dyDescent="0.35">
      <c r="A166" s="21" t="str">
        <f>IF(COUNTA(B166:G166)=0,"",IF((IF(B166="","Vendor Name, ","")&amp;IF(C166="","State, ",""))&lt;&gt;"","Missing: "&amp;LEFT(IF(B166="","Vendor Name, ","")&amp;IF(C166="","State, ",""),LEN(IF(B166="","Vendor Name, ","")&amp;IF(C166="","State, ",""))-2),IF(COUNTIF($B$3:$B$202,B166)&gt;1,"Vendor "&amp;B166&amp;" is listed twice",IF(ISNA(MATCH(C166,Codes!$E$2:$E$37,0)),"Pick the State from the list",IF(E166="","OK",IF(LEN(TRIM(E166))&lt;&gt;15,"GSTIN must be 15 characters - or leave it blank",IF(LEFT(TRIM(E166),2)&lt;&gt;INDEX(Codes!$F$2:$F$37,MATCH(C166,Codes!$E$2:$E$37,0)),"GSTIN starts with "&amp;LEFT(TRIM(E166),2)&amp;" but "&amp;C166&amp;" is "&amp;INDEX(Codes!$F$2:$F$37,MATCH(C166,Codes!$E$2:$E$37,0)),"OK")))))))</f>
        <v/>
      </c>
      <c r="B166" s="22"/>
      <c r="C166" s="22"/>
      <c r="D166" s="23"/>
      <c r="E166" s="24"/>
      <c r="F166" s="24"/>
      <c r="G166" s="23"/>
    </row>
    <row r="167" spans="1:7" x14ac:dyDescent="0.35">
      <c r="A167" s="21" t="str">
        <f>IF(COUNTA(B167:G167)=0,"",IF((IF(B167="","Vendor Name, ","")&amp;IF(C167="","State, ",""))&lt;&gt;"","Missing: "&amp;LEFT(IF(B167="","Vendor Name, ","")&amp;IF(C167="","State, ",""),LEN(IF(B167="","Vendor Name, ","")&amp;IF(C167="","State, ",""))-2),IF(COUNTIF($B$3:$B$202,B167)&gt;1,"Vendor "&amp;B167&amp;" is listed twice",IF(ISNA(MATCH(C167,Codes!$E$2:$E$37,0)),"Pick the State from the list",IF(E167="","OK",IF(LEN(TRIM(E167))&lt;&gt;15,"GSTIN must be 15 characters - or leave it blank",IF(LEFT(TRIM(E167),2)&lt;&gt;INDEX(Codes!$F$2:$F$37,MATCH(C167,Codes!$E$2:$E$37,0)),"GSTIN starts with "&amp;LEFT(TRIM(E167),2)&amp;" but "&amp;C167&amp;" is "&amp;INDEX(Codes!$F$2:$F$37,MATCH(C167,Codes!$E$2:$E$37,0)),"OK")))))))</f>
        <v/>
      </c>
      <c r="B167" s="22"/>
      <c r="C167" s="22"/>
      <c r="D167" s="23"/>
      <c r="E167" s="24"/>
      <c r="F167" s="24"/>
      <c r="G167" s="23"/>
    </row>
    <row r="168" spans="1:7" x14ac:dyDescent="0.35">
      <c r="A168" s="21" t="str">
        <f>IF(COUNTA(B168:G168)=0,"",IF((IF(B168="","Vendor Name, ","")&amp;IF(C168="","State, ",""))&lt;&gt;"","Missing: "&amp;LEFT(IF(B168="","Vendor Name, ","")&amp;IF(C168="","State, ",""),LEN(IF(B168="","Vendor Name, ","")&amp;IF(C168="","State, ",""))-2),IF(COUNTIF($B$3:$B$202,B168)&gt;1,"Vendor "&amp;B168&amp;" is listed twice",IF(ISNA(MATCH(C168,Codes!$E$2:$E$37,0)),"Pick the State from the list",IF(E168="","OK",IF(LEN(TRIM(E168))&lt;&gt;15,"GSTIN must be 15 characters - or leave it blank",IF(LEFT(TRIM(E168),2)&lt;&gt;INDEX(Codes!$F$2:$F$37,MATCH(C168,Codes!$E$2:$E$37,0)),"GSTIN starts with "&amp;LEFT(TRIM(E168),2)&amp;" but "&amp;C168&amp;" is "&amp;INDEX(Codes!$F$2:$F$37,MATCH(C168,Codes!$E$2:$E$37,0)),"OK")))))))</f>
        <v/>
      </c>
      <c r="B168" s="22"/>
      <c r="C168" s="22"/>
      <c r="D168" s="23"/>
      <c r="E168" s="24"/>
      <c r="F168" s="24"/>
      <c r="G168" s="23"/>
    </row>
    <row r="169" spans="1:7" x14ac:dyDescent="0.35">
      <c r="A169" s="21" t="str">
        <f>IF(COUNTA(B169:G169)=0,"",IF((IF(B169="","Vendor Name, ","")&amp;IF(C169="","State, ",""))&lt;&gt;"","Missing: "&amp;LEFT(IF(B169="","Vendor Name, ","")&amp;IF(C169="","State, ",""),LEN(IF(B169="","Vendor Name, ","")&amp;IF(C169="","State, ",""))-2),IF(COUNTIF($B$3:$B$202,B169)&gt;1,"Vendor "&amp;B169&amp;" is listed twice",IF(ISNA(MATCH(C169,Codes!$E$2:$E$37,0)),"Pick the State from the list",IF(E169="","OK",IF(LEN(TRIM(E169))&lt;&gt;15,"GSTIN must be 15 characters - or leave it blank",IF(LEFT(TRIM(E169),2)&lt;&gt;INDEX(Codes!$F$2:$F$37,MATCH(C169,Codes!$E$2:$E$37,0)),"GSTIN starts with "&amp;LEFT(TRIM(E169),2)&amp;" but "&amp;C169&amp;" is "&amp;INDEX(Codes!$F$2:$F$37,MATCH(C169,Codes!$E$2:$E$37,0)),"OK")))))))</f>
        <v/>
      </c>
      <c r="B169" s="22"/>
      <c r="C169" s="22"/>
      <c r="D169" s="23"/>
      <c r="E169" s="24"/>
      <c r="F169" s="24"/>
      <c r="G169" s="23"/>
    </row>
    <row r="170" spans="1:7" x14ac:dyDescent="0.35">
      <c r="A170" s="21" t="str">
        <f>IF(COUNTA(B170:G170)=0,"",IF((IF(B170="","Vendor Name, ","")&amp;IF(C170="","State, ",""))&lt;&gt;"","Missing: "&amp;LEFT(IF(B170="","Vendor Name, ","")&amp;IF(C170="","State, ",""),LEN(IF(B170="","Vendor Name, ","")&amp;IF(C170="","State, ",""))-2),IF(COUNTIF($B$3:$B$202,B170)&gt;1,"Vendor "&amp;B170&amp;" is listed twice",IF(ISNA(MATCH(C170,Codes!$E$2:$E$37,0)),"Pick the State from the list",IF(E170="","OK",IF(LEN(TRIM(E170))&lt;&gt;15,"GSTIN must be 15 characters - or leave it blank",IF(LEFT(TRIM(E170),2)&lt;&gt;INDEX(Codes!$F$2:$F$37,MATCH(C170,Codes!$E$2:$E$37,0)),"GSTIN starts with "&amp;LEFT(TRIM(E170),2)&amp;" but "&amp;C170&amp;" is "&amp;INDEX(Codes!$F$2:$F$37,MATCH(C170,Codes!$E$2:$E$37,0)),"OK")))))))</f>
        <v/>
      </c>
      <c r="B170" s="22"/>
      <c r="C170" s="22"/>
      <c r="D170" s="23"/>
      <c r="E170" s="24"/>
      <c r="F170" s="24"/>
      <c r="G170" s="23"/>
    </row>
    <row r="171" spans="1:7" x14ac:dyDescent="0.35">
      <c r="A171" s="21" t="str">
        <f>IF(COUNTA(B171:G171)=0,"",IF((IF(B171="","Vendor Name, ","")&amp;IF(C171="","State, ",""))&lt;&gt;"","Missing: "&amp;LEFT(IF(B171="","Vendor Name, ","")&amp;IF(C171="","State, ",""),LEN(IF(B171="","Vendor Name, ","")&amp;IF(C171="","State, ",""))-2),IF(COUNTIF($B$3:$B$202,B171)&gt;1,"Vendor "&amp;B171&amp;" is listed twice",IF(ISNA(MATCH(C171,Codes!$E$2:$E$37,0)),"Pick the State from the list",IF(E171="","OK",IF(LEN(TRIM(E171))&lt;&gt;15,"GSTIN must be 15 characters - or leave it blank",IF(LEFT(TRIM(E171),2)&lt;&gt;INDEX(Codes!$F$2:$F$37,MATCH(C171,Codes!$E$2:$E$37,0)),"GSTIN starts with "&amp;LEFT(TRIM(E171),2)&amp;" but "&amp;C171&amp;" is "&amp;INDEX(Codes!$F$2:$F$37,MATCH(C171,Codes!$E$2:$E$37,0)),"OK")))))))</f>
        <v/>
      </c>
      <c r="B171" s="22"/>
      <c r="C171" s="22"/>
      <c r="D171" s="23"/>
      <c r="E171" s="24"/>
      <c r="F171" s="24"/>
      <c r="G171" s="23"/>
    </row>
    <row r="172" spans="1:7" x14ac:dyDescent="0.35">
      <c r="A172" s="21" t="str">
        <f>IF(COUNTA(B172:G172)=0,"",IF((IF(B172="","Vendor Name, ","")&amp;IF(C172="","State, ",""))&lt;&gt;"","Missing: "&amp;LEFT(IF(B172="","Vendor Name, ","")&amp;IF(C172="","State, ",""),LEN(IF(B172="","Vendor Name, ","")&amp;IF(C172="","State, ",""))-2),IF(COUNTIF($B$3:$B$202,B172)&gt;1,"Vendor "&amp;B172&amp;" is listed twice",IF(ISNA(MATCH(C172,Codes!$E$2:$E$37,0)),"Pick the State from the list",IF(E172="","OK",IF(LEN(TRIM(E172))&lt;&gt;15,"GSTIN must be 15 characters - or leave it blank",IF(LEFT(TRIM(E172),2)&lt;&gt;INDEX(Codes!$F$2:$F$37,MATCH(C172,Codes!$E$2:$E$37,0)),"GSTIN starts with "&amp;LEFT(TRIM(E172),2)&amp;" but "&amp;C172&amp;" is "&amp;INDEX(Codes!$F$2:$F$37,MATCH(C172,Codes!$E$2:$E$37,0)),"OK")))))))</f>
        <v/>
      </c>
      <c r="B172" s="22"/>
      <c r="C172" s="22"/>
      <c r="D172" s="23"/>
      <c r="E172" s="24"/>
      <c r="F172" s="24"/>
      <c r="G172" s="23"/>
    </row>
    <row r="173" spans="1:7" x14ac:dyDescent="0.35">
      <c r="A173" s="21" t="str">
        <f>IF(COUNTA(B173:G173)=0,"",IF((IF(B173="","Vendor Name, ","")&amp;IF(C173="","State, ",""))&lt;&gt;"","Missing: "&amp;LEFT(IF(B173="","Vendor Name, ","")&amp;IF(C173="","State, ",""),LEN(IF(B173="","Vendor Name, ","")&amp;IF(C173="","State, ",""))-2),IF(COUNTIF($B$3:$B$202,B173)&gt;1,"Vendor "&amp;B173&amp;" is listed twice",IF(ISNA(MATCH(C173,Codes!$E$2:$E$37,0)),"Pick the State from the list",IF(E173="","OK",IF(LEN(TRIM(E173))&lt;&gt;15,"GSTIN must be 15 characters - or leave it blank",IF(LEFT(TRIM(E173),2)&lt;&gt;INDEX(Codes!$F$2:$F$37,MATCH(C173,Codes!$E$2:$E$37,0)),"GSTIN starts with "&amp;LEFT(TRIM(E173),2)&amp;" but "&amp;C173&amp;" is "&amp;INDEX(Codes!$F$2:$F$37,MATCH(C173,Codes!$E$2:$E$37,0)),"OK")))))))</f>
        <v/>
      </c>
      <c r="B173" s="22"/>
      <c r="C173" s="22"/>
      <c r="D173" s="23"/>
      <c r="E173" s="24"/>
      <c r="F173" s="24"/>
      <c r="G173" s="23"/>
    </row>
    <row r="174" spans="1:7" x14ac:dyDescent="0.35">
      <c r="A174" s="21" t="str">
        <f>IF(COUNTA(B174:G174)=0,"",IF((IF(B174="","Vendor Name, ","")&amp;IF(C174="","State, ",""))&lt;&gt;"","Missing: "&amp;LEFT(IF(B174="","Vendor Name, ","")&amp;IF(C174="","State, ",""),LEN(IF(B174="","Vendor Name, ","")&amp;IF(C174="","State, ",""))-2),IF(COUNTIF($B$3:$B$202,B174)&gt;1,"Vendor "&amp;B174&amp;" is listed twice",IF(ISNA(MATCH(C174,Codes!$E$2:$E$37,0)),"Pick the State from the list",IF(E174="","OK",IF(LEN(TRIM(E174))&lt;&gt;15,"GSTIN must be 15 characters - or leave it blank",IF(LEFT(TRIM(E174),2)&lt;&gt;INDEX(Codes!$F$2:$F$37,MATCH(C174,Codes!$E$2:$E$37,0)),"GSTIN starts with "&amp;LEFT(TRIM(E174),2)&amp;" but "&amp;C174&amp;" is "&amp;INDEX(Codes!$F$2:$F$37,MATCH(C174,Codes!$E$2:$E$37,0)),"OK")))))))</f>
        <v/>
      </c>
      <c r="B174" s="22"/>
      <c r="C174" s="22"/>
      <c r="D174" s="23"/>
      <c r="E174" s="24"/>
      <c r="F174" s="24"/>
      <c r="G174" s="23"/>
    </row>
    <row r="175" spans="1:7" x14ac:dyDescent="0.35">
      <c r="A175" s="21" t="str">
        <f>IF(COUNTA(B175:G175)=0,"",IF((IF(B175="","Vendor Name, ","")&amp;IF(C175="","State, ",""))&lt;&gt;"","Missing: "&amp;LEFT(IF(B175="","Vendor Name, ","")&amp;IF(C175="","State, ",""),LEN(IF(B175="","Vendor Name, ","")&amp;IF(C175="","State, ",""))-2),IF(COUNTIF($B$3:$B$202,B175)&gt;1,"Vendor "&amp;B175&amp;" is listed twice",IF(ISNA(MATCH(C175,Codes!$E$2:$E$37,0)),"Pick the State from the list",IF(E175="","OK",IF(LEN(TRIM(E175))&lt;&gt;15,"GSTIN must be 15 characters - or leave it blank",IF(LEFT(TRIM(E175),2)&lt;&gt;INDEX(Codes!$F$2:$F$37,MATCH(C175,Codes!$E$2:$E$37,0)),"GSTIN starts with "&amp;LEFT(TRIM(E175),2)&amp;" but "&amp;C175&amp;" is "&amp;INDEX(Codes!$F$2:$F$37,MATCH(C175,Codes!$E$2:$E$37,0)),"OK")))))))</f>
        <v/>
      </c>
      <c r="B175" s="22"/>
      <c r="C175" s="22"/>
      <c r="D175" s="23"/>
      <c r="E175" s="24"/>
      <c r="F175" s="24"/>
      <c r="G175" s="23"/>
    </row>
    <row r="176" spans="1:7" x14ac:dyDescent="0.35">
      <c r="A176" s="21" t="str">
        <f>IF(COUNTA(B176:G176)=0,"",IF((IF(B176="","Vendor Name, ","")&amp;IF(C176="","State, ",""))&lt;&gt;"","Missing: "&amp;LEFT(IF(B176="","Vendor Name, ","")&amp;IF(C176="","State, ",""),LEN(IF(B176="","Vendor Name, ","")&amp;IF(C176="","State, ",""))-2),IF(COUNTIF($B$3:$B$202,B176)&gt;1,"Vendor "&amp;B176&amp;" is listed twice",IF(ISNA(MATCH(C176,Codes!$E$2:$E$37,0)),"Pick the State from the list",IF(E176="","OK",IF(LEN(TRIM(E176))&lt;&gt;15,"GSTIN must be 15 characters - or leave it blank",IF(LEFT(TRIM(E176),2)&lt;&gt;INDEX(Codes!$F$2:$F$37,MATCH(C176,Codes!$E$2:$E$37,0)),"GSTIN starts with "&amp;LEFT(TRIM(E176),2)&amp;" but "&amp;C176&amp;" is "&amp;INDEX(Codes!$F$2:$F$37,MATCH(C176,Codes!$E$2:$E$37,0)),"OK")))))))</f>
        <v/>
      </c>
      <c r="B176" s="22"/>
      <c r="C176" s="22"/>
      <c r="D176" s="23"/>
      <c r="E176" s="24"/>
      <c r="F176" s="24"/>
      <c r="G176" s="23"/>
    </row>
    <row r="177" spans="1:7" x14ac:dyDescent="0.35">
      <c r="A177" s="21" t="str">
        <f>IF(COUNTA(B177:G177)=0,"",IF((IF(B177="","Vendor Name, ","")&amp;IF(C177="","State, ",""))&lt;&gt;"","Missing: "&amp;LEFT(IF(B177="","Vendor Name, ","")&amp;IF(C177="","State, ",""),LEN(IF(B177="","Vendor Name, ","")&amp;IF(C177="","State, ",""))-2),IF(COUNTIF($B$3:$B$202,B177)&gt;1,"Vendor "&amp;B177&amp;" is listed twice",IF(ISNA(MATCH(C177,Codes!$E$2:$E$37,0)),"Pick the State from the list",IF(E177="","OK",IF(LEN(TRIM(E177))&lt;&gt;15,"GSTIN must be 15 characters - or leave it blank",IF(LEFT(TRIM(E177),2)&lt;&gt;INDEX(Codes!$F$2:$F$37,MATCH(C177,Codes!$E$2:$E$37,0)),"GSTIN starts with "&amp;LEFT(TRIM(E177),2)&amp;" but "&amp;C177&amp;" is "&amp;INDEX(Codes!$F$2:$F$37,MATCH(C177,Codes!$E$2:$E$37,0)),"OK")))))))</f>
        <v/>
      </c>
      <c r="B177" s="22"/>
      <c r="C177" s="22"/>
      <c r="D177" s="23"/>
      <c r="E177" s="24"/>
      <c r="F177" s="24"/>
      <c r="G177" s="23"/>
    </row>
    <row r="178" spans="1:7" x14ac:dyDescent="0.35">
      <c r="A178" s="21" t="str">
        <f>IF(COUNTA(B178:G178)=0,"",IF((IF(B178="","Vendor Name, ","")&amp;IF(C178="","State, ",""))&lt;&gt;"","Missing: "&amp;LEFT(IF(B178="","Vendor Name, ","")&amp;IF(C178="","State, ",""),LEN(IF(B178="","Vendor Name, ","")&amp;IF(C178="","State, ",""))-2),IF(COUNTIF($B$3:$B$202,B178)&gt;1,"Vendor "&amp;B178&amp;" is listed twice",IF(ISNA(MATCH(C178,Codes!$E$2:$E$37,0)),"Pick the State from the list",IF(E178="","OK",IF(LEN(TRIM(E178))&lt;&gt;15,"GSTIN must be 15 characters - or leave it blank",IF(LEFT(TRIM(E178),2)&lt;&gt;INDEX(Codes!$F$2:$F$37,MATCH(C178,Codes!$E$2:$E$37,0)),"GSTIN starts with "&amp;LEFT(TRIM(E178),2)&amp;" but "&amp;C178&amp;" is "&amp;INDEX(Codes!$F$2:$F$37,MATCH(C178,Codes!$E$2:$E$37,0)),"OK")))))))</f>
        <v/>
      </c>
      <c r="B178" s="22"/>
      <c r="C178" s="22"/>
      <c r="D178" s="23"/>
      <c r="E178" s="24"/>
      <c r="F178" s="24"/>
      <c r="G178" s="23"/>
    </row>
    <row r="179" spans="1:7" x14ac:dyDescent="0.35">
      <c r="A179" s="21" t="str">
        <f>IF(COUNTA(B179:G179)=0,"",IF((IF(B179="","Vendor Name, ","")&amp;IF(C179="","State, ",""))&lt;&gt;"","Missing: "&amp;LEFT(IF(B179="","Vendor Name, ","")&amp;IF(C179="","State, ",""),LEN(IF(B179="","Vendor Name, ","")&amp;IF(C179="","State, ",""))-2),IF(COUNTIF($B$3:$B$202,B179)&gt;1,"Vendor "&amp;B179&amp;" is listed twice",IF(ISNA(MATCH(C179,Codes!$E$2:$E$37,0)),"Pick the State from the list",IF(E179="","OK",IF(LEN(TRIM(E179))&lt;&gt;15,"GSTIN must be 15 characters - or leave it blank",IF(LEFT(TRIM(E179),2)&lt;&gt;INDEX(Codes!$F$2:$F$37,MATCH(C179,Codes!$E$2:$E$37,0)),"GSTIN starts with "&amp;LEFT(TRIM(E179),2)&amp;" but "&amp;C179&amp;" is "&amp;INDEX(Codes!$F$2:$F$37,MATCH(C179,Codes!$E$2:$E$37,0)),"OK")))))))</f>
        <v/>
      </c>
      <c r="B179" s="22"/>
      <c r="C179" s="22"/>
      <c r="D179" s="23"/>
      <c r="E179" s="24"/>
      <c r="F179" s="24"/>
      <c r="G179" s="23"/>
    </row>
    <row r="180" spans="1:7" x14ac:dyDescent="0.35">
      <c r="A180" s="21" t="str">
        <f>IF(COUNTA(B180:G180)=0,"",IF((IF(B180="","Vendor Name, ","")&amp;IF(C180="","State, ",""))&lt;&gt;"","Missing: "&amp;LEFT(IF(B180="","Vendor Name, ","")&amp;IF(C180="","State, ",""),LEN(IF(B180="","Vendor Name, ","")&amp;IF(C180="","State, ",""))-2),IF(COUNTIF($B$3:$B$202,B180)&gt;1,"Vendor "&amp;B180&amp;" is listed twice",IF(ISNA(MATCH(C180,Codes!$E$2:$E$37,0)),"Pick the State from the list",IF(E180="","OK",IF(LEN(TRIM(E180))&lt;&gt;15,"GSTIN must be 15 characters - or leave it blank",IF(LEFT(TRIM(E180),2)&lt;&gt;INDEX(Codes!$F$2:$F$37,MATCH(C180,Codes!$E$2:$E$37,0)),"GSTIN starts with "&amp;LEFT(TRIM(E180),2)&amp;" but "&amp;C180&amp;" is "&amp;INDEX(Codes!$F$2:$F$37,MATCH(C180,Codes!$E$2:$E$37,0)),"OK")))))))</f>
        <v/>
      </c>
      <c r="B180" s="22"/>
      <c r="C180" s="22"/>
      <c r="D180" s="23"/>
      <c r="E180" s="24"/>
      <c r="F180" s="24"/>
      <c r="G180" s="23"/>
    </row>
    <row r="181" spans="1:7" x14ac:dyDescent="0.35">
      <c r="A181" s="21" t="str">
        <f>IF(COUNTA(B181:G181)=0,"",IF((IF(B181="","Vendor Name, ","")&amp;IF(C181="","State, ",""))&lt;&gt;"","Missing: "&amp;LEFT(IF(B181="","Vendor Name, ","")&amp;IF(C181="","State, ",""),LEN(IF(B181="","Vendor Name, ","")&amp;IF(C181="","State, ",""))-2),IF(COUNTIF($B$3:$B$202,B181)&gt;1,"Vendor "&amp;B181&amp;" is listed twice",IF(ISNA(MATCH(C181,Codes!$E$2:$E$37,0)),"Pick the State from the list",IF(E181="","OK",IF(LEN(TRIM(E181))&lt;&gt;15,"GSTIN must be 15 characters - or leave it blank",IF(LEFT(TRIM(E181),2)&lt;&gt;INDEX(Codes!$F$2:$F$37,MATCH(C181,Codes!$E$2:$E$37,0)),"GSTIN starts with "&amp;LEFT(TRIM(E181),2)&amp;" but "&amp;C181&amp;" is "&amp;INDEX(Codes!$F$2:$F$37,MATCH(C181,Codes!$E$2:$E$37,0)),"OK")))))))</f>
        <v/>
      </c>
      <c r="B181" s="22"/>
      <c r="C181" s="22"/>
      <c r="D181" s="23"/>
      <c r="E181" s="24"/>
      <c r="F181" s="24"/>
      <c r="G181" s="23"/>
    </row>
    <row r="182" spans="1:7" x14ac:dyDescent="0.35">
      <c r="A182" s="21" t="str">
        <f>IF(COUNTA(B182:G182)=0,"",IF((IF(B182="","Vendor Name, ","")&amp;IF(C182="","State, ",""))&lt;&gt;"","Missing: "&amp;LEFT(IF(B182="","Vendor Name, ","")&amp;IF(C182="","State, ",""),LEN(IF(B182="","Vendor Name, ","")&amp;IF(C182="","State, ",""))-2),IF(COUNTIF($B$3:$B$202,B182)&gt;1,"Vendor "&amp;B182&amp;" is listed twice",IF(ISNA(MATCH(C182,Codes!$E$2:$E$37,0)),"Pick the State from the list",IF(E182="","OK",IF(LEN(TRIM(E182))&lt;&gt;15,"GSTIN must be 15 characters - or leave it blank",IF(LEFT(TRIM(E182),2)&lt;&gt;INDEX(Codes!$F$2:$F$37,MATCH(C182,Codes!$E$2:$E$37,0)),"GSTIN starts with "&amp;LEFT(TRIM(E182),2)&amp;" but "&amp;C182&amp;" is "&amp;INDEX(Codes!$F$2:$F$37,MATCH(C182,Codes!$E$2:$E$37,0)),"OK")))))))</f>
        <v/>
      </c>
      <c r="B182" s="22"/>
      <c r="C182" s="22"/>
      <c r="D182" s="23"/>
      <c r="E182" s="24"/>
      <c r="F182" s="24"/>
      <c r="G182" s="23"/>
    </row>
    <row r="183" spans="1:7" x14ac:dyDescent="0.35">
      <c r="A183" s="21" t="str">
        <f>IF(COUNTA(B183:G183)=0,"",IF((IF(B183="","Vendor Name, ","")&amp;IF(C183="","State, ",""))&lt;&gt;"","Missing: "&amp;LEFT(IF(B183="","Vendor Name, ","")&amp;IF(C183="","State, ",""),LEN(IF(B183="","Vendor Name, ","")&amp;IF(C183="","State, ",""))-2),IF(COUNTIF($B$3:$B$202,B183)&gt;1,"Vendor "&amp;B183&amp;" is listed twice",IF(ISNA(MATCH(C183,Codes!$E$2:$E$37,0)),"Pick the State from the list",IF(E183="","OK",IF(LEN(TRIM(E183))&lt;&gt;15,"GSTIN must be 15 characters - or leave it blank",IF(LEFT(TRIM(E183),2)&lt;&gt;INDEX(Codes!$F$2:$F$37,MATCH(C183,Codes!$E$2:$E$37,0)),"GSTIN starts with "&amp;LEFT(TRIM(E183),2)&amp;" but "&amp;C183&amp;" is "&amp;INDEX(Codes!$F$2:$F$37,MATCH(C183,Codes!$E$2:$E$37,0)),"OK")))))))</f>
        <v/>
      </c>
      <c r="B183" s="22"/>
      <c r="C183" s="22"/>
      <c r="D183" s="23"/>
      <c r="E183" s="24"/>
      <c r="F183" s="24"/>
      <c r="G183" s="23"/>
    </row>
    <row r="184" spans="1:7" x14ac:dyDescent="0.35">
      <c r="A184" s="21" t="str">
        <f>IF(COUNTA(B184:G184)=0,"",IF((IF(B184="","Vendor Name, ","")&amp;IF(C184="","State, ",""))&lt;&gt;"","Missing: "&amp;LEFT(IF(B184="","Vendor Name, ","")&amp;IF(C184="","State, ",""),LEN(IF(B184="","Vendor Name, ","")&amp;IF(C184="","State, ",""))-2),IF(COUNTIF($B$3:$B$202,B184)&gt;1,"Vendor "&amp;B184&amp;" is listed twice",IF(ISNA(MATCH(C184,Codes!$E$2:$E$37,0)),"Pick the State from the list",IF(E184="","OK",IF(LEN(TRIM(E184))&lt;&gt;15,"GSTIN must be 15 characters - or leave it blank",IF(LEFT(TRIM(E184),2)&lt;&gt;INDEX(Codes!$F$2:$F$37,MATCH(C184,Codes!$E$2:$E$37,0)),"GSTIN starts with "&amp;LEFT(TRIM(E184),2)&amp;" but "&amp;C184&amp;" is "&amp;INDEX(Codes!$F$2:$F$37,MATCH(C184,Codes!$E$2:$E$37,0)),"OK")))))))</f>
        <v/>
      </c>
      <c r="B184" s="22"/>
      <c r="C184" s="22"/>
      <c r="D184" s="23"/>
      <c r="E184" s="24"/>
      <c r="F184" s="24"/>
      <c r="G184" s="23"/>
    </row>
    <row r="185" spans="1:7" x14ac:dyDescent="0.35">
      <c r="A185" s="21" t="str">
        <f>IF(COUNTA(B185:G185)=0,"",IF((IF(B185="","Vendor Name, ","")&amp;IF(C185="","State, ",""))&lt;&gt;"","Missing: "&amp;LEFT(IF(B185="","Vendor Name, ","")&amp;IF(C185="","State, ",""),LEN(IF(B185="","Vendor Name, ","")&amp;IF(C185="","State, ",""))-2),IF(COUNTIF($B$3:$B$202,B185)&gt;1,"Vendor "&amp;B185&amp;" is listed twice",IF(ISNA(MATCH(C185,Codes!$E$2:$E$37,0)),"Pick the State from the list",IF(E185="","OK",IF(LEN(TRIM(E185))&lt;&gt;15,"GSTIN must be 15 characters - or leave it blank",IF(LEFT(TRIM(E185),2)&lt;&gt;INDEX(Codes!$F$2:$F$37,MATCH(C185,Codes!$E$2:$E$37,0)),"GSTIN starts with "&amp;LEFT(TRIM(E185),2)&amp;" but "&amp;C185&amp;" is "&amp;INDEX(Codes!$F$2:$F$37,MATCH(C185,Codes!$E$2:$E$37,0)),"OK")))))))</f>
        <v/>
      </c>
      <c r="B185" s="22"/>
      <c r="C185" s="22"/>
      <c r="D185" s="23"/>
      <c r="E185" s="24"/>
      <c r="F185" s="24"/>
      <c r="G185" s="23"/>
    </row>
    <row r="186" spans="1:7" x14ac:dyDescent="0.35">
      <c r="A186" s="21" t="str">
        <f>IF(COUNTA(B186:G186)=0,"",IF((IF(B186="","Vendor Name, ","")&amp;IF(C186="","State, ",""))&lt;&gt;"","Missing: "&amp;LEFT(IF(B186="","Vendor Name, ","")&amp;IF(C186="","State, ",""),LEN(IF(B186="","Vendor Name, ","")&amp;IF(C186="","State, ",""))-2),IF(COUNTIF($B$3:$B$202,B186)&gt;1,"Vendor "&amp;B186&amp;" is listed twice",IF(ISNA(MATCH(C186,Codes!$E$2:$E$37,0)),"Pick the State from the list",IF(E186="","OK",IF(LEN(TRIM(E186))&lt;&gt;15,"GSTIN must be 15 characters - or leave it blank",IF(LEFT(TRIM(E186),2)&lt;&gt;INDEX(Codes!$F$2:$F$37,MATCH(C186,Codes!$E$2:$E$37,0)),"GSTIN starts with "&amp;LEFT(TRIM(E186),2)&amp;" but "&amp;C186&amp;" is "&amp;INDEX(Codes!$F$2:$F$37,MATCH(C186,Codes!$E$2:$E$37,0)),"OK")))))))</f>
        <v/>
      </c>
      <c r="B186" s="22"/>
      <c r="C186" s="22"/>
      <c r="D186" s="23"/>
      <c r="E186" s="24"/>
      <c r="F186" s="24"/>
      <c r="G186" s="23"/>
    </row>
    <row r="187" spans="1:7" x14ac:dyDescent="0.35">
      <c r="A187" s="21" t="str">
        <f>IF(COUNTA(B187:G187)=0,"",IF((IF(B187="","Vendor Name, ","")&amp;IF(C187="","State, ",""))&lt;&gt;"","Missing: "&amp;LEFT(IF(B187="","Vendor Name, ","")&amp;IF(C187="","State, ",""),LEN(IF(B187="","Vendor Name, ","")&amp;IF(C187="","State, ",""))-2),IF(COUNTIF($B$3:$B$202,B187)&gt;1,"Vendor "&amp;B187&amp;" is listed twice",IF(ISNA(MATCH(C187,Codes!$E$2:$E$37,0)),"Pick the State from the list",IF(E187="","OK",IF(LEN(TRIM(E187))&lt;&gt;15,"GSTIN must be 15 characters - or leave it blank",IF(LEFT(TRIM(E187),2)&lt;&gt;INDEX(Codes!$F$2:$F$37,MATCH(C187,Codes!$E$2:$E$37,0)),"GSTIN starts with "&amp;LEFT(TRIM(E187),2)&amp;" but "&amp;C187&amp;" is "&amp;INDEX(Codes!$F$2:$F$37,MATCH(C187,Codes!$E$2:$E$37,0)),"OK")))))))</f>
        <v/>
      </c>
      <c r="B187" s="22"/>
      <c r="C187" s="22"/>
      <c r="D187" s="23"/>
      <c r="E187" s="24"/>
      <c r="F187" s="24"/>
      <c r="G187" s="23"/>
    </row>
    <row r="188" spans="1:7" x14ac:dyDescent="0.35">
      <c r="A188" s="21" t="str">
        <f>IF(COUNTA(B188:G188)=0,"",IF((IF(B188="","Vendor Name, ","")&amp;IF(C188="","State, ",""))&lt;&gt;"","Missing: "&amp;LEFT(IF(B188="","Vendor Name, ","")&amp;IF(C188="","State, ",""),LEN(IF(B188="","Vendor Name, ","")&amp;IF(C188="","State, ",""))-2),IF(COUNTIF($B$3:$B$202,B188)&gt;1,"Vendor "&amp;B188&amp;" is listed twice",IF(ISNA(MATCH(C188,Codes!$E$2:$E$37,0)),"Pick the State from the list",IF(E188="","OK",IF(LEN(TRIM(E188))&lt;&gt;15,"GSTIN must be 15 characters - or leave it blank",IF(LEFT(TRIM(E188),2)&lt;&gt;INDEX(Codes!$F$2:$F$37,MATCH(C188,Codes!$E$2:$E$37,0)),"GSTIN starts with "&amp;LEFT(TRIM(E188),2)&amp;" but "&amp;C188&amp;" is "&amp;INDEX(Codes!$F$2:$F$37,MATCH(C188,Codes!$E$2:$E$37,0)),"OK")))))))</f>
        <v/>
      </c>
      <c r="B188" s="22"/>
      <c r="C188" s="22"/>
      <c r="D188" s="23"/>
      <c r="E188" s="24"/>
      <c r="F188" s="24"/>
      <c r="G188" s="23"/>
    </row>
    <row r="189" spans="1:7" x14ac:dyDescent="0.35">
      <c r="A189" s="21" t="str">
        <f>IF(COUNTA(B189:G189)=0,"",IF((IF(B189="","Vendor Name, ","")&amp;IF(C189="","State, ",""))&lt;&gt;"","Missing: "&amp;LEFT(IF(B189="","Vendor Name, ","")&amp;IF(C189="","State, ",""),LEN(IF(B189="","Vendor Name, ","")&amp;IF(C189="","State, ",""))-2),IF(COUNTIF($B$3:$B$202,B189)&gt;1,"Vendor "&amp;B189&amp;" is listed twice",IF(ISNA(MATCH(C189,Codes!$E$2:$E$37,0)),"Pick the State from the list",IF(E189="","OK",IF(LEN(TRIM(E189))&lt;&gt;15,"GSTIN must be 15 characters - or leave it blank",IF(LEFT(TRIM(E189),2)&lt;&gt;INDEX(Codes!$F$2:$F$37,MATCH(C189,Codes!$E$2:$E$37,0)),"GSTIN starts with "&amp;LEFT(TRIM(E189),2)&amp;" but "&amp;C189&amp;" is "&amp;INDEX(Codes!$F$2:$F$37,MATCH(C189,Codes!$E$2:$E$37,0)),"OK")))))))</f>
        <v/>
      </c>
      <c r="B189" s="22"/>
      <c r="C189" s="22"/>
      <c r="D189" s="23"/>
      <c r="E189" s="24"/>
      <c r="F189" s="24"/>
      <c r="G189" s="23"/>
    </row>
    <row r="190" spans="1:7" x14ac:dyDescent="0.35">
      <c r="A190" s="21" t="str">
        <f>IF(COUNTA(B190:G190)=0,"",IF((IF(B190="","Vendor Name, ","")&amp;IF(C190="","State, ",""))&lt;&gt;"","Missing: "&amp;LEFT(IF(B190="","Vendor Name, ","")&amp;IF(C190="","State, ",""),LEN(IF(B190="","Vendor Name, ","")&amp;IF(C190="","State, ",""))-2),IF(COUNTIF($B$3:$B$202,B190)&gt;1,"Vendor "&amp;B190&amp;" is listed twice",IF(ISNA(MATCH(C190,Codes!$E$2:$E$37,0)),"Pick the State from the list",IF(E190="","OK",IF(LEN(TRIM(E190))&lt;&gt;15,"GSTIN must be 15 characters - or leave it blank",IF(LEFT(TRIM(E190),2)&lt;&gt;INDEX(Codes!$F$2:$F$37,MATCH(C190,Codes!$E$2:$E$37,0)),"GSTIN starts with "&amp;LEFT(TRIM(E190),2)&amp;" but "&amp;C190&amp;" is "&amp;INDEX(Codes!$F$2:$F$37,MATCH(C190,Codes!$E$2:$E$37,0)),"OK")))))))</f>
        <v/>
      </c>
      <c r="B190" s="22"/>
      <c r="C190" s="22"/>
      <c r="D190" s="23"/>
      <c r="E190" s="24"/>
      <c r="F190" s="24"/>
      <c r="G190" s="23"/>
    </row>
    <row r="191" spans="1:7" x14ac:dyDescent="0.35">
      <c r="A191" s="21" t="str">
        <f>IF(COUNTA(B191:G191)=0,"",IF((IF(B191="","Vendor Name, ","")&amp;IF(C191="","State, ",""))&lt;&gt;"","Missing: "&amp;LEFT(IF(B191="","Vendor Name, ","")&amp;IF(C191="","State, ",""),LEN(IF(B191="","Vendor Name, ","")&amp;IF(C191="","State, ",""))-2),IF(COUNTIF($B$3:$B$202,B191)&gt;1,"Vendor "&amp;B191&amp;" is listed twice",IF(ISNA(MATCH(C191,Codes!$E$2:$E$37,0)),"Pick the State from the list",IF(E191="","OK",IF(LEN(TRIM(E191))&lt;&gt;15,"GSTIN must be 15 characters - or leave it blank",IF(LEFT(TRIM(E191),2)&lt;&gt;INDEX(Codes!$F$2:$F$37,MATCH(C191,Codes!$E$2:$E$37,0)),"GSTIN starts with "&amp;LEFT(TRIM(E191),2)&amp;" but "&amp;C191&amp;" is "&amp;INDEX(Codes!$F$2:$F$37,MATCH(C191,Codes!$E$2:$E$37,0)),"OK")))))))</f>
        <v/>
      </c>
      <c r="B191" s="22"/>
      <c r="C191" s="22"/>
      <c r="D191" s="23"/>
      <c r="E191" s="24"/>
      <c r="F191" s="24"/>
      <c r="G191" s="23"/>
    </row>
    <row r="192" spans="1:7" x14ac:dyDescent="0.35">
      <c r="A192" s="21" t="str">
        <f>IF(COUNTA(B192:G192)=0,"",IF((IF(B192="","Vendor Name, ","")&amp;IF(C192="","State, ",""))&lt;&gt;"","Missing: "&amp;LEFT(IF(B192="","Vendor Name, ","")&amp;IF(C192="","State, ",""),LEN(IF(B192="","Vendor Name, ","")&amp;IF(C192="","State, ",""))-2),IF(COUNTIF($B$3:$B$202,B192)&gt;1,"Vendor "&amp;B192&amp;" is listed twice",IF(ISNA(MATCH(C192,Codes!$E$2:$E$37,0)),"Pick the State from the list",IF(E192="","OK",IF(LEN(TRIM(E192))&lt;&gt;15,"GSTIN must be 15 characters - or leave it blank",IF(LEFT(TRIM(E192),2)&lt;&gt;INDEX(Codes!$F$2:$F$37,MATCH(C192,Codes!$E$2:$E$37,0)),"GSTIN starts with "&amp;LEFT(TRIM(E192),2)&amp;" but "&amp;C192&amp;" is "&amp;INDEX(Codes!$F$2:$F$37,MATCH(C192,Codes!$E$2:$E$37,0)),"OK")))))))</f>
        <v/>
      </c>
      <c r="B192" s="22"/>
      <c r="C192" s="22"/>
      <c r="D192" s="23"/>
      <c r="E192" s="24"/>
      <c r="F192" s="24"/>
      <c r="G192" s="23"/>
    </row>
    <row r="193" spans="1:7" x14ac:dyDescent="0.35">
      <c r="A193" s="21" t="str">
        <f>IF(COUNTA(B193:G193)=0,"",IF((IF(B193="","Vendor Name, ","")&amp;IF(C193="","State, ",""))&lt;&gt;"","Missing: "&amp;LEFT(IF(B193="","Vendor Name, ","")&amp;IF(C193="","State, ",""),LEN(IF(B193="","Vendor Name, ","")&amp;IF(C193="","State, ",""))-2),IF(COUNTIF($B$3:$B$202,B193)&gt;1,"Vendor "&amp;B193&amp;" is listed twice",IF(ISNA(MATCH(C193,Codes!$E$2:$E$37,0)),"Pick the State from the list",IF(E193="","OK",IF(LEN(TRIM(E193))&lt;&gt;15,"GSTIN must be 15 characters - or leave it blank",IF(LEFT(TRIM(E193),2)&lt;&gt;INDEX(Codes!$F$2:$F$37,MATCH(C193,Codes!$E$2:$E$37,0)),"GSTIN starts with "&amp;LEFT(TRIM(E193),2)&amp;" but "&amp;C193&amp;" is "&amp;INDEX(Codes!$F$2:$F$37,MATCH(C193,Codes!$E$2:$E$37,0)),"OK")))))))</f>
        <v/>
      </c>
      <c r="B193" s="22"/>
      <c r="C193" s="22"/>
      <c r="D193" s="23"/>
      <c r="E193" s="24"/>
      <c r="F193" s="24"/>
      <c r="G193" s="23"/>
    </row>
    <row r="194" spans="1:7" x14ac:dyDescent="0.35">
      <c r="A194" s="21" t="str">
        <f>IF(COUNTA(B194:G194)=0,"",IF((IF(B194="","Vendor Name, ","")&amp;IF(C194="","State, ",""))&lt;&gt;"","Missing: "&amp;LEFT(IF(B194="","Vendor Name, ","")&amp;IF(C194="","State, ",""),LEN(IF(B194="","Vendor Name, ","")&amp;IF(C194="","State, ",""))-2),IF(COUNTIF($B$3:$B$202,B194)&gt;1,"Vendor "&amp;B194&amp;" is listed twice",IF(ISNA(MATCH(C194,Codes!$E$2:$E$37,0)),"Pick the State from the list",IF(E194="","OK",IF(LEN(TRIM(E194))&lt;&gt;15,"GSTIN must be 15 characters - or leave it blank",IF(LEFT(TRIM(E194),2)&lt;&gt;INDEX(Codes!$F$2:$F$37,MATCH(C194,Codes!$E$2:$E$37,0)),"GSTIN starts with "&amp;LEFT(TRIM(E194),2)&amp;" but "&amp;C194&amp;" is "&amp;INDEX(Codes!$F$2:$F$37,MATCH(C194,Codes!$E$2:$E$37,0)),"OK")))))))</f>
        <v/>
      </c>
      <c r="B194" s="22"/>
      <c r="C194" s="22"/>
      <c r="D194" s="23"/>
      <c r="E194" s="24"/>
      <c r="F194" s="24"/>
      <c r="G194" s="23"/>
    </row>
    <row r="195" spans="1:7" x14ac:dyDescent="0.35">
      <c r="A195" s="21" t="str">
        <f>IF(COUNTA(B195:G195)=0,"",IF((IF(B195="","Vendor Name, ","")&amp;IF(C195="","State, ",""))&lt;&gt;"","Missing: "&amp;LEFT(IF(B195="","Vendor Name, ","")&amp;IF(C195="","State, ",""),LEN(IF(B195="","Vendor Name, ","")&amp;IF(C195="","State, ",""))-2),IF(COUNTIF($B$3:$B$202,B195)&gt;1,"Vendor "&amp;B195&amp;" is listed twice",IF(ISNA(MATCH(C195,Codes!$E$2:$E$37,0)),"Pick the State from the list",IF(E195="","OK",IF(LEN(TRIM(E195))&lt;&gt;15,"GSTIN must be 15 characters - or leave it blank",IF(LEFT(TRIM(E195),2)&lt;&gt;INDEX(Codes!$F$2:$F$37,MATCH(C195,Codes!$E$2:$E$37,0)),"GSTIN starts with "&amp;LEFT(TRIM(E195),2)&amp;" but "&amp;C195&amp;" is "&amp;INDEX(Codes!$F$2:$F$37,MATCH(C195,Codes!$E$2:$E$37,0)),"OK")))))))</f>
        <v/>
      </c>
      <c r="B195" s="22"/>
      <c r="C195" s="22"/>
      <c r="D195" s="23"/>
      <c r="E195" s="24"/>
      <c r="F195" s="24"/>
      <c r="G195" s="23"/>
    </row>
    <row r="196" spans="1:7" x14ac:dyDescent="0.35">
      <c r="A196" s="21" t="str">
        <f>IF(COUNTA(B196:G196)=0,"",IF((IF(B196="","Vendor Name, ","")&amp;IF(C196="","State, ",""))&lt;&gt;"","Missing: "&amp;LEFT(IF(B196="","Vendor Name, ","")&amp;IF(C196="","State, ",""),LEN(IF(B196="","Vendor Name, ","")&amp;IF(C196="","State, ",""))-2),IF(COUNTIF($B$3:$B$202,B196)&gt;1,"Vendor "&amp;B196&amp;" is listed twice",IF(ISNA(MATCH(C196,Codes!$E$2:$E$37,0)),"Pick the State from the list",IF(E196="","OK",IF(LEN(TRIM(E196))&lt;&gt;15,"GSTIN must be 15 characters - or leave it blank",IF(LEFT(TRIM(E196),2)&lt;&gt;INDEX(Codes!$F$2:$F$37,MATCH(C196,Codes!$E$2:$E$37,0)),"GSTIN starts with "&amp;LEFT(TRIM(E196),2)&amp;" but "&amp;C196&amp;" is "&amp;INDEX(Codes!$F$2:$F$37,MATCH(C196,Codes!$E$2:$E$37,0)),"OK")))))))</f>
        <v/>
      </c>
      <c r="B196" s="22"/>
      <c r="C196" s="22"/>
      <c r="D196" s="23"/>
      <c r="E196" s="24"/>
      <c r="F196" s="24"/>
      <c r="G196" s="23"/>
    </row>
    <row r="197" spans="1:7" x14ac:dyDescent="0.35">
      <c r="A197" s="21" t="str">
        <f>IF(COUNTA(B197:G197)=0,"",IF((IF(B197="","Vendor Name, ","")&amp;IF(C197="","State, ",""))&lt;&gt;"","Missing: "&amp;LEFT(IF(B197="","Vendor Name, ","")&amp;IF(C197="","State, ",""),LEN(IF(B197="","Vendor Name, ","")&amp;IF(C197="","State, ",""))-2),IF(COUNTIF($B$3:$B$202,B197)&gt;1,"Vendor "&amp;B197&amp;" is listed twice",IF(ISNA(MATCH(C197,Codes!$E$2:$E$37,0)),"Pick the State from the list",IF(E197="","OK",IF(LEN(TRIM(E197))&lt;&gt;15,"GSTIN must be 15 characters - or leave it blank",IF(LEFT(TRIM(E197),2)&lt;&gt;INDEX(Codes!$F$2:$F$37,MATCH(C197,Codes!$E$2:$E$37,0)),"GSTIN starts with "&amp;LEFT(TRIM(E197),2)&amp;" but "&amp;C197&amp;" is "&amp;INDEX(Codes!$F$2:$F$37,MATCH(C197,Codes!$E$2:$E$37,0)),"OK")))))))</f>
        <v/>
      </c>
      <c r="B197" s="22"/>
      <c r="C197" s="22"/>
      <c r="D197" s="23"/>
      <c r="E197" s="24"/>
      <c r="F197" s="24"/>
      <c r="G197" s="23"/>
    </row>
    <row r="198" spans="1:7" x14ac:dyDescent="0.35">
      <c r="A198" s="21" t="str">
        <f>IF(COUNTA(B198:G198)=0,"",IF((IF(B198="","Vendor Name, ","")&amp;IF(C198="","State, ",""))&lt;&gt;"","Missing: "&amp;LEFT(IF(B198="","Vendor Name, ","")&amp;IF(C198="","State, ",""),LEN(IF(B198="","Vendor Name, ","")&amp;IF(C198="","State, ",""))-2),IF(COUNTIF($B$3:$B$202,B198)&gt;1,"Vendor "&amp;B198&amp;" is listed twice",IF(ISNA(MATCH(C198,Codes!$E$2:$E$37,0)),"Pick the State from the list",IF(E198="","OK",IF(LEN(TRIM(E198))&lt;&gt;15,"GSTIN must be 15 characters - or leave it blank",IF(LEFT(TRIM(E198),2)&lt;&gt;INDEX(Codes!$F$2:$F$37,MATCH(C198,Codes!$E$2:$E$37,0)),"GSTIN starts with "&amp;LEFT(TRIM(E198),2)&amp;" but "&amp;C198&amp;" is "&amp;INDEX(Codes!$F$2:$F$37,MATCH(C198,Codes!$E$2:$E$37,0)),"OK")))))))</f>
        <v/>
      </c>
      <c r="B198" s="22"/>
      <c r="C198" s="22"/>
      <c r="D198" s="23"/>
      <c r="E198" s="24"/>
      <c r="F198" s="24"/>
      <c r="G198" s="23"/>
    </row>
    <row r="199" spans="1:7" x14ac:dyDescent="0.35">
      <c r="A199" s="21" t="str">
        <f>IF(COUNTA(B199:G199)=0,"",IF((IF(B199="","Vendor Name, ","")&amp;IF(C199="","State, ",""))&lt;&gt;"","Missing: "&amp;LEFT(IF(B199="","Vendor Name, ","")&amp;IF(C199="","State, ",""),LEN(IF(B199="","Vendor Name, ","")&amp;IF(C199="","State, ",""))-2),IF(COUNTIF($B$3:$B$202,B199)&gt;1,"Vendor "&amp;B199&amp;" is listed twice",IF(ISNA(MATCH(C199,Codes!$E$2:$E$37,0)),"Pick the State from the list",IF(E199="","OK",IF(LEN(TRIM(E199))&lt;&gt;15,"GSTIN must be 15 characters - or leave it blank",IF(LEFT(TRIM(E199),2)&lt;&gt;INDEX(Codes!$F$2:$F$37,MATCH(C199,Codes!$E$2:$E$37,0)),"GSTIN starts with "&amp;LEFT(TRIM(E199),2)&amp;" but "&amp;C199&amp;" is "&amp;INDEX(Codes!$F$2:$F$37,MATCH(C199,Codes!$E$2:$E$37,0)),"OK")))))))</f>
        <v/>
      </c>
      <c r="B199" s="22"/>
      <c r="C199" s="22"/>
      <c r="D199" s="23"/>
      <c r="E199" s="24"/>
      <c r="F199" s="24"/>
      <c r="G199" s="23"/>
    </row>
    <row r="200" spans="1:7" x14ac:dyDescent="0.35">
      <c r="A200" s="21" t="str">
        <f>IF(COUNTA(B200:G200)=0,"",IF((IF(B200="","Vendor Name, ","")&amp;IF(C200="","State, ",""))&lt;&gt;"","Missing: "&amp;LEFT(IF(B200="","Vendor Name, ","")&amp;IF(C200="","State, ",""),LEN(IF(B200="","Vendor Name, ","")&amp;IF(C200="","State, ",""))-2),IF(COUNTIF($B$3:$B$202,B200)&gt;1,"Vendor "&amp;B200&amp;" is listed twice",IF(ISNA(MATCH(C200,Codes!$E$2:$E$37,0)),"Pick the State from the list",IF(E200="","OK",IF(LEN(TRIM(E200))&lt;&gt;15,"GSTIN must be 15 characters - or leave it blank",IF(LEFT(TRIM(E200),2)&lt;&gt;INDEX(Codes!$F$2:$F$37,MATCH(C200,Codes!$E$2:$E$37,0)),"GSTIN starts with "&amp;LEFT(TRIM(E200),2)&amp;" but "&amp;C200&amp;" is "&amp;INDEX(Codes!$F$2:$F$37,MATCH(C200,Codes!$E$2:$E$37,0)),"OK")))))))</f>
        <v/>
      </c>
      <c r="B200" s="22"/>
      <c r="C200" s="22"/>
      <c r="D200" s="23"/>
      <c r="E200" s="24"/>
      <c r="F200" s="24"/>
      <c r="G200" s="23"/>
    </row>
    <row r="201" spans="1:7" x14ac:dyDescent="0.35">
      <c r="A201" s="21" t="str">
        <f>IF(COUNTA(B201:G201)=0,"",IF((IF(B201="","Vendor Name, ","")&amp;IF(C201="","State, ",""))&lt;&gt;"","Missing: "&amp;LEFT(IF(B201="","Vendor Name, ","")&amp;IF(C201="","State, ",""),LEN(IF(B201="","Vendor Name, ","")&amp;IF(C201="","State, ",""))-2),IF(COUNTIF($B$3:$B$202,B201)&gt;1,"Vendor "&amp;B201&amp;" is listed twice",IF(ISNA(MATCH(C201,Codes!$E$2:$E$37,0)),"Pick the State from the list",IF(E201="","OK",IF(LEN(TRIM(E201))&lt;&gt;15,"GSTIN must be 15 characters - or leave it blank",IF(LEFT(TRIM(E201),2)&lt;&gt;INDEX(Codes!$F$2:$F$37,MATCH(C201,Codes!$E$2:$E$37,0)),"GSTIN starts with "&amp;LEFT(TRIM(E201),2)&amp;" but "&amp;C201&amp;" is "&amp;INDEX(Codes!$F$2:$F$37,MATCH(C201,Codes!$E$2:$E$37,0)),"OK")))))))</f>
        <v/>
      </c>
      <c r="B201" s="22"/>
      <c r="C201" s="22"/>
      <c r="D201" s="23"/>
      <c r="E201" s="24"/>
      <c r="F201" s="24"/>
      <c r="G201" s="23"/>
    </row>
    <row r="202" spans="1:7" x14ac:dyDescent="0.35">
      <c r="A202" s="21" t="str">
        <f>IF(COUNTA(B202:G202)=0,"",IF((IF(B202="","Vendor Name, ","")&amp;IF(C202="","State, ",""))&lt;&gt;"","Missing: "&amp;LEFT(IF(B202="","Vendor Name, ","")&amp;IF(C202="","State, ",""),LEN(IF(B202="","Vendor Name, ","")&amp;IF(C202="","State, ",""))-2),IF(COUNTIF($B$3:$B$202,B202)&gt;1,"Vendor "&amp;B202&amp;" is listed twice",IF(ISNA(MATCH(C202,Codes!$E$2:$E$37,0)),"Pick the State from the list",IF(E202="","OK",IF(LEN(TRIM(E202))&lt;&gt;15,"GSTIN must be 15 characters - or leave it blank",IF(LEFT(TRIM(E202),2)&lt;&gt;INDEX(Codes!$F$2:$F$37,MATCH(C202,Codes!$E$2:$E$37,0)),"GSTIN starts with "&amp;LEFT(TRIM(E202),2)&amp;" but "&amp;C202&amp;" is "&amp;INDEX(Codes!$F$2:$F$37,MATCH(C202,Codes!$E$2:$E$37,0)),"OK")))))))</f>
        <v/>
      </c>
      <c r="B202" s="22"/>
      <c r="C202" s="22"/>
      <c r="D202" s="23"/>
      <c r="E202" s="24"/>
      <c r="F202" s="24"/>
      <c r="G202" s="23"/>
    </row>
  </sheetData>
  <conditionalFormatting sqref="A3:A202">
    <cfRule type="expression" dxfId="20" priority="1">
      <formula>A3="OK"</formula>
    </cfRule>
    <cfRule type="expression" dxfId="19" priority="2">
      <formula>AND(LEN(A3)&gt;0,A3&lt;&gt;"OK")</formula>
    </cfRule>
  </conditionalFormatting>
  <conditionalFormatting sqref="B3:C202">
    <cfRule type="expression" dxfId="18" priority="3" stopIfTrue="1">
      <formula>AND(COUNTA($B3:$G3)&gt;0,LEN(TRIM(B3))=0)</formula>
    </cfRule>
  </conditionalFormatting>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ErrorMessage="1" errorTitle="Not in the list" error="Pick the state from the list." xr:uid="{00000000-0002-0000-0100-000000000000}">
          <x14:formula1>
            <xm:f>Codes!$E$2:$E$37</xm:f>
          </x14:formula1>
          <xm:sqref>C3:C202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sheetPr>
  <dimension ref="A1:W1002"/>
  <sheetViews>
    <sheetView workbookViewId="0">
      <pane xSplit="5" ySplit="2" topLeftCell="F3" activePane="bottomRight" state="frozen"/>
      <selection pane="topRight"/>
      <selection pane="bottomLeft"/>
      <selection pane="bottomRight"/>
    </sheetView>
  </sheetViews>
  <sheetFormatPr defaultRowHeight="14.5" x14ac:dyDescent="0.35"/>
  <cols>
    <col min="1" max="1" width="30" customWidth="1"/>
    <col min="2" max="3" width="14" customWidth="1"/>
    <col min="4" max="4" width="13" customWidth="1"/>
    <col min="5" max="5" width="11" customWidth="1"/>
    <col min="6" max="6" width="14" customWidth="1"/>
    <col min="7" max="7" width="12" customWidth="1"/>
    <col min="8" max="8" width="30" customWidth="1"/>
    <col min="9" max="9" width="8" customWidth="1"/>
    <col min="10" max="10" width="14" customWidth="1"/>
    <col min="11" max="11" width="11" customWidth="1"/>
    <col min="12" max="12" width="12" customWidth="1"/>
    <col min="13" max="13" width="10" customWidth="1"/>
    <col min="14" max="14" width="11" customWidth="1"/>
    <col min="15" max="15" width="12" customWidth="1"/>
    <col min="16" max="16" width="22" customWidth="1"/>
    <col min="17" max="17" width="7" customWidth="1"/>
    <col min="18" max="18" width="12" customWidth="1"/>
    <col min="19" max="19" width="10" customWidth="1"/>
    <col min="20" max="20" width="12" customWidth="1"/>
    <col min="21" max="21" width="17" customWidth="1"/>
    <col min="22" max="22" width="10" customWidth="1"/>
    <col min="23" max="23" width="13" customWidth="1"/>
  </cols>
  <sheetData>
    <row r="1" spans="1:23" ht="30" customHeight="1" x14ac:dyDescent="0.35">
      <c r="A1" s="18" t="s">
        <v>117</v>
      </c>
      <c r="B1" s="19" t="s">
        <v>138</v>
      </c>
      <c r="C1" s="19" t="s">
        <v>139</v>
      </c>
      <c r="D1" s="19" t="s">
        <v>140</v>
      </c>
      <c r="E1" s="25" t="s">
        <v>56</v>
      </c>
      <c r="F1" s="25" t="s">
        <v>141</v>
      </c>
      <c r="G1" s="25" t="s">
        <v>142</v>
      </c>
      <c r="H1" s="26" t="s">
        <v>143</v>
      </c>
      <c r="I1" s="18" t="s">
        <v>69</v>
      </c>
      <c r="J1" s="25" t="s">
        <v>73</v>
      </c>
      <c r="K1" s="25" t="s">
        <v>76</v>
      </c>
      <c r="L1" s="25" t="s">
        <v>79</v>
      </c>
      <c r="M1" s="25" t="s">
        <v>82</v>
      </c>
      <c r="N1" s="25" t="s">
        <v>85</v>
      </c>
      <c r="O1" s="25" t="s">
        <v>88</v>
      </c>
      <c r="P1" s="25" t="s">
        <v>90</v>
      </c>
      <c r="Q1" s="27" t="s">
        <v>144</v>
      </c>
      <c r="R1" s="27" t="s">
        <v>145</v>
      </c>
      <c r="S1" s="27" t="s">
        <v>146</v>
      </c>
      <c r="T1" s="18" t="s">
        <v>147</v>
      </c>
      <c r="U1" s="28" t="s">
        <v>102</v>
      </c>
      <c r="V1" s="28" t="s">
        <v>106</v>
      </c>
      <c r="W1" s="18" t="s">
        <v>148</v>
      </c>
    </row>
    <row r="2" spans="1:23" ht="60" customHeight="1" x14ac:dyDescent="0.35">
      <c r="A2" s="20" t="s">
        <v>124</v>
      </c>
      <c r="B2" s="20" t="s">
        <v>149</v>
      </c>
      <c r="C2" s="20" t="s">
        <v>150</v>
      </c>
      <c r="D2" s="20" t="s">
        <v>151</v>
      </c>
      <c r="E2" s="20" t="s">
        <v>152</v>
      </c>
      <c r="F2" s="20" t="s">
        <v>153</v>
      </c>
      <c r="G2" s="20" t="s">
        <v>154</v>
      </c>
      <c r="H2" s="20" t="s">
        <v>155</v>
      </c>
      <c r="I2" s="20" t="s">
        <v>156</v>
      </c>
      <c r="J2" s="20" t="s">
        <v>157</v>
      </c>
      <c r="K2" s="20" t="s">
        <v>158</v>
      </c>
      <c r="L2" s="20" t="s">
        <v>127</v>
      </c>
      <c r="M2" s="20" t="s">
        <v>127</v>
      </c>
      <c r="N2" s="20" t="s">
        <v>127</v>
      </c>
      <c r="O2" s="20" t="s">
        <v>127</v>
      </c>
      <c r="P2" s="20" t="s">
        <v>159</v>
      </c>
      <c r="Q2" s="20" t="s">
        <v>160</v>
      </c>
      <c r="R2" s="20" t="s">
        <v>161</v>
      </c>
      <c r="S2" s="20" t="s">
        <v>162</v>
      </c>
      <c r="T2" s="20" t="s">
        <v>163</v>
      </c>
      <c r="U2" s="20" t="s">
        <v>164</v>
      </c>
      <c r="V2" s="20" t="s">
        <v>165</v>
      </c>
      <c r="W2" s="20" t="s">
        <v>166</v>
      </c>
    </row>
    <row r="3" spans="1:23" x14ac:dyDescent="0.35">
      <c r="A3" s="21" t="str">
        <f>IF(COUNTA(B3:H3,J3:S3,U3:V3)=0,"",IF((IF(B3="","PO Ref, ","")&amp;IF(C3="","Vendor, ","")&amp;IF(D3="","Store, ","")&amp;IF(F3="","Product Type, ","")&amp;IF(G3="","Category, ","")&amp;IF(H3="","HSN Code, ","")&amp;IF(Q3="","Qty, ","")&amp;IF(R3="","Purchase Rate, ","")&amp;IF(S3="","MRP, ",""))&lt;&gt;"","Missing: "&amp;LEFT(IF(B3="","PO Ref, ","")&amp;IF(C3="","Vendor, ","")&amp;IF(D3="","Store, ","")&amp;IF(F3="","Product Type, ","")&amp;IF(G3="","Category, ","")&amp;IF(H3="","HSN Code, ","")&amp;IF(Q3="","Qty, ","")&amp;IF(R3="","Purchase Rate, ","")&amp;IF(S3="","MRP, ",""),LEN(IF(B3="","PO Ref, ","")&amp;IF(C3="","Vendor, ","")&amp;IF(D3="","Store, ","")&amp;IF(F3="","Product Type, ","")&amp;IF(G3="","Category, ","")&amp;IF(H3="","HSN Code, ","")&amp;IF(Q3="","Qty, ","")&amp;IF(R3="","Purchase Rate, ","")&amp;IF(S3="","MRP, ",""))-2),IF(COUNTIF(Vendors!$B$3:$B$202,C3)=0,"Add vendor "&amp;C3&amp;" on the Vendors sheet",IF(ISNA(MATCH(H3,Codes!$A$2:$A$13,0)),"Pick the HSN Code from the list",IF(AND(E3&lt;&gt;"",COUNTIFS($C$3:$C$1002,C3,$E$3:$E$1002,E3,$F$3:$F$1002,"&lt;&gt;"&amp;F3)+COUNTIFS($C$3:$C$1002,C3,$E$3:$E$1002,E3,$G$3:$G$1002,"&lt;&gt;"&amp;G3)&gt;0),"Design "&amp;E3&amp;" has another Product Type or Category on another row",IF(COUNTIFS($F$3:$F$1002,F3,$G$3:$G$1002,G3,$H$3:$H$1002,"&lt;&gt;"&amp;H3)&gt;0,F3&amp;" + "&amp;G3&amp;" has another HSN Code on another row",IF(AND(V3&lt;&gt;"",U3=""),"Received Qty needs the Vendor Invoice No",IF(AND(U3&lt;&gt;"",COUNTIFS(Bills!$B$3:$B$302,U3,Bills!$C$3:$C$302,C3)=0),"Add bill "&amp;U3&amp;" of "&amp;C3&amp;" on the Bills sheet",IF(S3&lt;R3,"MRP is below the Purchase Rate","OK")))))))))</f>
        <v/>
      </c>
      <c r="B3" s="29"/>
      <c r="C3" s="22"/>
      <c r="D3" s="22"/>
      <c r="E3" s="24"/>
      <c r="F3" s="22"/>
      <c r="G3" s="22"/>
      <c r="H3" s="22"/>
      <c r="I3" s="30" t="str">
        <f>IF(H3="","",IFERROR(INDEX(Codes!$B$2:$B$13,MATCH(H3,Codes!$A$2:$A$13,0)),""))</f>
        <v/>
      </c>
      <c r="J3" s="23"/>
      <c r="K3" s="23"/>
      <c r="L3" s="23"/>
      <c r="M3" s="23"/>
      <c r="N3" s="23"/>
      <c r="O3" s="23"/>
      <c r="P3" s="23"/>
      <c r="Q3" s="31"/>
      <c r="R3" s="32"/>
      <c r="S3" s="32"/>
      <c r="T3" s="33" t="str">
        <f t="shared" ref="T3:T66" si="0">IF(OR(Q3="",R3=""),"",Q3*R3)</f>
        <v/>
      </c>
      <c r="U3" s="34"/>
      <c r="V3" s="35"/>
      <c r="W3" s="33" t="str">
        <f t="shared" ref="W3:W66" si="1">IF(OR(U3="",R3=""),"",IF(V3="",Q3,V3)*R3)</f>
        <v/>
      </c>
    </row>
    <row r="4" spans="1:23" x14ac:dyDescent="0.35">
      <c r="A4" s="21" t="str">
        <f>IF(COUNTA(B4:H4,J4:S4,U4:V4)=0,"",IF((IF(B4="","PO Ref, ","")&amp;IF(C4="","Vendor, ","")&amp;IF(D4="","Store, ","")&amp;IF(F4="","Product Type, ","")&amp;IF(G4="","Category, ","")&amp;IF(H4="","HSN Code, ","")&amp;IF(Q4="","Qty, ","")&amp;IF(R4="","Purchase Rate, ","")&amp;IF(S4="","MRP, ",""))&lt;&gt;"","Missing: "&amp;LEFT(IF(B4="","PO Ref, ","")&amp;IF(C4="","Vendor, ","")&amp;IF(D4="","Store, ","")&amp;IF(F4="","Product Type, ","")&amp;IF(G4="","Category, ","")&amp;IF(H4="","HSN Code, ","")&amp;IF(Q4="","Qty, ","")&amp;IF(R4="","Purchase Rate, ","")&amp;IF(S4="","MRP, ",""),LEN(IF(B4="","PO Ref, ","")&amp;IF(C4="","Vendor, ","")&amp;IF(D4="","Store, ","")&amp;IF(F4="","Product Type, ","")&amp;IF(G4="","Category, ","")&amp;IF(H4="","HSN Code, ","")&amp;IF(Q4="","Qty, ","")&amp;IF(R4="","Purchase Rate, ","")&amp;IF(S4="","MRP, ",""))-2),IF(COUNTIF(Vendors!$B$3:$B$202,C4)=0,"Add vendor "&amp;C4&amp;" on the Vendors sheet",IF(ISNA(MATCH(H4,Codes!$A$2:$A$13,0)),"Pick the HSN Code from the list",IF(AND(E4&lt;&gt;"",COUNTIFS($C$3:$C$1002,C4,$E$3:$E$1002,E4,$F$3:$F$1002,"&lt;&gt;"&amp;F4)+COUNTIFS($C$3:$C$1002,C4,$E$3:$E$1002,E4,$G$3:$G$1002,"&lt;&gt;"&amp;G4)&gt;0),"Design "&amp;E4&amp;" has another Product Type or Category on another row",IF(COUNTIFS($F$3:$F$1002,F4,$G$3:$G$1002,G4,$H$3:$H$1002,"&lt;&gt;"&amp;H4)&gt;0,F4&amp;" + "&amp;G4&amp;" has another HSN Code on another row",IF(AND(V4&lt;&gt;"",U4=""),"Received Qty needs the Vendor Invoice No",IF(AND(U4&lt;&gt;"",COUNTIFS(Bills!$B$3:$B$302,U4,Bills!$C$3:$C$302,C4)=0),"Add bill "&amp;U4&amp;" of "&amp;C4&amp;" on the Bills sheet",IF(S4&lt;R4,"MRP is below the Purchase Rate","OK")))))))))</f>
        <v/>
      </c>
      <c r="B4" s="29"/>
      <c r="C4" s="22"/>
      <c r="D4" s="22"/>
      <c r="E4" s="24"/>
      <c r="F4" s="22"/>
      <c r="G4" s="22"/>
      <c r="H4" s="22"/>
      <c r="I4" s="30" t="str">
        <f>IF(H4="","",IFERROR(INDEX(Codes!$B$2:$B$13,MATCH(H4,Codes!$A$2:$A$13,0)),""))</f>
        <v/>
      </c>
      <c r="J4" s="23"/>
      <c r="K4" s="23"/>
      <c r="L4" s="23"/>
      <c r="M4" s="23"/>
      <c r="N4" s="23"/>
      <c r="O4" s="23"/>
      <c r="P4" s="23"/>
      <c r="Q4" s="31"/>
      <c r="R4" s="32"/>
      <c r="S4" s="32"/>
      <c r="T4" s="33" t="str">
        <f t="shared" si="0"/>
        <v/>
      </c>
      <c r="U4" s="34"/>
      <c r="V4" s="35"/>
      <c r="W4" s="33" t="str">
        <f t="shared" si="1"/>
        <v/>
      </c>
    </row>
    <row r="5" spans="1:23" x14ac:dyDescent="0.35">
      <c r="A5" s="21" t="str">
        <f>IF(COUNTA(B5:H5,J5:S5,U5:V5)=0,"",IF((IF(B5="","PO Ref, ","")&amp;IF(C5="","Vendor, ","")&amp;IF(D5="","Store, ","")&amp;IF(F5="","Product Type, ","")&amp;IF(G5="","Category, ","")&amp;IF(H5="","HSN Code, ","")&amp;IF(Q5="","Qty, ","")&amp;IF(R5="","Purchase Rate, ","")&amp;IF(S5="","MRP, ",""))&lt;&gt;"","Missing: "&amp;LEFT(IF(B5="","PO Ref, ","")&amp;IF(C5="","Vendor, ","")&amp;IF(D5="","Store, ","")&amp;IF(F5="","Product Type, ","")&amp;IF(G5="","Category, ","")&amp;IF(H5="","HSN Code, ","")&amp;IF(Q5="","Qty, ","")&amp;IF(R5="","Purchase Rate, ","")&amp;IF(S5="","MRP, ",""),LEN(IF(B5="","PO Ref, ","")&amp;IF(C5="","Vendor, ","")&amp;IF(D5="","Store, ","")&amp;IF(F5="","Product Type, ","")&amp;IF(G5="","Category, ","")&amp;IF(H5="","HSN Code, ","")&amp;IF(Q5="","Qty, ","")&amp;IF(R5="","Purchase Rate, ","")&amp;IF(S5="","MRP, ",""))-2),IF(COUNTIF(Vendors!$B$3:$B$202,C5)=0,"Add vendor "&amp;C5&amp;" on the Vendors sheet",IF(ISNA(MATCH(H5,Codes!$A$2:$A$13,0)),"Pick the HSN Code from the list",IF(AND(E5&lt;&gt;"",COUNTIFS($C$3:$C$1002,C5,$E$3:$E$1002,E5,$F$3:$F$1002,"&lt;&gt;"&amp;F5)+COUNTIFS($C$3:$C$1002,C5,$E$3:$E$1002,E5,$G$3:$G$1002,"&lt;&gt;"&amp;G5)&gt;0),"Design "&amp;E5&amp;" has another Product Type or Category on another row",IF(COUNTIFS($F$3:$F$1002,F5,$G$3:$G$1002,G5,$H$3:$H$1002,"&lt;&gt;"&amp;H5)&gt;0,F5&amp;" + "&amp;G5&amp;" has another HSN Code on another row",IF(AND(V5&lt;&gt;"",U5=""),"Received Qty needs the Vendor Invoice No",IF(AND(U5&lt;&gt;"",COUNTIFS(Bills!$B$3:$B$302,U5,Bills!$C$3:$C$302,C5)=0),"Add bill "&amp;U5&amp;" of "&amp;C5&amp;" on the Bills sheet",IF(S5&lt;R5,"MRP is below the Purchase Rate","OK")))))))))</f>
        <v/>
      </c>
      <c r="B5" s="29"/>
      <c r="C5" s="22"/>
      <c r="D5" s="22"/>
      <c r="E5" s="24"/>
      <c r="F5" s="22"/>
      <c r="G5" s="22"/>
      <c r="H5" s="22"/>
      <c r="I5" s="30" t="str">
        <f>IF(H5="","",IFERROR(INDEX(Codes!$B$2:$B$13,MATCH(H5,Codes!$A$2:$A$13,0)),""))</f>
        <v/>
      </c>
      <c r="J5" s="23"/>
      <c r="K5" s="23"/>
      <c r="L5" s="23"/>
      <c r="M5" s="23"/>
      <c r="N5" s="23"/>
      <c r="O5" s="23"/>
      <c r="P5" s="23"/>
      <c r="Q5" s="31"/>
      <c r="R5" s="32"/>
      <c r="S5" s="32"/>
      <c r="T5" s="33" t="str">
        <f t="shared" si="0"/>
        <v/>
      </c>
      <c r="U5" s="34"/>
      <c r="V5" s="35"/>
      <c r="W5" s="33" t="str">
        <f t="shared" si="1"/>
        <v/>
      </c>
    </row>
    <row r="6" spans="1:23" x14ac:dyDescent="0.35">
      <c r="A6" s="21" t="str">
        <f>IF(COUNTA(B6:H6,J6:S6,U6:V6)=0,"",IF((IF(B6="","PO Ref, ","")&amp;IF(C6="","Vendor, ","")&amp;IF(D6="","Store, ","")&amp;IF(F6="","Product Type, ","")&amp;IF(G6="","Category, ","")&amp;IF(H6="","HSN Code, ","")&amp;IF(Q6="","Qty, ","")&amp;IF(R6="","Purchase Rate, ","")&amp;IF(S6="","MRP, ",""))&lt;&gt;"","Missing: "&amp;LEFT(IF(B6="","PO Ref, ","")&amp;IF(C6="","Vendor, ","")&amp;IF(D6="","Store, ","")&amp;IF(F6="","Product Type, ","")&amp;IF(G6="","Category, ","")&amp;IF(H6="","HSN Code, ","")&amp;IF(Q6="","Qty, ","")&amp;IF(R6="","Purchase Rate, ","")&amp;IF(S6="","MRP, ",""),LEN(IF(B6="","PO Ref, ","")&amp;IF(C6="","Vendor, ","")&amp;IF(D6="","Store, ","")&amp;IF(F6="","Product Type, ","")&amp;IF(G6="","Category, ","")&amp;IF(H6="","HSN Code, ","")&amp;IF(Q6="","Qty, ","")&amp;IF(R6="","Purchase Rate, ","")&amp;IF(S6="","MRP, ",""))-2),IF(COUNTIF(Vendors!$B$3:$B$202,C6)=0,"Add vendor "&amp;C6&amp;" on the Vendors sheet",IF(ISNA(MATCH(H6,Codes!$A$2:$A$13,0)),"Pick the HSN Code from the list",IF(AND(E6&lt;&gt;"",COUNTIFS($C$3:$C$1002,C6,$E$3:$E$1002,E6,$F$3:$F$1002,"&lt;&gt;"&amp;F6)+COUNTIFS($C$3:$C$1002,C6,$E$3:$E$1002,E6,$G$3:$G$1002,"&lt;&gt;"&amp;G6)&gt;0),"Design "&amp;E6&amp;" has another Product Type or Category on another row",IF(COUNTIFS($F$3:$F$1002,F6,$G$3:$G$1002,G6,$H$3:$H$1002,"&lt;&gt;"&amp;H6)&gt;0,F6&amp;" + "&amp;G6&amp;" has another HSN Code on another row",IF(AND(V6&lt;&gt;"",U6=""),"Received Qty needs the Vendor Invoice No",IF(AND(U6&lt;&gt;"",COUNTIFS(Bills!$B$3:$B$302,U6,Bills!$C$3:$C$302,C6)=0),"Add bill "&amp;U6&amp;" of "&amp;C6&amp;" on the Bills sheet",IF(S6&lt;R6,"MRP is below the Purchase Rate","OK")))))))))</f>
        <v/>
      </c>
      <c r="B6" s="29"/>
      <c r="C6" s="22"/>
      <c r="D6" s="22"/>
      <c r="E6" s="24"/>
      <c r="F6" s="22"/>
      <c r="G6" s="22"/>
      <c r="H6" s="22"/>
      <c r="I6" s="30" t="str">
        <f>IF(H6="","",IFERROR(INDEX(Codes!$B$2:$B$13,MATCH(H6,Codes!$A$2:$A$13,0)),""))</f>
        <v/>
      </c>
      <c r="J6" s="23"/>
      <c r="K6" s="23"/>
      <c r="L6" s="23"/>
      <c r="M6" s="23"/>
      <c r="N6" s="23"/>
      <c r="O6" s="23"/>
      <c r="P6" s="23"/>
      <c r="Q6" s="31"/>
      <c r="R6" s="32"/>
      <c r="S6" s="32"/>
      <c r="T6" s="33" t="str">
        <f t="shared" si="0"/>
        <v/>
      </c>
      <c r="U6" s="34"/>
      <c r="V6" s="35"/>
      <c r="W6" s="33" t="str">
        <f t="shared" si="1"/>
        <v/>
      </c>
    </row>
    <row r="7" spans="1:23" x14ac:dyDescent="0.35">
      <c r="A7" s="21" t="str">
        <f>IF(COUNTA(B7:H7,J7:S7,U7:V7)=0,"",IF((IF(B7="","PO Ref, ","")&amp;IF(C7="","Vendor, ","")&amp;IF(D7="","Store, ","")&amp;IF(F7="","Product Type, ","")&amp;IF(G7="","Category, ","")&amp;IF(H7="","HSN Code, ","")&amp;IF(Q7="","Qty, ","")&amp;IF(R7="","Purchase Rate, ","")&amp;IF(S7="","MRP, ",""))&lt;&gt;"","Missing: "&amp;LEFT(IF(B7="","PO Ref, ","")&amp;IF(C7="","Vendor, ","")&amp;IF(D7="","Store, ","")&amp;IF(F7="","Product Type, ","")&amp;IF(G7="","Category, ","")&amp;IF(H7="","HSN Code, ","")&amp;IF(Q7="","Qty, ","")&amp;IF(R7="","Purchase Rate, ","")&amp;IF(S7="","MRP, ",""),LEN(IF(B7="","PO Ref, ","")&amp;IF(C7="","Vendor, ","")&amp;IF(D7="","Store, ","")&amp;IF(F7="","Product Type, ","")&amp;IF(G7="","Category, ","")&amp;IF(H7="","HSN Code, ","")&amp;IF(Q7="","Qty, ","")&amp;IF(R7="","Purchase Rate, ","")&amp;IF(S7="","MRP, ",""))-2),IF(COUNTIF(Vendors!$B$3:$B$202,C7)=0,"Add vendor "&amp;C7&amp;" on the Vendors sheet",IF(ISNA(MATCH(H7,Codes!$A$2:$A$13,0)),"Pick the HSN Code from the list",IF(AND(E7&lt;&gt;"",COUNTIFS($C$3:$C$1002,C7,$E$3:$E$1002,E7,$F$3:$F$1002,"&lt;&gt;"&amp;F7)+COUNTIFS($C$3:$C$1002,C7,$E$3:$E$1002,E7,$G$3:$G$1002,"&lt;&gt;"&amp;G7)&gt;0),"Design "&amp;E7&amp;" has another Product Type or Category on another row",IF(COUNTIFS($F$3:$F$1002,F7,$G$3:$G$1002,G7,$H$3:$H$1002,"&lt;&gt;"&amp;H7)&gt;0,F7&amp;" + "&amp;G7&amp;" has another HSN Code on another row",IF(AND(V7&lt;&gt;"",U7=""),"Received Qty needs the Vendor Invoice No",IF(AND(U7&lt;&gt;"",COUNTIFS(Bills!$B$3:$B$302,U7,Bills!$C$3:$C$302,C7)=0),"Add bill "&amp;U7&amp;" of "&amp;C7&amp;" on the Bills sheet",IF(S7&lt;R7,"MRP is below the Purchase Rate","OK")))))))))</f>
        <v/>
      </c>
      <c r="B7" s="29"/>
      <c r="C7" s="22"/>
      <c r="D7" s="22"/>
      <c r="E7" s="24"/>
      <c r="F7" s="22"/>
      <c r="G7" s="22"/>
      <c r="H7" s="22"/>
      <c r="I7" s="30" t="str">
        <f>IF(H7="","",IFERROR(INDEX(Codes!$B$2:$B$13,MATCH(H7,Codes!$A$2:$A$13,0)),""))</f>
        <v/>
      </c>
      <c r="J7" s="23"/>
      <c r="K7" s="23"/>
      <c r="L7" s="23"/>
      <c r="M7" s="23"/>
      <c r="N7" s="23"/>
      <c r="O7" s="23"/>
      <c r="P7" s="23"/>
      <c r="Q7" s="31"/>
      <c r="R7" s="32"/>
      <c r="S7" s="32"/>
      <c r="T7" s="33" t="str">
        <f t="shared" si="0"/>
        <v/>
      </c>
      <c r="U7" s="34"/>
      <c r="V7" s="35"/>
      <c r="W7" s="33" t="str">
        <f t="shared" si="1"/>
        <v/>
      </c>
    </row>
    <row r="8" spans="1:23" x14ac:dyDescent="0.35">
      <c r="A8" s="21" t="str">
        <f>IF(COUNTA(B8:H8,J8:S8,U8:V8)=0,"",IF((IF(B8="","PO Ref, ","")&amp;IF(C8="","Vendor, ","")&amp;IF(D8="","Store, ","")&amp;IF(F8="","Product Type, ","")&amp;IF(G8="","Category, ","")&amp;IF(H8="","HSN Code, ","")&amp;IF(Q8="","Qty, ","")&amp;IF(R8="","Purchase Rate, ","")&amp;IF(S8="","MRP, ",""))&lt;&gt;"","Missing: "&amp;LEFT(IF(B8="","PO Ref, ","")&amp;IF(C8="","Vendor, ","")&amp;IF(D8="","Store, ","")&amp;IF(F8="","Product Type, ","")&amp;IF(G8="","Category, ","")&amp;IF(H8="","HSN Code, ","")&amp;IF(Q8="","Qty, ","")&amp;IF(R8="","Purchase Rate, ","")&amp;IF(S8="","MRP, ",""),LEN(IF(B8="","PO Ref, ","")&amp;IF(C8="","Vendor, ","")&amp;IF(D8="","Store, ","")&amp;IF(F8="","Product Type, ","")&amp;IF(G8="","Category, ","")&amp;IF(H8="","HSN Code, ","")&amp;IF(Q8="","Qty, ","")&amp;IF(R8="","Purchase Rate, ","")&amp;IF(S8="","MRP, ",""))-2),IF(COUNTIF(Vendors!$B$3:$B$202,C8)=0,"Add vendor "&amp;C8&amp;" on the Vendors sheet",IF(ISNA(MATCH(H8,Codes!$A$2:$A$13,0)),"Pick the HSN Code from the list",IF(AND(E8&lt;&gt;"",COUNTIFS($C$3:$C$1002,C8,$E$3:$E$1002,E8,$F$3:$F$1002,"&lt;&gt;"&amp;F8)+COUNTIFS($C$3:$C$1002,C8,$E$3:$E$1002,E8,$G$3:$G$1002,"&lt;&gt;"&amp;G8)&gt;0),"Design "&amp;E8&amp;" has another Product Type or Category on another row",IF(COUNTIFS($F$3:$F$1002,F8,$G$3:$G$1002,G8,$H$3:$H$1002,"&lt;&gt;"&amp;H8)&gt;0,F8&amp;" + "&amp;G8&amp;" has another HSN Code on another row",IF(AND(V8&lt;&gt;"",U8=""),"Received Qty needs the Vendor Invoice No",IF(AND(U8&lt;&gt;"",COUNTIFS(Bills!$B$3:$B$302,U8,Bills!$C$3:$C$302,C8)=0),"Add bill "&amp;U8&amp;" of "&amp;C8&amp;" on the Bills sheet",IF(S8&lt;R8,"MRP is below the Purchase Rate","OK")))))))))</f>
        <v/>
      </c>
      <c r="B8" s="29"/>
      <c r="C8" s="22"/>
      <c r="D8" s="22"/>
      <c r="E8" s="24"/>
      <c r="F8" s="22"/>
      <c r="G8" s="22"/>
      <c r="H8" s="22"/>
      <c r="I8" s="30" t="str">
        <f>IF(H8="","",IFERROR(INDEX(Codes!$B$2:$B$13,MATCH(H8,Codes!$A$2:$A$13,0)),""))</f>
        <v/>
      </c>
      <c r="J8" s="23"/>
      <c r="K8" s="23"/>
      <c r="L8" s="23"/>
      <c r="M8" s="23"/>
      <c r="N8" s="23"/>
      <c r="O8" s="23"/>
      <c r="P8" s="23"/>
      <c r="Q8" s="31"/>
      <c r="R8" s="32"/>
      <c r="S8" s="32"/>
      <c r="T8" s="33" t="str">
        <f t="shared" si="0"/>
        <v/>
      </c>
      <c r="U8" s="34"/>
      <c r="V8" s="35"/>
      <c r="W8" s="33" t="str">
        <f t="shared" si="1"/>
        <v/>
      </c>
    </row>
    <row r="9" spans="1:23" x14ac:dyDescent="0.35">
      <c r="A9" s="21" t="str">
        <f>IF(COUNTA(B9:H9,J9:S9,U9:V9)=0,"",IF((IF(B9="","PO Ref, ","")&amp;IF(C9="","Vendor, ","")&amp;IF(D9="","Store, ","")&amp;IF(F9="","Product Type, ","")&amp;IF(G9="","Category, ","")&amp;IF(H9="","HSN Code, ","")&amp;IF(Q9="","Qty, ","")&amp;IF(R9="","Purchase Rate, ","")&amp;IF(S9="","MRP, ",""))&lt;&gt;"","Missing: "&amp;LEFT(IF(B9="","PO Ref, ","")&amp;IF(C9="","Vendor, ","")&amp;IF(D9="","Store, ","")&amp;IF(F9="","Product Type, ","")&amp;IF(G9="","Category, ","")&amp;IF(H9="","HSN Code, ","")&amp;IF(Q9="","Qty, ","")&amp;IF(R9="","Purchase Rate, ","")&amp;IF(S9="","MRP, ",""),LEN(IF(B9="","PO Ref, ","")&amp;IF(C9="","Vendor, ","")&amp;IF(D9="","Store, ","")&amp;IF(F9="","Product Type, ","")&amp;IF(G9="","Category, ","")&amp;IF(H9="","HSN Code, ","")&amp;IF(Q9="","Qty, ","")&amp;IF(R9="","Purchase Rate, ","")&amp;IF(S9="","MRP, ",""))-2),IF(COUNTIF(Vendors!$B$3:$B$202,C9)=0,"Add vendor "&amp;C9&amp;" on the Vendors sheet",IF(ISNA(MATCH(H9,Codes!$A$2:$A$13,0)),"Pick the HSN Code from the list",IF(AND(E9&lt;&gt;"",COUNTIFS($C$3:$C$1002,C9,$E$3:$E$1002,E9,$F$3:$F$1002,"&lt;&gt;"&amp;F9)+COUNTIFS($C$3:$C$1002,C9,$E$3:$E$1002,E9,$G$3:$G$1002,"&lt;&gt;"&amp;G9)&gt;0),"Design "&amp;E9&amp;" has another Product Type or Category on another row",IF(COUNTIFS($F$3:$F$1002,F9,$G$3:$G$1002,G9,$H$3:$H$1002,"&lt;&gt;"&amp;H9)&gt;0,F9&amp;" + "&amp;G9&amp;" has another HSN Code on another row",IF(AND(V9&lt;&gt;"",U9=""),"Received Qty needs the Vendor Invoice No",IF(AND(U9&lt;&gt;"",COUNTIFS(Bills!$B$3:$B$302,U9,Bills!$C$3:$C$302,C9)=0),"Add bill "&amp;U9&amp;" of "&amp;C9&amp;" on the Bills sheet",IF(S9&lt;R9,"MRP is below the Purchase Rate","OK")))))))))</f>
        <v/>
      </c>
      <c r="B9" s="29"/>
      <c r="C9" s="22"/>
      <c r="D9" s="22"/>
      <c r="E9" s="24"/>
      <c r="F9" s="22"/>
      <c r="G9" s="22"/>
      <c r="H9" s="22"/>
      <c r="I9" s="30" t="str">
        <f>IF(H9="","",IFERROR(INDEX(Codes!$B$2:$B$13,MATCH(H9,Codes!$A$2:$A$13,0)),""))</f>
        <v/>
      </c>
      <c r="J9" s="23"/>
      <c r="K9" s="23"/>
      <c r="L9" s="23"/>
      <c r="M9" s="23"/>
      <c r="N9" s="23"/>
      <c r="O9" s="23"/>
      <c r="P9" s="23"/>
      <c r="Q9" s="31"/>
      <c r="R9" s="32"/>
      <c r="S9" s="32"/>
      <c r="T9" s="33" t="str">
        <f t="shared" si="0"/>
        <v/>
      </c>
      <c r="U9" s="34"/>
      <c r="V9" s="35"/>
      <c r="W9" s="33" t="str">
        <f t="shared" si="1"/>
        <v/>
      </c>
    </row>
    <row r="10" spans="1:23" x14ac:dyDescent="0.35">
      <c r="A10" s="21" t="str">
        <f>IF(COUNTA(B10:H10,J10:S10,U10:V10)=0,"",IF((IF(B10="","PO Ref, ","")&amp;IF(C10="","Vendor, ","")&amp;IF(D10="","Store, ","")&amp;IF(F10="","Product Type, ","")&amp;IF(G10="","Category, ","")&amp;IF(H10="","HSN Code, ","")&amp;IF(Q10="","Qty, ","")&amp;IF(R10="","Purchase Rate, ","")&amp;IF(S10="","MRP, ",""))&lt;&gt;"","Missing: "&amp;LEFT(IF(B10="","PO Ref, ","")&amp;IF(C10="","Vendor, ","")&amp;IF(D10="","Store, ","")&amp;IF(F10="","Product Type, ","")&amp;IF(G10="","Category, ","")&amp;IF(H10="","HSN Code, ","")&amp;IF(Q10="","Qty, ","")&amp;IF(R10="","Purchase Rate, ","")&amp;IF(S10="","MRP, ",""),LEN(IF(B10="","PO Ref, ","")&amp;IF(C10="","Vendor, ","")&amp;IF(D10="","Store, ","")&amp;IF(F10="","Product Type, ","")&amp;IF(G10="","Category, ","")&amp;IF(H10="","HSN Code, ","")&amp;IF(Q10="","Qty, ","")&amp;IF(R10="","Purchase Rate, ","")&amp;IF(S10="","MRP, ",""))-2),IF(COUNTIF(Vendors!$B$3:$B$202,C10)=0,"Add vendor "&amp;C10&amp;" on the Vendors sheet",IF(ISNA(MATCH(H10,Codes!$A$2:$A$13,0)),"Pick the HSN Code from the list",IF(AND(E10&lt;&gt;"",COUNTIFS($C$3:$C$1002,C10,$E$3:$E$1002,E10,$F$3:$F$1002,"&lt;&gt;"&amp;F10)+COUNTIFS($C$3:$C$1002,C10,$E$3:$E$1002,E10,$G$3:$G$1002,"&lt;&gt;"&amp;G10)&gt;0),"Design "&amp;E10&amp;" has another Product Type or Category on another row",IF(COUNTIFS($F$3:$F$1002,F10,$G$3:$G$1002,G10,$H$3:$H$1002,"&lt;&gt;"&amp;H10)&gt;0,F10&amp;" + "&amp;G10&amp;" has another HSN Code on another row",IF(AND(V10&lt;&gt;"",U10=""),"Received Qty needs the Vendor Invoice No",IF(AND(U10&lt;&gt;"",COUNTIFS(Bills!$B$3:$B$302,U10,Bills!$C$3:$C$302,C10)=0),"Add bill "&amp;U10&amp;" of "&amp;C10&amp;" on the Bills sheet",IF(S10&lt;R10,"MRP is below the Purchase Rate","OK")))))))))</f>
        <v/>
      </c>
      <c r="B10" s="29"/>
      <c r="C10" s="22"/>
      <c r="D10" s="22"/>
      <c r="E10" s="24"/>
      <c r="F10" s="22"/>
      <c r="G10" s="22"/>
      <c r="H10" s="22"/>
      <c r="I10" s="30" t="str">
        <f>IF(H10="","",IFERROR(INDEX(Codes!$B$2:$B$13,MATCH(H10,Codes!$A$2:$A$13,0)),""))</f>
        <v/>
      </c>
      <c r="J10" s="23"/>
      <c r="K10" s="23"/>
      <c r="L10" s="23"/>
      <c r="M10" s="23"/>
      <c r="N10" s="23"/>
      <c r="O10" s="23"/>
      <c r="P10" s="23"/>
      <c r="Q10" s="31"/>
      <c r="R10" s="32"/>
      <c r="S10" s="32"/>
      <c r="T10" s="33" t="str">
        <f t="shared" si="0"/>
        <v/>
      </c>
      <c r="U10" s="34"/>
      <c r="V10" s="35"/>
      <c r="W10" s="33" t="str">
        <f t="shared" si="1"/>
        <v/>
      </c>
    </row>
    <row r="11" spans="1:23" x14ac:dyDescent="0.35">
      <c r="A11" s="21" t="str">
        <f>IF(COUNTA(B11:H11,J11:S11,U11:V11)=0,"",IF((IF(B11="","PO Ref, ","")&amp;IF(C11="","Vendor, ","")&amp;IF(D11="","Store, ","")&amp;IF(F11="","Product Type, ","")&amp;IF(G11="","Category, ","")&amp;IF(H11="","HSN Code, ","")&amp;IF(Q11="","Qty, ","")&amp;IF(R11="","Purchase Rate, ","")&amp;IF(S11="","MRP, ",""))&lt;&gt;"","Missing: "&amp;LEFT(IF(B11="","PO Ref, ","")&amp;IF(C11="","Vendor, ","")&amp;IF(D11="","Store, ","")&amp;IF(F11="","Product Type, ","")&amp;IF(G11="","Category, ","")&amp;IF(H11="","HSN Code, ","")&amp;IF(Q11="","Qty, ","")&amp;IF(R11="","Purchase Rate, ","")&amp;IF(S11="","MRP, ",""),LEN(IF(B11="","PO Ref, ","")&amp;IF(C11="","Vendor, ","")&amp;IF(D11="","Store, ","")&amp;IF(F11="","Product Type, ","")&amp;IF(G11="","Category, ","")&amp;IF(H11="","HSN Code, ","")&amp;IF(Q11="","Qty, ","")&amp;IF(R11="","Purchase Rate, ","")&amp;IF(S11="","MRP, ",""))-2),IF(COUNTIF(Vendors!$B$3:$B$202,C11)=0,"Add vendor "&amp;C11&amp;" on the Vendors sheet",IF(ISNA(MATCH(H11,Codes!$A$2:$A$13,0)),"Pick the HSN Code from the list",IF(AND(E11&lt;&gt;"",COUNTIFS($C$3:$C$1002,C11,$E$3:$E$1002,E11,$F$3:$F$1002,"&lt;&gt;"&amp;F11)+COUNTIFS($C$3:$C$1002,C11,$E$3:$E$1002,E11,$G$3:$G$1002,"&lt;&gt;"&amp;G11)&gt;0),"Design "&amp;E11&amp;" has another Product Type or Category on another row",IF(COUNTIFS($F$3:$F$1002,F11,$G$3:$G$1002,G11,$H$3:$H$1002,"&lt;&gt;"&amp;H11)&gt;0,F11&amp;" + "&amp;G11&amp;" has another HSN Code on another row",IF(AND(V11&lt;&gt;"",U11=""),"Received Qty needs the Vendor Invoice No",IF(AND(U11&lt;&gt;"",COUNTIFS(Bills!$B$3:$B$302,U11,Bills!$C$3:$C$302,C11)=0),"Add bill "&amp;U11&amp;" of "&amp;C11&amp;" on the Bills sheet",IF(S11&lt;R11,"MRP is below the Purchase Rate","OK")))))))))</f>
        <v/>
      </c>
      <c r="B11" s="29"/>
      <c r="C11" s="22"/>
      <c r="D11" s="22"/>
      <c r="E11" s="24"/>
      <c r="F11" s="22"/>
      <c r="G11" s="22"/>
      <c r="H11" s="22"/>
      <c r="I11" s="30" t="str">
        <f>IF(H11="","",IFERROR(INDEX(Codes!$B$2:$B$13,MATCH(H11,Codes!$A$2:$A$13,0)),""))</f>
        <v/>
      </c>
      <c r="J11" s="23"/>
      <c r="K11" s="23"/>
      <c r="L11" s="23"/>
      <c r="M11" s="23"/>
      <c r="N11" s="23"/>
      <c r="O11" s="23"/>
      <c r="P11" s="23"/>
      <c r="Q11" s="31"/>
      <c r="R11" s="32"/>
      <c r="S11" s="32"/>
      <c r="T11" s="33" t="str">
        <f t="shared" si="0"/>
        <v/>
      </c>
      <c r="U11" s="34"/>
      <c r="V11" s="35"/>
      <c r="W11" s="33" t="str">
        <f t="shared" si="1"/>
        <v/>
      </c>
    </row>
    <row r="12" spans="1:23" x14ac:dyDescent="0.35">
      <c r="A12" s="21" t="str">
        <f>IF(COUNTA(B12:H12,J12:S12,U12:V12)=0,"",IF((IF(B12="","PO Ref, ","")&amp;IF(C12="","Vendor, ","")&amp;IF(D12="","Store, ","")&amp;IF(F12="","Product Type, ","")&amp;IF(G12="","Category, ","")&amp;IF(H12="","HSN Code, ","")&amp;IF(Q12="","Qty, ","")&amp;IF(R12="","Purchase Rate, ","")&amp;IF(S12="","MRP, ",""))&lt;&gt;"","Missing: "&amp;LEFT(IF(B12="","PO Ref, ","")&amp;IF(C12="","Vendor, ","")&amp;IF(D12="","Store, ","")&amp;IF(F12="","Product Type, ","")&amp;IF(G12="","Category, ","")&amp;IF(H12="","HSN Code, ","")&amp;IF(Q12="","Qty, ","")&amp;IF(R12="","Purchase Rate, ","")&amp;IF(S12="","MRP, ",""),LEN(IF(B12="","PO Ref, ","")&amp;IF(C12="","Vendor, ","")&amp;IF(D12="","Store, ","")&amp;IF(F12="","Product Type, ","")&amp;IF(G12="","Category, ","")&amp;IF(H12="","HSN Code, ","")&amp;IF(Q12="","Qty, ","")&amp;IF(R12="","Purchase Rate, ","")&amp;IF(S12="","MRP, ",""))-2),IF(COUNTIF(Vendors!$B$3:$B$202,C12)=0,"Add vendor "&amp;C12&amp;" on the Vendors sheet",IF(ISNA(MATCH(H12,Codes!$A$2:$A$13,0)),"Pick the HSN Code from the list",IF(AND(E12&lt;&gt;"",COUNTIFS($C$3:$C$1002,C12,$E$3:$E$1002,E12,$F$3:$F$1002,"&lt;&gt;"&amp;F12)+COUNTIFS($C$3:$C$1002,C12,$E$3:$E$1002,E12,$G$3:$G$1002,"&lt;&gt;"&amp;G12)&gt;0),"Design "&amp;E12&amp;" has another Product Type or Category on another row",IF(COUNTIFS($F$3:$F$1002,F12,$G$3:$G$1002,G12,$H$3:$H$1002,"&lt;&gt;"&amp;H12)&gt;0,F12&amp;" + "&amp;G12&amp;" has another HSN Code on another row",IF(AND(V12&lt;&gt;"",U12=""),"Received Qty needs the Vendor Invoice No",IF(AND(U12&lt;&gt;"",COUNTIFS(Bills!$B$3:$B$302,U12,Bills!$C$3:$C$302,C12)=0),"Add bill "&amp;U12&amp;" of "&amp;C12&amp;" on the Bills sheet",IF(S12&lt;R12,"MRP is below the Purchase Rate","OK")))))))))</f>
        <v/>
      </c>
      <c r="B12" s="29"/>
      <c r="C12" s="22"/>
      <c r="D12" s="22"/>
      <c r="E12" s="24"/>
      <c r="F12" s="22"/>
      <c r="G12" s="22"/>
      <c r="H12" s="22"/>
      <c r="I12" s="30" t="str">
        <f>IF(H12="","",IFERROR(INDEX(Codes!$B$2:$B$13,MATCH(H12,Codes!$A$2:$A$13,0)),""))</f>
        <v/>
      </c>
      <c r="J12" s="23"/>
      <c r="K12" s="23"/>
      <c r="L12" s="23"/>
      <c r="M12" s="23"/>
      <c r="N12" s="23"/>
      <c r="O12" s="23"/>
      <c r="P12" s="23"/>
      <c r="Q12" s="31"/>
      <c r="R12" s="32"/>
      <c r="S12" s="32"/>
      <c r="T12" s="33" t="str">
        <f t="shared" si="0"/>
        <v/>
      </c>
      <c r="U12" s="34"/>
      <c r="V12" s="35"/>
      <c r="W12" s="33" t="str">
        <f t="shared" si="1"/>
        <v/>
      </c>
    </row>
    <row r="13" spans="1:23" x14ac:dyDescent="0.35">
      <c r="A13" s="21" t="str">
        <f>IF(COUNTA(B13:H13,J13:S13,U13:V13)=0,"",IF((IF(B13="","PO Ref, ","")&amp;IF(C13="","Vendor, ","")&amp;IF(D13="","Store, ","")&amp;IF(F13="","Product Type, ","")&amp;IF(G13="","Category, ","")&amp;IF(H13="","HSN Code, ","")&amp;IF(Q13="","Qty, ","")&amp;IF(R13="","Purchase Rate, ","")&amp;IF(S13="","MRP, ",""))&lt;&gt;"","Missing: "&amp;LEFT(IF(B13="","PO Ref, ","")&amp;IF(C13="","Vendor, ","")&amp;IF(D13="","Store, ","")&amp;IF(F13="","Product Type, ","")&amp;IF(G13="","Category, ","")&amp;IF(H13="","HSN Code, ","")&amp;IF(Q13="","Qty, ","")&amp;IF(R13="","Purchase Rate, ","")&amp;IF(S13="","MRP, ",""),LEN(IF(B13="","PO Ref, ","")&amp;IF(C13="","Vendor, ","")&amp;IF(D13="","Store, ","")&amp;IF(F13="","Product Type, ","")&amp;IF(G13="","Category, ","")&amp;IF(H13="","HSN Code, ","")&amp;IF(Q13="","Qty, ","")&amp;IF(R13="","Purchase Rate, ","")&amp;IF(S13="","MRP, ",""))-2),IF(COUNTIF(Vendors!$B$3:$B$202,C13)=0,"Add vendor "&amp;C13&amp;" on the Vendors sheet",IF(ISNA(MATCH(H13,Codes!$A$2:$A$13,0)),"Pick the HSN Code from the list",IF(AND(E13&lt;&gt;"",COUNTIFS($C$3:$C$1002,C13,$E$3:$E$1002,E13,$F$3:$F$1002,"&lt;&gt;"&amp;F13)+COUNTIFS($C$3:$C$1002,C13,$E$3:$E$1002,E13,$G$3:$G$1002,"&lt;&gt;"&amp;G13)&gt;0),"Design "&amp;E13&amp;" has another Product Type or Category on another row",IF(COUNTIFS($F$3:$F$1002,F13,$G$3:$G$1002,G13,$H$3:$H$1002,"&lt;&gt;"&amp;H13)&gt;0,F13&amp;" + "&amp;G13&amp;" has another HSN Code on another row",IF(AND(V13&lt;&gt;"",U13=""),"Received Qty needs the Vendor Invoice No",IF(AND(U13&lt;&gt;"",COUNTIFS(Bills!$B$3:$B$302,U13,Bills!$C$3:$C$302,C13)=0),"Add bill "&amp;U13&amp;" of "&amp;C13&amp;" on the Bills sheet",IF(S13&lt;R13,"MRP is below the Purchase Rate","OK")))))))))</f>
        <v/>
      </c>
      <c r="B13" s="29"/>
      <c r="C13" s="22"/>
      <c r="D13" s="22"/>
      <c r="E13" s="24"/>
      <c r="F13" s="22"/>
      <c r="G13" s="22"/>
      <c r="H13" s="22"/>
      <c r="I13" s="30" t="str">
        <f>IF(H13="","",IFERROR(INDEX(Codes!$B$2:$B$13,MATCH(H13,Codes!$A$2:$A$13,0)),""))</f>
        <v/>
      </c>
      <c r="J13" s="23"/>
      <c r="K13" s="23"/>
      <c r="L13" s="23"/>
      <c r="M13" s="23"/>
      <c r="N13" s="23"/>
      <c r="O13" s="23"/>
      <c r="P13" s="23"/>
      <c r="Q13" s="31"/>
      <c r="R13" s="32"/>
      <c r="S13" s="32"/>
      <c r="T13" s="33" t="str">
        <f t="shared" si="0"/>
        <v/>
      </c>
      <c r="U13" s="34"/>
      <c r="V13" s="35"/>
      <c r="W13" s="33" t="str">
        <f t="shared" si="1"/>
        <v/>
      </c>
    </row>
    <row r="14" spans="1:23" x14ac:dyDescent="0.35">
      <c r="A14" s="21" t="str">
        <f>IF(COUNTA(B14:H14,J14:S14,U14:V14)=0,"",IF((IF(B14="","PO Ref, ","")&amp;IF(C14="","Vendor, ","")&amp;IF(D14="","Store, ","")&amp;IF(F14="","Product Type, ","")&amp;IF(G14="","Category, ","")&amp;IF(H14="","HSN Code, ","")&amp;IF(Q14="","Qty, ","")&amp;IF(R14="","Purchase Rate, ","")&amp;IF(S14="","MRP, ",""))&lt;&gt;"","Missing: "&amp;LEFT(IF(B14="","PO Ref, ","")&amp;IF(C14="","Vendor, ","")&amp;IF(D14="","Store, ","")&amp;IF(F14="","Product Type, ","")&amp;IF(G14="","Category, ","")&amp;IF(H14="","HSN Code, ","")&amp;IF(Q14="","Qty, ","")&amp;IF(R14="","Purchase Rate, ","")&amp;IF(S14="","MRP, ",""),LEN(IF(B14="","PO Ref, ","")&amp;IF(C14="","Vendor, ","")&amp;IF(D14="","Store, ","")&amp;IF(F14="","Product Type, ","")&amp;IF(G14="","Category, ","")&amp;IF(H14="","HSN Code, ","")&amp;IF(Q14="","Qty, ","")&amp;IF(R14="","Purchase Rate, ","")&amp;IF(S14="","MRP, ",""))-2),IF(COUNTIF(Vendors!$B$3:$B$202,C14)=0,"Add vendor "&amp;C14&amp;" on the Vendors sheet",IF(ISNA(MATCH(H14,Codes!$A$2:$A$13,0)),"Pick the HSN Code from the list",IF(AND(E14&lt;&gt;"",COUNTIFS($C$3:$C$1002,C14,$E$3:$E$1002,E14,$F$3:$F$1002,"&lt;&gt;"&amp;F14)+COUNTIFS($C$3:$C$1002,C14,$E$3:$E$1002,E14,$G$3:$G$1002,"&lt;&gt;"&amp;G14)&gt;0),"Design "&amp;E14&amp;" has another Product Type or Category on another row",IF(COUNTIFS($F$3:$F$1002,F14,$G$3:$G$1002,G14,$H$3:$H$1002,"&lt;&gt;"&amp;H14)&gt;0,F14&amp;" + "&amp;G14&amp;" has another HSN Code on another row",IF(AND(V14&lt;&gt;"",U14=""),"Received Qty needs the Vendor Invoice No",IF(AND(U14&lt;&gt;"",COUNTIFS(Bills!$B$3:$B$302,U14,Bills!$C$3:$C$302,C14)=0),"Add bill "&amp;U14&amp;" of "&amp;C14&amp;" on the Bills sheet",IF(S14&lt;R14,"MRP is below the Purchase Rate","OK")))))))))</f>
        <v/>
      </c>
      <c r="B14" s="29"/>
      <c r="C14" s="22"/>
      <c r="D14" s="22"/>
      <c r="E14" s="24"/>
      <c r="F14" s="22"/>
      <c r="G14" s="22"/>
      <c r="H14" s="22"/>
      <c r="I14" s="30" t="str">
        <f>IF(H14="","",IFERROR(INDEX(Codes!$B$2:$B$13,MATCH(H14,Codes!$A$2:$A$13,0)),""))</f>
        <v/>
      </c>
      <c r="J14" s="23"/>
      <c r="K14" s="23"/>
      <c r="L14" s="23"/>
      <c r="M14" s="23"/>
      <c r="N14" s="23"/>
      <c r="O14" s="23"/>
      <c r="P14" s="23"/>
      <c r="Q14" s="31"/>
      <c r="R14" s="32"/>
      <c r="S14" s="32"/>
      <c r="T14" s="33" t="str">
        <f t="shared" si="0"/>
        <v/>
      </c>
      <c r="U14" s="34"/>
      <c r="V14" s="35"/>
      <c r="W14" s="33" t="str">
        <f t="shared" si="1"/>
        <v/>
      </c>
    </row>
    <row r="15" spans="1:23" x14ac:dyDescent="0.35">
      <c r="A15" s="21" t="str">
        <f>IF(COUNTA(B15:H15,J15:S15,U15:V15)=0,"",IF((IF(B15="","PO Ref, ","")&amp;IF(C15="","Vendor, ","")&amp;IF(D15="","Store, ","")&amp;IF(F15="","Product Type, ","")&amp;IF(G15="","Category, ","")&amp;IF(H15="","HSN Code, ","")&amp;IF(Q15="","Qty, ","")&amp;IF(R15="","Purchase Rate, ","")&amp;IF(S15="","MRP, ",""))&lt;&gt;"","Missing: "&amp;LEFT(IF(B15="","PO Ref, ","")&amp;IF(C15="","Vendor, ","")&amp;IF(D15="","Store, ","")&amp;IF(F15="","Product Type, ","")&amp;IF(G15="","Category, ","")&amp;IF(H15="","HSN Code, ","")&amp;IF(Q15="","Qty, ","")&amp;IF(R15="","Purchase Rate, ","")&amp;IF(S15="","MRP, ",""),LEN(IF(B15="","PO Ref, ","")&amp;IF(C15="","Vendor, ","")&amp;IF(D15="","Store, ","")&amp;IF(F15="","Product Type, ","")&amp;IF(G15="","Category, ","")&amp;IF(H15="","HSN Code, ","")&amp;IF(Q15="","Qty, ","")&amp;IF(R15="","Purchase Rate, ","")&amp;IF(S15="","MRP, ",""))-2),IF(COUNTIF(Vendors!$B$3:$B$202,C15)=0,"Add vendor "&amp;C15&amp;" on the Vendors sheet",IF(ISNA(MATCH(H15,Codes!$A$2:$A$13,0)),"Pick the HSN Code from the list",IF(AND(E15&lt;&gt;"",COUNTIFS($C$3:$C$1002,C15,$E$3:$E$1002,E15,$F$3:$F$1002,"&lt;&gt;"&amp;F15)+COUNTIFS($C$3:$C$1002,C15,$E$3:$E$1002,E15,$G$3:$G$1002,"&lt;&gt;"&amp;G15)&gt;0),"Design "&amp;E15&amp;" has another Product Type or Category on another row",IF(COUNTIFS($F$3:$F$1002,F15,$G$3:$G$1002,G15,$H$3:$H$1002,"&lt;&gt;"&amp;H15)&gt;0,F15&amp;" + "&amp;G15&amp;" has another HSN Code on another row",IF(AND(V15&lt;&gt;"",U15=""),"Received Qty needs the Vendor Invoice No",IF(AND(U15&lt;&gt;"",COUNTIFS(Bills!$B$3:$B$302,U15,Bills!$C$3:$C$302,C15)=0),"Add bill "&amp;U15&amp;" of "&amp;C15&amp;" on the Bills sheet",IF(S15&lt;R15,"MRP is below the Purchase Rate","OK")))))))))</f>
        <v/>
      </c>
      <c r="B15" s="29"/>
      <c r="C15" s="22"/>
      <c r="D15" s="22"/>
      <c r="E15" s="24"/>
      <c r="F15" s="22"/>
      <c r="G15" s="22"/>
      <c r="H15" s="22"/>
      <c r="I15" s="30" t="str">
        <f>IF(H15="","",IFERROR(INDEX(Codes!$B$2:$B$13,MATCH(H15,Codes!$A$2:$A$13,0)),""))</f>
        <v/>
      </c>
      <c r="J15" s="23"/>
      <c r="K15" s="23"/>
      <c r="L15" s="23"/>
      <c r="M15" s="23"/>
      <c r="N15" s="23"/>
      <c r="O15" s="23"/>
      <c r="P15" s="23"/>
      <c r="Q15" s="31"/>
      <c r="R15" s="32"/>
      <c r="S15" s="32"/>
      <c r="T15" s="33" t="str">
        <f t="shared" si="0"/>
        <v/>
      </c>
      <c r="U15" s="34"/>
      <c r="V15" s="35"/>
      <c r="W15" s="33" t="str">
        <f t="shared" si="1"/>
        <v/>
      </c>
    </row>
    <row r="16" spans="1:23" x14ac:dyDescent="0.35">
      <c r="A16" s="21" t="str">
        <f>IF(COUNTA(B16:H16,J16:S16,U16:V16)=0,"",IF((IF(B16="","PO Ref, ","")&amp;IF(C16="","Vendor, ","")&amp;IF(D16="","Store, ","")&amp;IF(F16="","Product Type, ","")&amp;IF(G16="","Category, ","")&amp;IF(H16="","HSN Code, ","")&amp;IF(Q16="","Qty, ","")&amp;IF(R16="","Purchase Rate, ","")&amp;IF(S16="","MRP, ",""))&lt;&gt;"","Missing: "&amp;LEFT(IF(B16="","PO Ref, ","")&amp;IF(C16="","Vendor, ","")&amp;IF(D16="","Store, ","")&amp;IF(F16="","Product Type, ","")&amp;IF(G16="","Category, ","")&amp;IF(H16="","HSN Code, ","")&amp;IF(Q16="","Qty, ","")&amp;IF(R16="","Purchase Rate, ","")&amp;IF(S16="","MRP, ",""),LEN(IF(B16="","PO Ref, ","")&amp;IF(C16="","Vendor, ","")&amp;IF(D16="","Store, ","")&amp;IF(F16="","Product Type, ","")&amp;IF(G16="","Category, ","")&amp;IF(H16="","HSN Code, ","")&amp;IF(Q16="","Qty, ","")&amp;IF(R16="","Purchase Rate, ","")&amp;IF(S16="","MRP, ",""))-2),IF(COUNTIF(Vendors!$B$3:$B$202,C16)=0,"Add vendor "&amp;C16&amp;" on the Vendors sheet",IF(ISNA(MATCH(H16,Codes!$A$2:$A$13,0)),"Pick the HSN Code from the list",IF(AND(E16&lt;&gt;"",COUNTIFS($C$3:$C$1002,C16,$E$3:$E$1002,E16,$F$3:$F$1002,"&lt;&gt;"&amp;F16)+COUNTIFS($C$3:$C$1002,C16,$E$3:$E$1002,E16,$G$3:$G$1002,"&lt;&gt;"&amp;G16)&gt;0),"Design "&amp;E16&amp;" has another Product Type or Category on another row",IF(COUNTIFS($F$3:$F$1002,F16,$G$3:$G$1002,G16,$H$3:$H$1002,"&lt;&gt;"&amp;H16)&gt;0,F16&amp;" + "&amp;G16&amp;" has another HSN Code on another row",IF(AND(V16&lt;&gt;"",U16=""),"Received Qty needs the Vendor Invoice No",IF(AND(U16&lt;&gt;"",COUNTIFS(Bills!$B$3:$B$302,U16,Bills!$C$3:$C$302,C16)=0),"Add bill "&amp;U16&amp;" of "&amp;C16&amp;" on the Bills sheet",IF(S16&lt;R16,"MRP is below the Purchase Rate","OK")))))))))</f>
        <v/>
      </c>
      <c r="B16" s="29"/>
      <c r="C16" s="22"/>
      <c r="D16" s="22"/>
      <c r="E16" s="24"/>
      <c r="F16" s="22"/>
      <c r="G16" s="22"/>
      <c r="H16" s="22"/>
      <c r="I16" s="30" t="str">
        <f>IF(H16="","",IFERROR(INDEX(Codes!$B$2:$B$13,MATCH(H16,Codes!$A$2:$A$13,0)),""))</f>
        <v/>
      </c>
      <c r="J16" s="23"/>
      <c r="K16" s="23"/>
      <c r="L16" s="23"/>
      <c r="M16" s="23"/>
      <c r="N16" s="23"/>
      <c r="O16" s="23"/>
      <c r="P16" s="23"/>
      <c r="Q16" s="31"/>
      <c r="R16" s="32"/>
      <c r="S16" s="32"/>
      <c r="T16" s="33" t="str">
        <f t="shared" si="0"/>
        <v/>
      </c>
      <c r="U16" s="34"/>
      <c r="V16" s="35"/>
      <c r="W16" s="33" t="str">
        <f t="shared" si="1"/>
        <v/>
      </c>
    </row>
    <row r="17" spans="1:23" x14ac:dyDescent="0.35">
      <c r="A17" s="21" t="str">
        <f>IF(COUNTA(B17:H17,J17:S17,U17:V17)=0,"",IF((IF(B17="","PO Ref, ","")&amp;IF(C17="","Vendor, ","")&amp;IF(D17="","Store, ","")&amp;IF(F17="","Product Type, ","")&amp;IF(G17="","Category, ","")&amp;IF(H17="","HSN Code, ","")&amp;IF(Q17="","Qty, ","")&amp;IF(R17="","Purchase Rate, ","")&amp;IF(S17="","MRP, ",""))&lt;&gt;"","Missing: "&amp;LEFT(IF(B17="","PO Ref, ","")&amp;IF(C17="","Vendor, ","")&amp;IF(D17="","Store, ","")&amp;IF(F17="","Product Type, ","")&amp;IF(G17="","Category, ","")&amp;IF(H17="","HSN Code, ","")&amp;IF(Q17="","Qty, ","")&amp;IF(R17="","Purchase Rate, ","")&amp;IF(S17="","MRP, ",""),LEN(IF(B17="","PO Ref, ","")&amp;IF(C17="","Vendor, ","")&amp;IF(D17="","Store, ","")&amp;IF(F17="","Product Type, ","")&amp;IF(G17="","Category, ","")&amp;IF(H17="","HSN Code, ","")&amp;IF(Q17="","Qty, ","")&amp;IF(R17="","Purchase Rate, ","")&amp;IF(S17="","MRP, ",""))-2),IF(COUNTIF(Vendors!$B$3:$B$202,C17)=0,"Add vendor "&amp;C17&amp;" on the Vendors sheet",IF(ISNA(MATCH(H17,Codes!$A$2:$A$13,0)),"Pick the HSN Code from the list",IF(AND(E17&lt;&gt;"",COUNTIFS($C$3:$C$1002,C17,$E$3:$E$1002,E17,$F$3:$F$1002,"&lt;&gt;"&amp;F17)+COUNTIFS($C$3:$C$1002,C17,$E$3:$E$1002,E17,$G$3:$G$1002,"&lt;&gt;"&amp;G17)&gt;0),"Design "&amp;E17&amp;" has another Product Type or Category on another row",IF(COUNTIFS($F$3:$F$1002,F17,$G$3:$G$1002,G17,$H$3:$H$1002,"&lt;&gt;"&amp;H17)&gt;0,F17&amp;" + "&amp;G17&amp;" has another HSN Code on another row",IF(AND(V17&lt;&gt;"",U17=""),"Received Qty needs the Vendor Invoice No",IF(AND(U17&lt;&gt;"",COUNTIFS(Bills!$B$3:$B$302,U17,Bills!$C$3:$C$302,C17)=0),"Add bill "&amp;U17&amp;" of "&amp;C17&amp;" on the Bills sheet",IF(S17&lt;R17,"MRP is below the Purchase Rate","OK")))))))))</f>
        <v/>
      </c>
      <c r="B17" s="29"/>
      <c r="C17" s="22"/>
      <c r="D17" s="22"/>
      <c r="E17" s="24"/>
      <c r="F17" s="22"/>
      <c r="G17" s="22"/>
      <c r="H17" s="22"/>
      <c r="I17" s="30" t="str">
        <f>IF(H17="","",IFERROR(INDEX(Codes!$B$2:$B$13,MATCH(H17,Codes!$A$2:$A$13,0)),""))</f>
        <v/>
      </c>
      <c r="J17" s="23"/>
      <c r="K17" s="23"/>
      <c r="L17" s="23"/>
      <c r="M17" s="23"/>
      <c r="N17" s="23"/>
      <c r="O17" s="23"/>
      <c r="P17" s="23"/>
      <c r="Q17" s="31"/>
      <c r="R17" s="32"/>
      <c r="S17" s="32"/>
      <c r="T17" s="33" t="str">
        <f t="shared" si="0"/>
        <v/>
      </c>
      <c r="U17" s="34"/>
      <c r="V17" s="35"/>
      <c r="W17" s="33" t="str">
        <f t="shared" si="1"/>
        <v/>
      </c>
    </row>
    <row r="18" spans="1:23" x14ac:dyDescent="0.35">
      <c r="A18" s="21" t="str">
        <f>IF(COUNTA(B18:H18,J18:S18,U18:V18)=0,"",IF((IF(B18="","PO Ref, ","")&amp;IF(C18="","Vendor, ","")&amp;IF(D18="","Store, ","")&amp;IF(F18="","Product Type, ","")&amp;IF(G18="","Category, ","")&amp;IF(H18="","HSN Code, ","")&amp;IF(Q18="","Qty, ","")&amp;IF(R18="","Purchase Rate, ","")&amp;IF(S18="","MRP, ",""))&lt;&gt;"","Missing: "&amp;LEFT(IF(B18="","PO Ref, ","")&amp;IF(C18="","Vendor, ","")&amp;IF(D18="","Store, ","")&amp;IF(F18="","Product Type, ","")&amp;IF(G18="","Category, ","")&amp;IF(H18="","HSN Code, ","")&amp;IF(Q18="","Qty, ","")&amp;IF(R18="","Purchase Rate, ","")&amp;IF(S18="","MRP, ",""),LEN(IF(B18="","PO Ref, ","")&amp;IF(C18="","Vendor, ","")&amp;IF(D18="","Store, ","")&amp;IF(F18="","Product Type, ","")&amp;IF(G18="","Category, ","")&amp;IF(H18="","HSN Code, ","")&amp;IF(Q18="","Qty, ","")&amp;IF(R18="","Purchase Rate, ","")&amp;IF(S18="","MRP, ",""))-2),IF(COUNTIF(Vendors!$B$3:$B$202,C18)=0,"Add vendor "&amp;C18&amp;" on the Vendors sheet",IF(ISNA(MATCH(H18,Codes!$A$2:$A$13,0)),"Pick the HSN Code from the list",IF(AND(E18&lt;&gt;"",COUNTIFS($C$3:$C$1002,C18,$E$3:$E$1002,E18,$F$3:$F$1002,"&lt;&gt;"&amp;F18)+COUNTIFS($C$3:$C$1002,C18,$E$3:$E$1002,E18,$G$3:$G$1002,"&lt;&gt;"&amp;G18)&gt;0),"Design "&amp;E18&amp;" has another Product Type or Category on another row",IF(COUNTIFS($F$3:$F$1002,F18,$G$3:$G$1002,G18,$H$3:$H$1002,"&lt;&gt;"&amp;H18)&gt;0,F18&amp;" + "&amp;G18&amp;" has another HSN Code on another row",IF(AND(V18&lt;&gt;"",U18=""),"Received Qty needs the Vendor Invoice No",IF(AND(U18&lt;&gt;"",COUNTIFS(Bills!$B$3:$B$302,U18,Bills!$C$3:$C$302,C18)=0),"Add bill "&amp;U18&amp;" of "&amp;C18&amp;" on the Bills sheet",IF(S18&lt;R18,"MRP is below the Purchase Rate","OK")))))))))</f>
        <v/>
      </c>
      <c r="B18" s="29"/>
      <c r="C18" s="22"/>
      <c r="D18" s="22"/>
      <c r="E18" s="24"/>
      <c r="F18" s="22"/>
      <c r="G18" s="22"/>
      <c r="H18" s="22"/>
      <c r="I18" s="30" t="str">
        <f>IF(H18="","",IFERROR(INDEX(Codes!$B$2:$B$13,MATCH(H18,Codes!$A$2:$A$13,0)),""))</f>
        <v/>
      </c>
      <c r="J18" s="23"/>
      <c r="K18" s="23"/>
      <c r="L18" s="23"/>
      <c r="M18" s="23"/>
      <c r="N18" s="23"/>
      <c r="O18" s="23"/>
      <c r="P18" s="23"/>
      <c r="Q18" s="31"/>
      <c r="R18" s="32"/>
      <c r="S18" s="32"/>
      <c r="T18" s="33" t="str">
        <f t="shared" si="0"/>
        <v/>
      </c>
      <c r="U18" s="34"/>
      <c r="V18" s="35"/>
      <c r="W18" s="33" t="str">
        <f t="shared" si="1"/>
        <v/>
      </c>
    </row>
    <row r="19" spans="1:23" x14ac:dyDescent="0.35">
      <c r="A19" s="21" t="str">
        <f>IF(COUNTA(B19:H19,J19:S19,U19:V19)=0,"",IF((IF(B19="","PO Ref, ","")&amp;IF(C19="","Vendor, ","")&amp;IF(D19="","Store, ","")&amp;IF(F19="","Product Type, ","")&amp;IF(G19="","Category, ","")&amp;IF(H19="","HSN Code, ","")&amp;IF(Q19="","Qty, ","")&amp;IF(R19="","Purchase Rate, ","")&amp;IF(S19="","MRP, ",""))&lt;&gt;"","Missing: "&amp;LEFT(IF(B19="","PO Ref, ","")&amp;IF(C19="","Vendor, ","")&amp;IF(D19="","Store, ","")&amp;IF(F19="","Product Type, ","")&amp;IF(G19="","Category, ","")&amp;IF(H19="","HSN Code, ","")&amp;IF(Q19="","Qty, ","")&amp;IF(R19="","Purchase Rate, ","")&amp;IF(S19="","MRP, ",""),LEN(IF(B19="","PO Ref, ","")&amp;IF(C19="","Vendor, ","")&amp;IF(D19="","Store, ","")&amp;IF(F19="","Product Type, ","")&amp;IF(G19="","Category, ","")&amp;IF(H19="","HSN Code, ","")&amp;IF(Q19="","Qty, ","")&amp;IF(R19="","Purchase Rate, ","")&amp;IF(S19="","MRP, ",""))-2),IF(COUNTIF(Vendors!$B$3:$B$202,C19)=0,"Add vendor "&amp;C19&amp;" on the Vendors sheet",IF(ISNA(MATCH(H19,Codes!$A$2:$A$13,0)),"Pick the HSN Code from the list",IF(AND(E19&lt;&gt;"",COUNTIFS($C$3:$C$1002,C19,$E$3:$E$1002,E19,$F$3:$F$1002,"&lt;&gt;"&amp;F19)+COUNTIFS($C$3:$C$1002,C19,$E$3:$E$1002,E19,$G$3:$G$1002,"&lt;&gt;"&amp;G19)&gt;0),"Design "&amp;E19&amp;" has another Product Type or Category on another row",IF(COUNTIFS($F$3:$F$1002,F19,$G$3:$G$1002,G19,$H$3:$H$1002,"&lt;&gt;"&amp;H19)&gt;0,F19&amp;" + "&amp;G19&amp;" has another HSN Code on another row",IF(AND(V19&lt;&gt;"",U19=""),"Received Qty needs the Vendor Invoice No",IF(AND(U19&lt;&gt;"",COUNTIFS(Bills!$B$3:$B$302,U19,Bills!$C$3:$C$302,C19)=0),"Add bill "&amp;U19&amp;" of "&amp;C19&amp;" on the Bills sheet",IF(S19&lt;R19,"MRP is below the Purchase Rate","OK")))))))))</f>
        <v/>
      </c>
      <c r="B19" s="29"/>
      <c r="C19" s="22"/>
      <c r="D19" s="22"/>
      <c r="E19" s="24"/>
      <c r="F19" s="22"/>
      <c r="G19" s="22"/>
      <c r="H19" s="22"/>
      <c r="I19" s="30" t="str">
        <f>IF(H19="","",IFERROR(INDEX(Codes!$B$2:$B$13,MATCH(H19,Codes!$A$2:$A$13,0)),""))</f>
        <v/>
      </c>
      <c r="J19" s="23"/>
      <c r="K19" s="23"/>
      <c r="L19" s="23"/>
      <c r="M19" s="23"/>
      <c r="N19" s="23"/>
      <c r="O19" s="23"/>
      <c r="P19" s="23"/>
      <c r="Q19" s="31"/>
      <c r="R19" s="32"/>
      <c r="S19" s="32"/>
      <c r="T19" s="33" t="str">
        <f t="shared" si="0"/>
        <v/>
      </c>
      <c r="U19" s="34"/>
      <c r="V19" s="35"/>
      <c r="W19" s="33" t="str">
        <f t="shared" si="1"/>
        <v/>
      </c>
    </row>
    <row r="20" spans="1:23" x14ac:dyDescent="0.35">
      <c r="A20" s="21" t="str">
        <f>IF(COUNTA(B20:H20,J20:S20,U20:V20)=0,"",IF((IF(B20="","PO Ref, ","")&amp;IF(C20="","Vendor, ","")&amp;IF(D20="","Store, ","")&amp;IF(F20="","Product Type, ","")&amp;IF(G20="","Category, ","")&amp;IF(H20="","HSN Code, ","")&amp;IF(Q20="","Qty, ","")&amp;IF(R20="","Purchase Rate, ","")&amp;IF(S20="","MRP, ",""))&lt;&gt;"","Missing: "&amp;LEFT(IF(B20="","PO Ref, ","")&amp;IF(C20="","Vendor, ","")&amp;IF(D20="","Store, ","")&amp;IF(F20="","Product Type, ","")&amp;IF(G20="","Category, ","")&amp;IF(H20="","HSN Code, ","")&amp;IF(Q20="","Qty, ","")&amp;IF(R20="","Purchase Rate, ","")&amp;IF(S20="","MRP, ",""),LEN(IF(B20="","PO Ref, ","")&amp;IF(C20="","Vendor, ","")&amp;IF(D20="","Store, ","")&amp;IF(F20="","Product Type, ","")&amp;IF(G20="","Category, ","")&amp;IF(H20="","HSN Code, ","")&amp;IF(Q20="","Qty, ","")&amp;IF(R20="","Purchase Rate, ","")&amp;IF(S20="","MRP, ",""))-2),IF(COUNTIF(Vendors!$B$3:$B$202,C20)=0,"Add vendor "&amp;C20&amp;" on the Vendors sheet",IF(ISNA(MATCH(H20,Codes!$A$2:$A$13,0)),"Pick the HSN Code from the list",IF(AND(E20&lt;&gt;"",COUNTIFS($C$3:$C$1002,C20,$E$3:$E$1002,E20,$F$3:$F$1002,"&lt;&gt;"&amp;F20)+COUNTIFS($C$3:$C$1002,C20,$E$3:$E$1002,E20,$G$3:$G$1002,"&lt;&gt;"&amp;G20)&gt;0),"Design "&amp;E20&amp;" has another Product Type or Category on another row",IF(COUNTIFS($F$3:$F$1002,F20,$G$3:$G$1002,G20,$H$3:$H$1002,"&lt;&gt;"&amp;H20)&gt;0,F20&amp;" + "&amp;G20&amp;" has another HSN Code on another row",IF(AND(V20&lt;&gt;"",U20=""),"Received Qty needs the Vendor Invoice No",IF(AND(U20&lt;&gt;"",COUNTIFS(Bills!$B$3:$B$302,U20,Bills!$C$3:$C$302,C20)=0),"Add bill "&amp;U20&amp;" of "&amp;C20&amp;" on the Bills sheet",IF(S20&lt;R20,"MRP is below the Purchase Rate","OK")))))))))</f>
        <v/>
      </c>
      <c r="B20" s="29"/>
      <c r="C20" s="22"/>
      <c r="D20" s="22"/>
      <c r="E20" s="24"/>
      <c r="F20" s="22"/>
      <c r="G20" s="22"/>
      <c r="H20" s="22"/>
      <c r="I20" s="30" t="str">
        <f>IF(H20="","",IFERROR(INDEX(Codes!$B$2:$B$13,MATCH(H20,Codes!$A$2:$A$13,0)),""))</f>
        <v/>
      </c>
      <c r="J20" s="23"/>
      <c r="K20" s="23"/>
      <c r="L20" s="23"/>
      <c r="M20" s="23"/>
      <c r="N20" s="23"/>
      <c r="O20" s="23"/>
      <c r="P20" s="23"/>
      <c r="Q20" s="31"/>
      <c r="R20" s="32"/>
      <c r="S20" s="32"/>
      <c r="T20" s="33" t="str">
        <f t="shared" si="0"/>
        <v/>
      </c>
      <c r="U20" s="34"/>
      <c r="V20" s="35"/>
      <c r="W20" s="33" t="str">
        <f t="shared" si="1"/>
        <v/>
      </c>
    </row>
    <row r="21" spans="1:23" x14ac:dyDescent="0.35">
      <c r="A21" s="21" t="str">
        <f>IF(COUNTA(B21:H21,J21:S21,U21:V21)=0,"",IF((IF(B21="","PO Ref, ","")&amp;IF(C21="","Vendor, ","")&amp;IF(D21="","Store, ","")&amp;IF(F21="","Product Type, ","")&amp;IF(G21="","Category, ","")&amp;IF(H21="","HSN Code, ","")&amp;IF(Q21="","Qty, ","")&amp;IF(R21="","Purchase Rate, ","")&amp;IF(S21="","MRP, ",""))&lt;&gt;"","Missing: "&amp;LEFT(IF(B21="","PO Ref, ","")&amp;IF(C21="","Vendor, ","")&amp;IF(D21="","Store, ","")&amp;IF(F21="","Product Type, ","")&amp;IF(G21="","Category, ","")&amp;IF(H21="","HSN Code, ","")&amp;IF(Q21="","Qty, ","")&amp;IF(R21="","Purchase Rate, ","")&amp;IF(S21="","MRP, ",""),LEN(IF(B21="","PO Ref, ","")&amp;IF(C21="","Vendor, ","")&amp;IF(D21="","Store, ","")&amp;IF(F21="","Product Type, ","")&amp;IF(G21="","Category, ","")&amp;IF(H21="","HSN Code, ","")&amp;IF(Q21="","Qty, ","")&amp;IF(R21="","Purchase Rate, ","")&amp;IF(S21="","MRP, ",""))-2),IF(COUNTIF(Vendors!$B$3:$B$202,C21)=0,"Add vendor "&amp;C21&amp;" on the Vendors sheet",IF(ISNA(MATCH(H21,Codes!$A$2:$A$13,0)),"Pick the HSN Code from the list",IF(AND(E21&lt;&gt;"",COUNTIFS($C$3:$C$1002,C21,$E$3:$E$1002,E21,$F$3:$F$1002,"&lt;&gt;"&amp;F21)+COUNTIFS($C$3:$C$1002,C21,$E$3:$E$1002,E21,$G$3:$G$1002,"&lt;&gt;"&amp;G21)&gt;0),"Design "&amp;E21&amp;" has another Product Type or Category on another row",IF(COUNTIFS($F$3:$F$1002,F21,$G$3:$G$1002,G21,$H$3:$H$1002,"&lt;&gt;"&amp;H21)&gt;0,F21&amp;" + "&amp;G21&amp;" has another HSN Code on another row",IF(AND(V21&lt;&gt;"",U21=""),"Received Qty needs the Vendor Invoice No",IF(AND(U21&lt;&gt;"",COUNTIFS(Bills!$B$3:$B$302,U21,Bills!$C$3:$C$302,C21)=0),"Add bill "&amp;U21&amp;" of "&amp;C21&amp;" on the Bills sheet",IF(S21&lt;R21,"MRP is below the Purchase Rate","OK")))))))))</f>
        <v/>
      </c>
      <c r="B21" s="29"/>
      <c r="C21" s="22"/>
      <c r="D21" s="22"/>
      <c r="E21" s="24"/>
      <c r="F21" s="22"/>
      <c r="G21" s="22"/>
      <c r="H21" s="22"/>
      <c r="I21" s="30" t="str">
        <f>IF(H21="","",IFERROR(INDEX(Codes!$B$2:$B$13,MATCH(H21,Codes!$A$2:$A$13,0)),""))</f>
        <v/>
      </c>
      <c r="J21" s="23"/>
      <c r="K21" s="23"/>
      <c r="L21" s="23"/>
      <c r="M21" s="23"/>
      <c r="N21" s="23"/>
      <c r="O21" s="23"/>
      <c r="P21" s="23"/>
      <c r="Q21" s="31"/>
      <c r="R21" s="32"/>
      <c r="S21" s="32"/>
      <c r="T21" s="33" t="str">
        <f t="shared" si="0"/>
        <v/>
      </c>
      <c r="U21" s="34"/>
      <c r="V21" s="35"/>
      <c r="W21" s="33" t="str">
        <f t="shared" si="1"/>
        <v/>
      </c>
    </row>
    <row r="22" spans="1:23" x14ac:dyDescent="0.35">
      <c r="A22" s="21" t="str">
        <f>IF(COUNTA(B22:H22,J22:S22,U22:V22)=0,"",IF((IF(B22="","PO Ref, ","")&amp;IF(C22="","Vendor, ","")&amp;IF(D22="","Store, ","")&amp;IF(F22="","Product Type, ","")&amp;IF(G22="","Category, ","")&amp;IF(H22="","HSN Code, ","")&amp;IF(Q22="","Qty, ","")&amp;IF(R22="","Purchase Rate, ","")&amp;IF(S22="","MRP, ",""))&lt;&gt;"","Missing: "&amp;LEFT(IF(B22="","PO Ref, ","")&amp;IF(C22="","Vendor, ","")&amp;IF(D22="","Store, ","")&amp;IF(F22="","Product Type, ","")&amp;IF(G22="","Category, ","")&amp;IF(H22="","HSN Code, ","")&amp;IF(Q22="","Qty, ","")&amp;IF(R22="","Purchase Rate, ","")&amp;IF(S22="","MRP, ",""),LEN(IF(B22="","PO Ref, ","")&amp;IF(C22="","Vendor, ","")&amp;IF(D22="","Store, ","")&amp;IF(F22="","Product Type, ","")&amp;IF(G22="","Category, ","")&amp;IF(H22="","HSN Code, ","")&amp;IF(Q22="","Qty, ","")&amp;IF(R22="","Purchase Rate, ","")&amp;IF(S22="","MRP, ",""))-2),IF(COUNTIF(Vendors!$B$3:$B$202,C22)=0,"Add vendor "&amp;C22&amp;" on the Vendors sheet",IF(ISNA(MATCH(H22,Codes!$A$2:$A$13,0)),"Pick the HSN Code from the list",IF(AND(E22&lt;&gt;"",COUNTIFS($C$3:$C$1002,C22,$E$3:$E$1002,E22,$F$3:$F$1002,"&lt;&gt;"&amp;F22)+COUNTIFS($C$3:$C$1002,C22,$E$3:$E$1002,E22,$G$3:$G$1002,"&lt;&gt;"&amp;G22)&gt;0),"Design "&amp;E22&amp;" has another Product Type or Category on another row",IF(COUNTIFS($F$3:$F$1002,F22,$G$3:$G$1002,G22,$H$3:$H$1002,"&lt;&gt;"&amp;H22)&gt;0,F22&amp;" + "&amp;G22&amp;" has another HSN Code on another row",IF(AND(V22&lt;&gt;"",U22=""),"Received Qty needs the Vendor Invoice No",IF(AND(U22&lt;&gt;"",COUNTIFS(Bills!$B$3:$B$302,U22,Bills!$C$3:$C$302,C22)=0),"Add bill "&amp;U22&amp;" of "&amp;C22&amp;" on the Bills sheet",IF(S22&lt;R22,"MRP is below the Purchase Rate","OK")))))))))</f>
        <v/>
      </c>
      <c r="B22" s="29"/>
      <c r="C22" s="22"/>
      <c r="D22" s="22"/>
      <c r="E22" s="24"/>
      <c r="F22" s="22"/>
      <c r="G22" s="22"/>
      <c r="H22" s="22"/>
      <c r="I22" s="30" t="str">
        <f>IF(H22="","",IFERROR(INDEX(Codes!$B$2:$B$13,MATCH(H22,Codes!$A$2:$A$13,0)),""))</f>
        <v/>
      </c>
      <c r="J22" s="23"/>
      <c r="K22" s="23"/>
      <c r="L22" s="23"/>
      <c r="M22" s="23"/>
      <c r="N22" s="23"/>
      <c r="O22" s="23"/>
      <c r="P22" s="23"/>
      <c r="Q22" s="31"/>
      <c r="R22" s="32"/>
      <c r="S22" s="32"/>
      <c r="T22" s="33" t="str">
        <f t="shared" si="0"/>
        <v/>
      </c>
      <c r="U22" s="34"/>
      <c r="V22" s="35"/>
      <c r="W22" s="33" t="str">
        <f t="shared" si="1"/>
        <v/>
      </c>
    </row>
    <row r="23" spans="1:23" x14ac:dyDescent="0.35">
      <c r="A23" s="21" t="str">
        <f>IF(COUNTA(B23:H23,J23:S23,U23:V23)=0,"",IF((IF(B23="","PO Ref, ","")&amp;IF(C23="","Vendor, ","")&amp;IF(D23="","Store, ","")&amp;IF(F23="","Product Type, ","")&amp;IF(G23="","Category, ","")&amp;IF(H23="","HSN Code, ","")&amp;IF(Q23="","Qty, ","")&amp;IF(R23="","Purchase Rate, ","")&amp;IF(S23="","MRP, ",""))&lt;&gt;"","Missing: "&amp;LEFT(IF(B23="","PO Ref, ","")&amp;IF(C23="","Vendor, ","")&amp;IF(D23="","Store, ","")&amp;IF(F23="","Product Type, ","")&amp;IF(G23="","Category, ","")&amp;IF(H23="","HSN Code, ","")&amp;IF(Q23="","Qty, ","")&amp;IF(R23="","Purchase Rate, ","")&amp;IF(S23="","MRP, ",""),LEN(IF(B23="","PO Ref, ","")&amp;IF(C23="","Vendor, ","")&amp;IF(D23="","Store, ","")&amp;IF(F23="","Product Type, ","")&amp;IF(G23="","Category, ","")&amp;IF(H23="","HSN Code, ","")&amp;IF(Q23="","Qty, ","")&amp;IF(R23="","Purchase Rate, ","")&amp;IF(S23="","MRP, ",""))-2),IF(COUNTIF(Vendors!$B$3:$B$202,C23)=0,"Add vendor "&amp;C23&amp;" on the Vendors sheet",IF(ISNA(MATCH(H23,Codes!$A$2:$A$13,0)),"Pick the HSN Code from the list",IF(AND(E23&lt;&gt;"",COUNTIFS($C$3:$C$1002,C23,$E$3:$E$1002,E23,$F$3:$F$1002,"&lt;&gt;"&amp;F23)+COUNTIFS($C$3:$C$1002,C23,$E$3:$E$1002,E23,$G$3:$G$1002,"&lt;&gt;"&amp;G23)&gt;0),"Design "&amp;E23&amp;" has another Product Type or Category on another row",IF(COUNTIFS($F$3:$F$1002,F23,$G$3:$G$1002,G23,$H$3:$H$1002,"&lt;&gt;"&amp;H23)&gt;0,F23&amp;" + "&amp;G23&amp;" has another HSN Code on another row",IF(AND(V23&lt;&gt;"",U23=""),"Received Qty needs the Vendor Invoice No",IF(AND(U23&lt;&gt;"",COUNTIFS(Bills!$B$3:$B$302,U23,Bills!$C$3:$C$302,C23)=0),"Add bill "&amp;U23&amp;" of "&amp;C23&amp;" on the Bills sheet",IF(S23&lt;R23,"MRP is below the Purchase Rate","OK")))))))))</f>
        <v/>
      </c>
      <c r="B23" s="29"/>
      <c r="C23" s="22"/>
      <c r="D23" s="22"/>
      <c r="E23" s="24"/>
      <c r="F23" s="22"/>
      <c r="G23" s="22"/>
      <c r="H23" s="22"/>
      <c r="I23" s="30" t="str">
        <f>IF(H23="","",IFERROR(INDEX(Codes!$B$2:$B$13,MATCH(H23,Codes!$A$2:$A$13,0)),""))</f>
        <v/>
      </c>
      <c r="J23" s="23"/>
      <c r="K23" s="23"/>
      <c r="L23" s="23"/>
      <c r="M23" s="23"/>
      <c r="N23" s="23"/>
      <c r="O23" s="23"/>
      <c r="P23" s="23"/>
      <c r="Q23" s="31"/>
      <c r="R23" s="32"/>
      <c r="S23" s="32"/>
      <c r="T23" s="33" t="str">
        <f t="shared" si="0"/>
        <v/>
      </c>
      <c r="U23" s="34"/>
      <c r="V23" s="35"/>
      <c r="W23" s="33" t="str">
        <f t="shared" si="1"/>
        <v/>
      </c>
    </row>
    <row r="24" spans="1:23" x14ac:dyDescent="0.35">
      <c r="A24" s="21" t="str">
        <f>IF(COUNTA(B24:H24,J24:S24,U24:V24)=0,"",IF((IF(B24="","PO Ref, ","")&amp;IF(C24="","Vendor, ","")&amp;IF(D24="","Store, ","")&amp;IF(F24="","Product Type, ","")&amp;IF(G24="","Category, ","")&amp;IF(H24="","HSN Code, ","")&amp;IF(Q24="","Qty, ","")&amp;IF(R24="","Purchase Rate, ","")&amp;IF(S24="","MRP, ",""))&lt;&gt;"","Missing: "&amp;LEFT(IF(B24="","PO Ref, ","")&amp;IF(C24="","Vendor, ","")&amp;IF(D24="","Store, ","")&amp;IF(F24="","Product Type, ","")&amp;IF(G24="","Category, ","")&amp;IF(H24="","HSN Code, ","")&amp;IF(Q24="","Qty, ","")&amp;IF(R24="","Purchase Rate, ","")&amp;IF(S24="","MRP, ",""),LEN(IF(B24="","PO Ref, ","")&amp;IF(C24="","Vendor, ","")&amp;IF(D24="","Store, ","")&amp;IF(F24="","Product Type, ","")&amp;IF(G24="","Category, ","")&amp;IF(H24="","HSN Code, ","")&amp;IF(Q24="","Qty, ","")&amp;IF(R24="","Purchase Rate, ","")&amp;IF(S24="","MRP, ",""))-2),IF(COUNTIF(Vendors!$B$3:$B$202,C24)=0,"Add vendor "&amp;C24&amp;" on the Vendors sheet",IF(ISNA(MATCH(H24,Codes!$A$2:$A$13,0)),"Pick the HSN Code from the list",IF(AND(E24&lt;&gt;"",COUNTIFS($C$3:$C$1002,C24,$E$3:$E$1002,E24,$F$3:$F$1002,"&lt;&gt;"&amp;F24)+COUNTIFS($C$3:$C$1002,C24,$E$3:$E$1002,E24,$G$3:$G$1002,"&lt;&gt;"&amp;G24)&gt;0),"Design "&amp;E24&amp;" has another Product Type or Category on another row",IF(COUNTIFS($F$3:$F$1002,F24,$G$3:$G$1002,G24,$H$3:$H$1002,"&lt;&gt;"&amp;H24)&gt;0,F24&amp;" + "&amp;G24&amp;" has another HSN Code on another row",IF(AND(V24&lt;&gt;"",U24=""),"Received Qty needs the Vendor Invoice No",IF(AND(U24&lt;&gt;"",COUNTIFS(Bills!$B$3:$B$302,U24,Bills!$C$3:$C$302,C24)=0),"Add bill "&amp;U24&amp;" of "&amp;C24&amp;" on the Bills sheet",IF(S24&lt;R24,"MRP is below the Purchase Rate","OK")))))))))</f>
        <v/>
      </c>
      <c r="B24" s="29"/>
      <c r="C24" s="22"/>
      <c r="D24" s="22"/>
      <c r="E24" s="24"/>
      <c r="F24" s="22"/>
      <c r="G24" s="22"/>
      <c r="H24" s="22"/>
      <c r="I24" s="30" t="str">
        <f>IF(H24="","",IFERROR(INDEX(Codes!$B$2:$B$13,MATCH(H24,Codes!$A$2:$A$13,0)),""))</f>
        <v/>
      </c>
      <c r="J24" s="23"/>
      <c r="K24" s="23"/>
      <c r="L24" s="23"/>
      <c r="M24" s="23"/>
      <c r="N24" s="23"/>
      <c r="O24" s="23"/>
      <c r="P24" s="23"/>
      <c r="Q24" s="31"/>
      <c r="R24" s="32"/>
      <c r="S24" s="32"/>
      <c r="T24" s="33" t="str">
        <f t="shared" si="0"/>
        <v/>
      </c>
      <c r="U24" s="34"/>
      <c r="V24" s="35"/>
      <c r="W24" s="33" t="str">
        <f t="shared" si="1"/>
        <v/>
      </c>
    </row>
    <row r="25" spans="1:23" x14ac:dyDescent="0.35">
      <c r="A25" s="21" t="str">
        <f>IF(COUNTA(B25:H25,J25:S25,U25:V25)=0,"",IF((IF(B25="","PO Ref, ","")&amp;IF(C25="","Vendor, ","")&amp;IF(D25="","Store, ","")&amp;IF(F25="","Product Type, ","")&amp;IF(G25="","Category, ","")&amp;IF(H25="","HSN Code, ","")&amp;IF(Q25="","Qty, ","")&amp;IF(R25="","Purchase Rate, ","")&amp;IF(S25="","MRP, ",""))&lt;&gt;"","Missing: "&amp;LEFT(IF(B25="","PO Ref, ","")&amp;IF(C25="","Vendor, ","")&amp;IF(D25="","Store, ","")&amp;IF(F25="","Product Type, ","")&amp;IF(G25="","Category, ","")&amp;IF(H25="","HSN Code, ","")&amp;IF(Q25="","Qty, ","")&amp;IF(R25="","Purchase Rate, ","")&amp;IF(S25="","MRP, ",""),LEN(IF(B25="","PO Ref, ","")&amp;IF(C25="","Vendor, ","")&amp;IF(D25="","Store, ","")&amp;IF(F25="","Product Type, ","")&amp;IF(G25="","Category, ","")&amp;IF(H25="","HSN Code, ","")&amp;IF(Q25="","Qty, ","")&amp;IF(R25="","Purchase Rate, ","")&amp;IF(S25="","MRP, ",""))-2),IF(COUNTIF(Vendors!$B$3:$B$202,C25)=0,"Add vendor "&amp;C25&amp;" on the Vendors sheet",IF(ISNA(MATCH(H25,Codes!$A$2:$A$13,0)),"Pick the HSN Code from the list",IF(AND(E25&lt;&gt;"",COUNTIFS($C$3:$C$1002,C25,$E$3:$E$1002,E25,$F$3:$F$1002,"&lt;&gt;"&amp;F25)+COUNTIFS($C$3:$C$1002,C25,$E$3:$E$1002,E25,$G$3:$G$1002,"&lt;&gt;"&amp;G25)&gt;0),"Design "&amp;E25&amp;" has another Product Type or Category on another row",IF(COUNTIFS($F$3:$F$1002,F25,$G$3:$G$1002,G25,$H$3:$H$1002,"&lt;&gt;"&amp;H25)&gt;0,F25&amp;" + "&amp;G25&amp;" has another HSN Code on another row",IF(AND(V25&lt;&gt;"",U25=""),"Received Qty needs the Vendor Invoice No",IF(AND(U25&lt;&gt;"",COUNTIFS(Bills!$B$3:$B$302,U25,Bills!$C$3:$C$302,C25)=0),"Add bill "&amp;U25&amp;" of "&amp;C25&amp;" on the Bills sheet",IF(S25&lt;R25,"MRP is below the Purchase Rate","OK")))))))))</f>
        <v/>
      </c>
      <c r="B25" s="29"/>
      <c r="C25" s="22"/>
      <c r="D25" s="22"/>
      <c r="E25" s="24"/>
      <c r="F25" s="22"/>
      <c r="G25" s="22"/>
      <c r="H25" s="22"/>
      <c r="I25" s="30" t="str">
        <f>IF(H25="","",IFERROR(INDEX(Codes!$B$2:$B$13,MATCH(H25,Codes!$A$2:$A$13,0)),""))</f>
        <v/>
      </c>
      <c r="J25" s="23"/>
      <c r="K25" s="23"/>
      <c r="L25" s="23"/>
      <c r="M25" s="23"/>
      <c r="N25" s="23"/>
      <c r="O25" s="23"/>
      <c r="P25" s="23"/>
      <c r="Q25" s="31"/>
      <c r="R25" s="32"/>
      <c r="S25" s="32"/>
      <c r="T25" s="33" t="str">
        <f t="shared" si="0"/>
        <v/>
      </c>
      <c r="U25" s="34"/>
      <c r="V25" s="35"/>
      <c r="W25" s="33" t="str">
        <f t="shared" si="1"/>
        <v/>
      </c>
    </row>
    <row r="26" spans="1:23" x14ac:dyDescent="0.35">
      <c r="A26" s="21" t="str">
        <f>IF(COUNTA(B26:H26,J26:S26,U26:V26)=0,"",IF((IF(B26="","PO Ref, ","")&amp;IF(C26="","Vendor, ","")&amp;IF(D26="","Store, ","")&amp;IF(F26="","Product Type, ","")&amp;IF(G26="","Category, ","")&amp;IF(H26="","HSN Code, ","")&amp;IF(Q26="","Qty, ","")&amp;IF(R26="","Purchase Rate, ","")&amp;IF(S26="","MRP, ",""))&lt;&gt;"","Missing: "&amp;LEFT(IF(B26="","PO Ref, ","")&amp;IF(C26="","Vendor, ","")&amp;IF(D26="","Store, ","")&amp;IF(F26="","Product Type, ","")&amp;IF(G26="","Category, ","")&amp;IF(H26="","HSN Code, ","")&amp;IF(Q26="","Qty, ","")&amp;IF(R26="","Purchase Rate, ","")&amp;IF(S26="","MRP, ",""),LEN(IF(B26="","PO Ref, ","")&amp;IF(C26="","Vendor, ","")&amp;IF(D26="","Store, ","")&amp;IF(F26="","Product Type, ","")&amp;IF(G26="","Category, ","")&amp;IF(H26="","HSN Code, ","")&amp;IF(Q26="","Qty, ","")&amp;IF(R26="","Purchase Rate, ","")&amp;IF(S26="","MRP, ",""))-2),IF(COUNTIF(Vendors!$B$3:$B$202,C26)=0,"Add vendor "&amp;C26&amp;" on the Vendors sheet",IF(ISNA(MATCH(H26,Codes!$A$2:$A$13,0)),"Pick the HSN Code from the list",IF(AND(E26&lt;&gt;"",COUNTIFS($C$3:$C$1002,C26,$E$3:$E$1002,E26,$F$3:$F$1002,"&lt;&gt;"&amp;F26)+COUNTIFS($C$3:$C$1002,C26,$E$3:$E$1002,E26,$G$3:$G$1002,"&lt;&gt;"&amp;G26)&gt;0),"Design "&amp;E26&amp;" has another Product Type or Category on another row",IF(COUNTIFS($F$3:$F$1002,F26,$G$3:$G$1002,G26,$H$3:$H$1002,"&lt;&gt;"&amp;H26)&gt;0,F26&amp;" + "&amp;G26&amp;" has another HSN Code on another row",IF(AND(V26&lt;&gt;"",U26=""),"Received Qty needs the Vendor Invoice No",IF(AND(U26&lt;&gt;"",COUNTIFS(Bills!$B$3:$B$302,U26,Bills!$C$3:$C$302,C26)=0),"Add bill "&amp;U26&amp;" of "&amp;C26&amp;" on the Bills sheet",IF(S26&lt;R26,"MRP is below the Purchase Rate","OK")))))))))</f>
        <v/>
      </c>
      <c r="B26" s="29"/>
      <c r="C26" s="22"/>
      <c r="D26" s="22"/>
      <c r="E26" s="24"/>
      <c r="F26" s="22"/>
      <c r="G26" s="22"/>
      <c r="H26" s="22"/>
      <c r="I26" s="30" t="str">
        <f>IF(H26="","",IFERROR(INDEX(Codes!$B$2:$B$13,MATCH(H26,Codes!$A$2:$A$13,0)),""))</f>
        <v/>
      </c>
      <c r="J26" s="23"/>
      <c r="K26" s="23"/>
      <c r="L26" s="23"/>
      <c r="M26" s="23"/>
      <c r="N26" s="23"/>
      <c r="O26" s="23"/>
      <c r="P26" s="23"/>
      <c r="Q26" s="31"/>
      <c r="R26" s="32"/>
      <c r="S26" s="32"/>
      <c r="T26" s="33" t="str">
        <f t="shared" si="0"/>
        <v/>
      </c>
      <c r="U26" s="34"/>
      <c r="V26" s="35"/>
      <c r="W26" s="33" t="str">
        <f t="shared" si="1"/>
        <v/>
      </c>
    </row>
    <row r="27" spans="1:23" x14ac:dyDescent="0.35">
      <c r="A27" s="21" t="str">
        <f>IF(COUNTA(B27:H27,J27:S27,U27:V27)=0,"",IF((IF(B27="","PO Ref, ","")&amp;IF(C27="","Vendor, ","")&amp;IF(D27="","Store, ","")&amp;IF(F27="","Product Type, ","")&amp;IF(G27="","Category, ","")&amp;IF(H27="","HSN Code, ","")&amp;IF(Q27="","Qty, ","")&amp;IF(R27="","Purchase Rate, ","")&amp;IF(S27="","MRP, ",""))&lt;&gt;"","Missing: "&amp;LEFT(IF(B27="","PO Ref, ","")&amp;IF(C27="","Vendor, ","")&amp;IF(D27="","Store, ","")&amp;IF(F27="","Product Type, ","")&amp;IF(G27="","Category, ","")&amp;IF(H27="","HSN Code, ","")&amp;IF(Q27="","Qty, ","")&amp;IF(R27="","Purchase Rate, ","")&amp;IF(S27="","MRP, ",""),LEN(IF(B27="","PO Ref, ","")&amp;IF(C27="","Vendor, ","")&amp;IF(D27="","Store, ","")&amp;IF(F27="","Product Type, ","")&amp;IF(G27="","Category, ","")&amp;IF(H27="","HSN Code, ","")&amp;IF(Q27="","Qty, ","")&amp;IF(R27="","Purchase Rate, ","")&amp;IF(S27="","MRP, ",""))-2),IF(COUNTIF(Vendors!$B$3:$B$202,C27)=0,"Add vendor "&amp;C27&amp;" on the Vendors sheet",IF(ISNA(MATCH(H27,Codes!$A$2:$A$13,0)),"Pick the HSN Code from the list",IF(AND(E27&lt;&gt;"",COUNTIFS($C$3:$C$1002,C27,$E$3:$E$1002,E27,$F$3:$F$1002,"&lt;&gt;"&amp;F27)+COUNTIFS($C$3:$C$1002,C27,$E$3:$E$1002,E27,$G$3:$G$1002,"&lt;&gt;"&amp;G27)&gt;0),"Design "&amp;E27&amp;" has another Product Type or Category on another row",IF(COUNTIFS($F$3:$F$1002,F27,$G$3:$G$1002,G27,$H$3:$H$1002,"&lt;&gt;"&amp;H27)&gt;0,F27&amp;" + "&amp;G27&amp;" has another HSN Code on another row",IF(AND(V27&lt;&gt;"",U27=""),"Received Qty needs the Vendor Invoice No",IF(AND(U27&lt;&gt;"",COUNTIFS(Bills!$B$3:$B$302,U27,Bills!$C$3:$C$302,C27)=0),"Add bill "&amp;U27&amp;" of "&amp;C27&amp;" on the Bills sheet",IF(S27&lt;R27,"MRP is below the Purchase Rate","OK")))))))))</f>
        <v/>
      </c>
      <c r="B27" s="29"/>
      <c r="C27" s="22"/>
      <c r="D27" s="22"/>
      <c r="E27" s="24"/>
      <c r="F27" s="22"/>
      <c r="G27" s="22"/>
      <c r="H27" s="22"/>
      <c r="I27" s="30" t="str">
        <f>IF(H27="","",IFERROR(INDEX(Codes!$B$2:$B$13,MATCH(H27,Codes!$A$2:$A$13,0)),""))</f>
        <v/>
      </c>
      <c r="J27" s="23"/>
      <c r="K27" s="23"/>
      <c r="L27" s="23"/>
      <c r="M27" s="23"/>
      <c r="N27" s="23"/>
      <c r="O27" s="23"/>
      <c r="P27" s="23"/>
      <c r="Q27" s="31"/>
      <c r="R27" s="32"/>
      <c r="S27" s="32"/>
      <c r="T27" s="33" t="str">
        <f t="shared" si="0"/>
        <v/>
      </c>
      <c r="U27" s="34"/>
      <c r="V27" s="35"/>
      <c r="W27" s="33" t="str">
        <f t="shared" si="1"/>
        <v/>
      </c>
    </row>
    <row r="28" spans="1:23" x14ac:dyDescent="0.35">
      <c r="A28" s="21" t="str">
        <f>IF(COUNTA(B28:H28,J28:S28,U28:V28)=0,"",IF((IF(B28="","PO Ref, ","")&amp;IF(C28="","Vendor, ","")&amp;IF(D28="","Store, ","")&amp;IF(F28="","Product Type, ","")&amp;IF(G28="","Category, ","")&amp;IF(H28="","HSN Code, ","")&amp;IF(Q28="","Qty, ","")&amp;IF(R28="","Purchase Rate, ","")&amp;IF(S28="","MRP, ",""))&lt;&gt;"","Missing: "&amp;LEFT(IF(B28="","PO Ref, ","")&amp;IF(C28="","Vendor, ","")&amp;IF(D28="","Store, ","")&amp;IF(F28="","Product Type, ","")&amp;IF(G28="","Category, ","")&amp;IF(H28="","HSN Code, ","")&amp;IF(Q28="","Qty, ","")&amp;IF(R28="","Purchase Rate, ","")&amp;IF(S28="","MRP, ",""),LEN(IF(B28="","PO Ref, ","")&amp;IF(C28="","Vendor, ","")&amp;IF(D28="","Store, ","")&amp;IF(F28="","Product Type, ","")&amp;IF(G28="","Category, ","")&amp;IF(H28="","HSN Code, ","")&amp;IF(Q28="","Qty, ","")&amp;IF(R28="","Purchase Rate, ","")&amp;IF(S28="","MRP, ",""))-2),IF(COUNTIF(Vendors!$B$3:$B$202,C28)=0,"Add vendor "&amp;C28&amp;" on the Vendors sheet",IF(ISNA(MATCH(H28,Codes!$A$2:$A$13,0)),"Pick the HSN Code from the list",IF(AND(E28&lt;&gt;"",COUNTIFS($C$3:$C$1002,C28,$E$3:$E$1002,E28,$F$3:$F$1002,"&lt;&gt;"&amp;F28)+COUNTIFS($C$3:$C$1002,C28,$E$3:$E$1002,E28,$G$3:$G$1002,"&lt;&gt;"&amp;G28)&gt;0),"Design "&amp;E28&amp;" has another Product Type or Category on another row",IF(COUNTIFS($F$3:$F$1002,F28,$G$3:$G$1002,G28,$H$3:$H$1002,"&lt;&gt;"&amp;H28)&gt;0,F28&amp;" + "&amp;G28&amp;" has another HSN Code on another row",IF(AND(V28&lt;&gt;"",U28=""),"Received Qty needs the Vendor Invoice No",IF(AND(U28&lt;&gt;"",COUNTIFS(Bills!$B$3:$B$302,U28,Bills!$C$3:$C$302,C28)=0),"Add bill "&amp;U28&amp;" of "&amp;C28&amp;" on the Bills sheet",IF(S28&lt;R28,"MRP is below the Purchase Rate","OK")))))))))</f>
        <v/>
      </c>
      <c r="B28" s="29"/>
      <c r="C28" s="22"/>
      <c r="D28" s="22"/>
      <c r="E28" s="24"/>
      <c r="F28" s="22"/>
      <c r="G28" s="22"/>
      <c r="H28" s="22"/>
      <c r="I28" s="30" t="str">
        <f>IF(H28="","",IFERROR(INDEX(Codes!$B$2:$B$13,MATCH(H28,Codes!$A$2:$A$13,0)),""))</f>
        <v/>
      </c>
      <c r="J28" s="23"/>
      <c r="K28" s="23"/>
      <c r="L28" s="23"/>
      <c r="M28" s="23"/>
      <c r="N28" s="23"/>
      <c r="O28" s="23"/>
      <c r="P28" s="23"/>
      <c r="Q28" s="31"/>
      <c r="R28" s="32"/>
      <c r="S28" s="32"/>
      <c r="T28" s="33" t="str">
        <f t="shared" si="0"/>
        <v/>
      </c>
      <c r="U28" s="34"/>
      <c r="V28" s="35"/>
      <c r="W28" s="33" t="str">
        <f t="shared" si="1"/>
        <v/>
      </c>
    </row>
    <row r="29" spans="1:23" x14ac:dyDescent="0.35">
      <c r="A29" s="21" t="str">
        <f>IF(COUNTA(B29:H29,J29:S29,U29:V29)=0,"",IF((IF(B29="","PO Ref, ","")&amp;IF(C29="","Vendor, ","")&amp;IF(D29="","Store, ","")&amp;IF(F29="","Product Type, ","")&amp;IF(G29="","Category, ","")&amp;IF(H29="","HSN Code, ","")&amp;IF(Q29="","Qty, ","")&amp;IF(R29="","Purchase Rate, ","")&amp;IF(S29="","MRP, ",""))&lt;&gt;"","Missing: "&amp;LEFT(IF(B29="","PO Ref, ","")&amp;IF(C29="","Vendor, ","")&amp;IF(D29="","Store, ","")&amp;IF(F29="","Product Type, ","")&amp;IF(G29="","Category, ","")&amp;IF(H29="","HSN Code, ","")&amp;IF(Q29="","Qty, ","")&amp;IF(R29="","Purchase Rate, ","")&amp;IF(S29="","MRP, ",""),LEN(IF(B29="","PO Ref, ","")&amp;IF(C29="","Vendor, ","")&amp;IF(D29="","Store, ","")&amp;IF(F29="","Product Type, ","")&amp;IF(G29="","Category, ","")&amp;IF(H29="","HSN Code, ","")&amp;IF(Q29="","Qty, ","")&amp;IF(R29="","Purchase Rate, ","")&amp;IF(S29="","MRP, ",""))-2),IF(COUNTIF(Vendors!$B$3:$B$202,C29)=0,"Add vendor "&amp;C29&amp;" on the Vendors sheet",IF(ISNA(MATCH(H29,Codes!$A$2:$A$13,0)),"Pick the HSN Code from the list",IF(AND(E29&lt;&gt;"",COUNTIFS($C$3:$C$1002,C29,$E$3:$E$1002,E29,$F$3:$F$1002,"&lt;&gt;"&amp;F29)+COUNTIFS($C$3:$C$1002,C29,$E$3:$E$1002,E29,$G$3:$G$1002,"&lt;&gt;"&amp;G29)&gt;0),"Design "&amp;E29&amp;" has another Product Type or Category on another row",IF(COUNTIFS($F$3:$F$1002,F29,$G$3:$G$1002,G29,$H$3:$H$1002,"&lt;&gt;"&amp;H29)&gt;0,F29&amp;" + "&amp;G29&amp;" has another HSN Code on another row",IF(AND(V29&lt;&gt;"",U29=""),"Received Qty needs the Vendor Invoice No",IF(AND(U29&lt;&gt;"",COUNTIFS(Bills!$B$3:$B$302,U29,Bills!$C$3:$C$302,C29)=0),"Add bill "&amp;U29&amp;" of "&amp;C29&amp;" on the Bills sheet",IF(S29&lt;R29,"MRP is below the Purchase Rate","OK")))))))))</f>
        <v/>
      </c>
      <c r="B29" s="29"/>
      <c r="C29" s="22"/>
      <c r="D29" s="22"/>
      <c r="E29" s="24"/>
      <c r="F29" s="22"/>
      <c r="G29" s="22"/>
      <c r="H29" s="22"/>
      <c r="I29" s="30" t="str">
        <f>IF(H29="","",IFERROR(INDEX(Codes!$B$2:$B$13,MATCH(H29,Codes!$A$2:$A$13,0)),""))</f>
        <v/>
      </c>
      <c r="J29" s="23"/>
      <c r="K29" s="23"/>
      <c r="L29" s="23"/>
      <c r="M29" s="23"/>
      <c r="N29" s="23"/>
      <c r="O29" s="23"/>
      <c r="P29" s="23"/>
      <c r="Q29" s="31"/>
      <c r="R29" s="32"/>
      <c r="S29" s="32"/>
      <c r="T29" s="33" t="str">
        <f t="shared" si="0"/>
        <v/>
      </c>
      <c r="U29" s="34"/>
      <c r="V29" s="35"/>
      <c r="W29" s="33" t="str">
        <f t="shared" si="1"/>
        <v/>
      </c>
    </row>
    <row r="30" spans="1:23" x14ac:dyDescent="0.35">
      <c r="A30" s="21" t="str">
        <f>IF(COUNTA(B30:H30,J30:S30,U30:V30)=0,"",IF((IF(B30="","PO Ref, ","")&amp;IF(C30="","Vendor, ","")&amp;IF(D30="","Store, ","")&amp;IF(F30="","Product Type, ","")&amp;IF(G30="","Category, ","")&amp;IF(H30="","HSN Code, ","")&amp;IF(Q30="","Qty, ","")&amp;IF(R30="","Purchase Rate, ","")&amp;IF(S30="","MRP, ",""))&lt;&gt;"","Missing: "&amp;LEFT(IF(B30="","PO Ref, ","")&amp;IF(C30="","Vendor, ","")&amp;IF(D30="","Store, ","")&amp;IF(F30="","Product Type, ","")&amp;IF(G30="","Category, ","")&amp;IF(H30="","HSN Code, ","")&amp;IF(Q30="","Qty, ","")&amp;IF(R30="","Purchase Rate, ","")&amp;IF(S30="","MRP, ",""),LEN(IF(B30="","PO Ref, ","")&amp;IF(C30="","Vendor, ","")&amp;IF(D30="","Store, ","")&amp;IF(F30="","Product Type, ","")&amp;IF(G30="","Category, ","")&amp;IF(H30="","HSN Code, ","")&amp;IF(Q30="","Qty, ","")&amp;IF(R30="","Purchase Rate, ","")&amp;IF(S30="","MRP, ",""))-2),IF(COUNTIF(Vendors!$B$3:$B$202,C30)=0,"Add vendor "&amp;C30&amp;" on the Vendors sheet",IF(ISNA(MATCH(H30,Codes!$A$2:$A$13,0)),"Pick the HSN Code from the list",IF(AND(E30&lt;&gt;"",COUNTIFS($C$3:$C$1002,C30,$E$3:$E$1002,E30,$F$3:$F$1002,"&lt;&gt;"&amp;F30)+COUNTIFS($C$3:$C$1002,C30,$E$3:$E$1002,E30,$G$3:$G$1002,"&lt;&gt;"&amp;G30)&gt;0),"Design "&amp;E30&amp;" has another Product Type or Category on another row",IF(COUNTIFS($F$3:$F$1002,F30,$G$3:$G$1002,G30,$H$3:$H$1002,"&lt;&gt;"&amp;H30)&gt;0,F30&amp;" + "&amp;G30&amp;" has another HSN Code on another row",IF(AND(V30&lt;&gt;"",U30=""),"Received Qty needs the Vendor Invoice No",IF(AND(U30&lt;&gt;"",COUNTIFS(Bills!$B$3:$B$302,U30,Bills!$C$3:$C$302,C30)=0),"Add bill "&amp;U30&amp;" of "&amp;C30&amp;" on the Bills sheet",IF(S30&lt;R30,"MRP is below the Purchase Rate","OK")))))))))</f>
        <v/>
      </c>
      <c r="B30" s="29"/>
      <c r="C30" s="22"/>
      <c r="D30" s="22"/>
      <c r="E30" s="24"/>
      <c r="F30" s="22"/>
      <c r="G30" s="22"/>
      <c r="H30" s="22"/>
      <c r="I30" s="30" t="str">
        <f>IF(H30="","",IFERROR(INDEX(Codes!$B$2:$B$13,MATCH(H30,Codes!$A$2:$A$13,0)),""))</f>
        <v/>
      </c>
      <c r="J30" s="23"/>
      <c r="K30" s="23"/>
      <c r="L30" s="23"/>
      <c r="M30" s="23"/>
      <c r="N30" s="23"/>
      <c r="O30" s="23"/>
      <c r="P30" s="23"/>
      <c r="Q30" s="31"/>
      <c r="R30" s="32"/>
      <c r="S30" s="32"/>
      <c r="T30" s="33" t="str">
        <f t="shared" si="0"/>
        <v/>
      </c>
      <c r="U30" s="34"/>
      <c r="V30" s="35"/>
      <c r="W30" s="33" t="str">
        <f t="shared" si="1"/>
        <v/>
      </c>
    </row>
    <row r="31" spans="1:23" x14ac:dyDescent="0.35">
      <c r="A31" s="21" t="str">
        <f>IF(COUNTA(B31:H31,J31:S31,U31:V31)=0,"",IF((IF(B31="","PO Ref, ","")&amp;IF(C31="","Vendor, ","")&amp;IF(D31="","Store, ","")&amp;IF(F31="","Product Type, ","")&amp;IF(G31="","Category, ","")&amp;IF(H31="","HSN Code, ","")&amp;IF(Q31="","Qty, ","")&amp;IF(R31="","Purchase Rate, ","")&amp;IF(S31="","MRP, ",""))&lt;&gt;"","Missing: "&amp;LEFT(IF(B31="","PO Ref, ","")&amp;IF(C31="","Vendor, ","")&amp;IF(D31="","Store, ","")&amp;IF(F31="","Product Type, ","")&amp;IF(G31="","Category, ","")&amp;IF(H31="","HSN Code, ","")&amp;IF(Q31="","Qty, ","")&amp;IF(R31="","Purchase Rate, ","")&amp;IF(S31="","MRP, ",""),LEN(IF(B31="","PO Ref, ","")&amp;IF(C31="","Vendor, ","")&amp;IF(D31="","Store, ","")&amp;IF(F31="","Product Type, ","")&amp;IF(G31="","Category, ","")&amp;IF(H31="","HSN Code, ","")&amp;IF(Q31="","Qty, ","")&amp;IF(R31="","Purchase Rate, ","")&amp;IF(S31="","MRP, ",""))-2),IF(COUNTIF(Vendors!$B$3:$B$202,C31)=0,"Add vendor "&amp;C31&amp;" on the Vendors sheet",IF(ISNA(MATCH(H31,Codes!$A$2:$A$13,0)),"Pick the HSN Code from the list",IF(AND(E31&lt;&gt;"",COUNTIFS($C$3:$C$1002,C31,$E$3:$E$1002,E31,$F$3:$F$1002,"&lt;&gt;"&amp;F31)+COUNTIFS($C$3:$C$1002,C31,$E$3:$E$1002,E31,$G$3:$G$1002,"&lt;&gt;"&amp;G31)&gt;0),"Design "&amp;E31&amp;" has another Product Type or Category on another row",IF(COUNTIFS($F$3:$F$1002,F31,$G$3:$G$1002,G31,$H$3:$H$1002,"&lt;&gt;"&amp;H31)&gt;0,F31&amp;" + "&amp;G31&amp;" has another HSN Code on another row",IF(AND(V31&lt;&gt;"",U31=""),"Received Qty needs the Vendor Invoice No",IF(AND(U31&lt;&gt;"",COUNTIFS(Bills!$B$3:$B$302,U31,Bills!$C$3:$C$302,C31)=0),"Add bill "&amp;U31&amp;" of "&amp;C31&amp;" on the Bills sheet",IF(S31&lt;R31,"MRP is below the Purchase Rate","OK")))))))))</f>
        <v/>
      </c>
      <c r="B31" s="29"/>
      <c r="C31" s="22"/>
      <c r="D31" s="22"/>
      <c r="E31" s="24"/>
      <c r="F31" s="22"/>
      <c r="G31" s="22"/>
      <c r="H31" s="22"/>
      <c r="I31" s="30" t="str">
        <f>IF(H31="","",IFERROR(INDEX(Codes!$B$2:$B$13,MATCH(H31,Codes!$A$2:$A$13,0)),""))</f>
        <v/>
      </c>
      <c r="J31" s="23"/>
      <c r="K31" s="23"/>
      <c r="L31" s="23"/>
      <c r="M31" s="23"/>
      <c r="N31" s="23"/>
      <c r="O31" s="23"/>
      <c r="P31" s="23"/>
      <c r="Q31" s="31"/>
      <c r="R31" s="32"/>
      <c r="S31" s="32"/>
      <c r="T31" s="33" t="str">
        <f t="shared" si="0"/>
        <v/>
      </c>
      <c r="U31" s="34"/>
      <c r="V31" s="35"/>
      <c r="W31" s="33" t="str">
        <f t="shared" si="1"/>
        <v/>
      </c>
    </row>
    <row r="32" spans="1:23" x14ac:dyDescent="0.35">
      <c r="A32" s="21" t="str">
        <f>IF(COUNTA(B32:H32,J32:S32,U32:V32)=0,"",IF((IF(B32="","PO Ref, ","")&amp;IF(C32="","Vendor, ","")&amp;IF(D32="","Store, ","")&amp;IF(F32="","Product Type, ","")&amp;IF(G32="","Category, ","")&amp;IF(H32="","HSN Code, ","")&amp;IF(Q32="","Qty, ","")&amp;IF(R32="","Purchase Rate, ","")&amp;IF(S32="","MRP, ",""))&lt;&gt;"","Missing: "&amp;LEFT(IF(B32="","PO Ref, ","")&amp;IF(C32="","Vendor, ","")&amp;IF(D32="","Store, ","")&amp;IF(F32="","Product Type, ","")&amp;IF(G32="","Category, ","")&amp;IF(H32="","HSN Code, ","")&amp;IF(Q32="","Qty, ","")&amp;IF(R32="","Purchase Rate, ","")&amp;IF(S32="","MRP, ",""),LEN(IF(B32="","PO Ref, ","")&amp;IF(C32="","Vendor, ","")&amp;IF(D32="","Store, ","")&amp;IF(F32="","Product Type, ","")&amp;IF(G32="","Category, ","")&amp;IF(H32="","HSN Code, ","")&amp;IF(Q32="","Qty, ","")&amp;IF(R32="","Purchase Rate, ","")&amp;IF(S32="","MRP, ",""))-2),IF(COUNTIF(Vendors!$B$3:$B$202,C32)=0,"Add vendor "&amp;C32&amp;" on the Vendors sheet",IF(ISNA(MATCH(H32,Codes!$A$2:$A$13,0)),"Pick the HSN Code from the list",IF(AND(E32&lt;&gt;"",COUNTIFS($C$3:$C$1002,C32,$E$3:$E$1002,E32,$F$3:$F$1002,"&lt;&gt;"&amp;F32)+COUNTIFS($C$3:$C$1002,C32,$E$3:$E$1002,E32,$G$3:$G$1002,"&lt;&gt;"&amp;G32)&gt;0),"Design "&amp;E32&amp;" has another Product Type or Category on another row",IF(COUNTIFS($F$3:$F$1002,F32,$G$3:$G$1002,G32,$H$3:$H$1002,"&lt;&gt;"&amp;H32)&gt;0,F32&amp;" + "&amp;G32&amp;" has another HSN Code on another row",IF(AND(V32&lt;&gt;"",U32=""),"Received Qty needs the Vendor Invoice No",IF(AND(U32&lt;&gt;"",COUNTIFS(Bills!$B$3:$B$302,U32,Bills!$C$3:$C$302,C32)=0),"Add bill "&amp;U32&amp;" of "&amp;C32&amp;" on the Bills sheet",IF(S32&lt;R32,"MRP is below the Purchase Rate","OK")))))))))</f>
        <v/>
      </c>
      <c r="B32" s="29"/>
      <c r="C32" s="22"/>
      <c r="D32" s="22"/>
      <c r="E32" s="24"/>
      <c r="F32" s="22"/>
      <c r="G32" s="22"/>
      <c r="H32" s="22"/>
      <c r="I32" s="30" t="str">
        <f>IF(H32="","",IFERROR(INDEX(Codes!$B$2:$B$13,MATCH(H32,Codes!$A$2:$A$13,0)),""))</f>
        <v/>
      </c>
      <c r="J32" s="23"/>
      <c r="K32" s="23"/>
      <c r="L32" s="23"/>
      <c r="M32" s="23"/>
      <c r="N32" s="23"/>
      <c r="O32" s="23"/>
      <c r="P32" s="23"/>
      <c r="Q32" s="31"/>
      <c r="R32" s="32"/>
      <c r="S32" s="32"/>
      <c r="T32" s="33" t="str">
        <f t="shared" si="0"/>
        <v/>
      </c>
      <c r="U32" s="34"/>
      <c r="V32" s="35"/>
      <c r="W32" s="33" t="str">
        <f t="shared" si="1"/>
        <v/>
      </c>
    </row>
    <row r="33" spans="1:23" x14ac:dyDescent="0.35">
      <c r="A33" s="21" t="str">
        <f>IF(COUNTA(B33:H33,J33:S33,U33:V33)=0,"",IF((IF(B33="","PO Ref, ","")&amp;IF(C33="","Vendor, ","")&amp;IF(D33="","Store, ","")&amp;IF(F33="","Product Type, ","")&amp;IF(G33="","Category, ","")&amp;IF(H33="","HSN Code, ","")&amp;IF(Q33="","Qty, ","")&amp;IF(R33="","Purchase Rate, ","")&amp;IF(S33="","MRP, ",""))&lt;&gt;"","Missing: "&amp;LEFT(IF(B33="","PO Ref, ","")&amp;IF(C33="","Vendor, ","")&amp;IF(D33="","Store, ","")&amp;IF(F33="","Product Type, ","")&amp;IF(G33="","Category, ","")&amp;IF(H33="","HSN Code, ","")&amp;IF(Q33="","Qty, ","")&amp;IF(R33="","Purchase Rate, ","")&amp;IF(S33="","MRP, ",""),LEN(IF(B33="","PO Ref, ","")&amp;IF(C33="","Vendor, ","")&amp;IF(D33="","Store, ","")&amp;IF(F33="","Product Type, ","")&amp;IF(G33="","Category, ","")&amp;IF(H33="","HSN Code, ","")&amp;IF(Q33="","Qty, ","")&amp;IF(R33="","Purchase Rate, ","")&amp;IF(S33="","MRP, ",""))-2),IF(COUNTIF(Vendors!$B$3:$B$202,C33)=0,"Add vendor "&amp;C33&amp;" on the Vendors sheet",IF(ISNA(MATCH(H33,Codes!$A$2:$A$13,0)),"Pick the HSN Code from the list",IF(AND(E33&lt;&gt;"",COUNTIFS($C$3:$C$1002,C33,$E$3:$E$1002,E33,$F$3:$F$1002,"&lt;&gt;"&amp;F33)+COUNTIFS($C$3:$C$1002,C33,$E$3:$E$1002,E33,$G$3:$G$1002,"&lt;&gt;"&amp;G33)&gt;0),"Design "&amp;E33&amp;" has another Product Type or Category on another row",IF(COUNTIFS($F$3:$F$1002,F33,$G$3:$G$1002,G33,$H$3:$H$1002,"&lt;&gt;"&amp;H33)&gt;0,F33&amp;" + "&amp;G33&amp;" has another HSN Code on another row",IF(AND(V33&lt;&gt;"",U33=""),"Received Qty needs the Vendor Invoice No",IF(AND(U33&lt;&gt;"",COUNTIFS(Bills!$B$3:$B$302,U33,Bills!$C$3:$C$302,C33)=0),"Add bill "&amp;U33&amp;" of "&amp;C33&amp;" on the Bills sheet",IF(S33&lt;R33,"MRP is below the Purchase Rate","OK")))))))))</f>
        <v/>
      </c>
      <c r="B33" s="29"/>
      <c r="C33" s="22"/>
      <c r="D33" s="22"/>
      <c r="E33" s="24"/>
      <c r="F33" s="22"/>
      <c r="G33" s="22"/>
      <c r="H33" s="22"/>
      <c r="I33" s="30" t="str">
        <f>IF(H33="","",IFERROR(INDEX(Codes!$B$2:$B$13,MATCH(H33,Codes!$A$2:$A$13,0)),""))</f>
        <v/>
      </c>
      <c r="J33" s="23"/>
      <c r="K33" s="23"/>
      <c r="L33" s="23"/>
      <c r="M33" s="23"/>
      <c r="N33" s="23"/>
      <c r="O33" s="23"/>
      <c r="P33" s="23"/>
      <c r="Q33" s="31"/>
      <c r="R33" s="32"/>
      <c r="S33" s="32"/>
      <c r="T33" s="33" t="str">
        <f t="shared" si="0"/>
        <v/>
      </c>
      <c r="U33" s="34"/>
      <c r="V33" s="35"/>
      <c r="W33" s="33" t="str">
        <f t="shared" si="1"/>
        <v/>
      </c>
    </row>
    <row r="34" spans="1:23" x14ac:dyDescent="0.35">
      <c r="A34" s="21" t="str">
        <f>IF(COUNTA(B34:H34,J34:S34,U34:V34)=0,"",IF((IF(B34="","PO Ref, ","")&amp;IF(C34="","Vendor, ","")&amp;IF(D34="","Store, ","")&amp;IF(F34="","Product Type, ","")&amp;IF(G34="","Category, ","")&amp;IF(H34="","HSN Code, ","")&amp;IF(Q34="","Qty, ","")&amp;IF(R34="","Purchase Rate, ","")&amp;IF(S34="","MRP, ",""))&lt;&gt;"","Missing: "&amp;LEFT(IF(B34="","PO Ref, ","")&amp;IF(C34="","Vendor, ","")&amp;IF(D34="","Store, ","")&amp;IF(F34="","Product Type, ","")&amp;IF(G34="","Category, ","")&amp;IF(H34="","HSN Code, ","")&amp;IF(Q34="","Qty, ","")&amp;IF(R34="","Purchase Rate, ","")&amp;IF(S34="","MRP, ",""),LEN(IF(B34="","PO Ref, ","")&amp;IF(C34="","Vendor, ","")&amp;IF(D34="","Store, ","")&amp;IF(F34="","Product Type, ","")&amp;IF(G34="","Category, ","")&amp;IF(H34="","HSN Code, ","")&amp;IF(Q34="","Qty, ","")&amp;IF(R34="","Purchase Rate, ","")&amp;IF(S34="","MRP, ",""))-2),IF(COUNTIF(Vendors!$B$3:$B$202,C34)=0,"Add vendor "&amp;C34&amp;" on the Vendors sheet",IF(ISNA(MATCH(H34,Codes!$A$2:$A$13,0)),"Pick the HSN Code from the list",IF(AND(E34&lt;&gt;"",COUNTIFS($C$3:$C$1002,C34,$E$3:$E$1002,E34,$F$3:$F$1002,"&lt;&gt;"&amp;F34)+COUNTIFS($C$3:$C$1002,C34,$E$3:$E$1002,E34,$G$3:$G$1002,"&lt;&gt;"&amp;G34)&gt;0),"Design "&amp;E34&amp;" has another Product Type or Category on another row",IF(COUNTIFS($F$3:$F$1002,F34,$G$3:$G$1002,G34,$H$3:$H$1002,"&lt;&gt;"&amp;H34)&gt;0,F34&amp;" + "&amp;G34&amp;" has another HSN Code on another row",IF(AND(V34&lt;&gt;"",U34=""),"Received Qty needs the Vendor Invoice No",IF(AND(U34&lt;&gt;"",COUNTIFS(Bills!$B$3:$B$302,U34,Bills!$C$3:$C$302,C34)=0),"Add bill "&amp;U34&amp;" of "&amp;C34&amp;" on the Bills sheet",IF(S34&lt;R34,"MRP is below the Purchase Rate","OK")))))))))</f>
        <v/>
      </c>
      <c r="B34" s="29"/>
      <c r="C34" s="22"/>
      <c r="D34" s="22"/>
      <c r="E34" s="24"/>
      <c r="F34" s="22"/>
      <c r="G34" s="22"/>
      <c r="H34" s="22"/>
      <c r="I34" s="30" t="str">
        <f>IF(H34="","",IFERROR(INDEX(Codes!$B$2:$B$13,MATCH(H34,Codes!$A$2:$A$13,0)),""))</f>
        <v/>
      </c>
      <c r="J34" s="23"/>
      <c r="K34" s="23"/>
      <c r="L34" s="23"/>
      <c r="M34" s="23"/>
      <c r="N34" s="23"/>
      <c r="O34" s="23"/>
      <c r="P34" s="23"/>
      <c r="Q34" s="31"/>
      <c r="R34" s="32"/>
      <c r="S34" s="32"/>
      <c r="T34" s="33" t="str">
        <f t="shared" si="0"/>
        <v/>
      </c>
      <c r="U34" s="34"/>
      <c r="V34" s="35"/>
      <c r="W34" s="33" t="str">
        <f t="shared" si="1"/>
        <v/>
      </c>
    </row>
    <row r="35" spans="1:23" x14ac:dyDescent="0.35">
      <c r="A35" s="21" t="str">
        <f>IF(COUNTA(B35:H35,J35:S35,U35:V35)=0,"",IF((IF(B35="","PO Ref, ","")&amp;IF(C35="","Vendor, ","")&amp;IF(D35="","Store, ","")&amp;IF(F35="","Product Type, ","")&amp;IF(G35="","Category, ","")&amp;IF(H35="","HSN Code, ","")&amp;IF(Q35="","Qty, ","")&amp;IF(R35="","Purchase Rate, ","")&amp;IF(S35="","MRP, ",""))&lt;&gt;"","Missing: "&amp;LEFT(IF(B35="","PO Ref, ","")&amp;IF(C35="","Vendor, ","")&amp;IF(D35="","Store, ","")&amp;IF(F35="","Product Type, ","")&amp;IF(G35="","Category, ","")&amp;IF(H35="","HSN Code, ","")&amp;IF(Q35="","Qty, ","")&amp;IF(R35="","Purchase Rate, ","")&amp;IF(S35="","MRP, ",""),LEN(IF(B35="","PO Ref, ","")&amp;IF(C35="","Vendor, ","")&amp;IF(D35="","Store, ","")&amp;IF(F35="","Product Type, ","")&amp;IF(G35="","Category, ","")&amp;IF(H35="","HSN Code, ","")&amp;IF(Q35="","Qty, ","")&amp;IF(R35="","Purchase Rate, ","")&amp;IF(S35="","MRP, ",""))-2),IF(COUNTIF(Vendors!$B$3:$B$202,C35)=0,"Add vendor "&amp;C35&amp;" on the Vendors sheet",IF(ISNA(MATCH(H35,Codes!$A$2:$A$13,0)),"Pick the HSN Code from the list",IF(AND(E35&lt;&gt;"",COUNTIFS($C$3:$C$1002,C35,$E$3:$E$1002,E35,$F$3:$F$1002,"&lt;&gt;"&amp;F35)+COUNTIFS($C$3:$C$1002,C35,$E$3:$E$1002,E35,$G$3:$G$1002,"&lt;&gt;"&amp;G35)&gt;0),"Design "&amp;E35&amp;" has another Product Type or Category on another row",IF(COUNTIFS($F$3:$F$1002,F35,$G$3:$G$1002,G35,$H$3:$H$1002,"&lt;&gt;"&amp;H35)&gt;0,F35&amp;" + "&amp;G35&amp;" has another HSN Code on another row",IF(AND(V35&lt;&gt;"",U35=""),"Received Qty needs the Vendor Invoice No",IF(AND(U35&lt;&gt;"",COUNTIFS(Bills!$B$3:$B$302,U35,Bills!$C$3:$C$302,C35)=0),"Add bill "&amp;U35&amp;" of "&amp;C35&amp;" on the Bills sheet",IF(S35&lt;R35,"MRP is below the Purchase Rate","OK")))))))))</f>
        <v/>
      </c>
      <c r="B35" s="29"/>
      <c r="C35" s="22"/>
      <c r="D35" s="22"/>
      <c r="E35" s="24"/>
      <c r="F35" s="22"/>
      <c r="G35" s="22"/>
      <c r="H35" s="22"/>
      <c r="I35" s="30" t="str">
        <f>IF(H35="","",IFERROR(INDEX(Codes!$B$2:$B$13,MATCH(H35,Codes!$A$2:$A$13,0)),""))</f>
        <v/>
      </c>
      <c r="J35" s="23"/>
      <c r="K35" s="23"/>
      <c r="L35" s="23"/>
      <c r="M35" s="23"/>
      <c r="N35" s="23"/>
      <c r="O35" s="23"/>
      <c r="P35" s="23"/>
      <c r="Q35" s="31"/>
      <c r="R35" s="32"/>
      <c r="S35" s="32"/>
      <c r="T35" s="33" t="str">
        <f t="shared" si="0"/>
        <v/>
      </c>
      <c r="U35" s="34"/>
      <c r="V35" s="35"/>
      <c r="W35" s="33" t="str">
        <f t="shared" si="1"/>
        <v/>
      </c>
    </row>
    <row r="36" spans="1:23" x14ac:dyDescent="0.35">
      <c r="A36" s="21" t="str">
        <f>IF(COUNTA(B36:H36,J36:S36,U36:V36)=0,"",IF((IF(B36="","PO Ref, ","")&amp;IF(C36="","Vendor, ","")&amp;IF(D36="","Store, ","")&amp;IF(F36="","Product Type, ","")&amp;IF(G36="","Category, ","")&amp;IF(H36="","HSN Code, ","")&amp;IF(Q36="","Qty, ","")&amp;IF(R36="","Purchase Rate, ","")&amp;IF(S36="","MRP, ",""))&lt;&gt;"","Missing: "&amp;LEFT(IF(B36="","PO Ref, ","")&amp;IF(C36="","Vendor, ","")&amp;IF(D36="","Store, ","")&amp;IF(F36="","Product Type, ","")&amp;IF(G36="","Category, ","")&amp;IF(H36="","HSN Code, ","")&amp;IF(Q36="","Qty, ","")&amp;IF(R36="","Purchase Rate, ","")&amp;IF(S36="","MRP, ",""),LEN(IF(B36="","PO Ref, ","")&amp;IF(C36="","Vendor, ","")&amp;IF(D36="","Store, ","")&amp;IF(F36="","Product Type, ","")&amp;IF(G36="","Category, ","")&amp;IF(H36="","HSN Code, ","")&amp;IF(Q36="","Qty, ","")&amp;IF(R36="","Purchase Rate, ","")&amp;IF(S36="","MRP, ",""))-2),IF(COUNTIF(Vendors!$B$3:$B$202,C36)=0,"Add vendor "&amp;C36&amp;" on the Vendors sheet",IF(ISNA(MATCH(H36,Codes!$A$2:$A$13,0)),"Pick the HSN Code from the list",IF(AND(E36&lt;&gt;"",COUNTIFS($C$3:$C$1002,C36,$E$3:$E$1002,E36,$F$3:$F$1002,"&lt;&gt;"&amp;F36)+COUNTIFS($C$3:$C$1002,C36,$E$3:$E$1002,E36,$G$3:$G$1002,"&lt;&gt;"&amp;G36)&gt;0),"Design "&amp;E36&amp;" has another Product Type or Category on another row",IF(COUNTIFS($F$3:$F$1002,F36,$G$3:$G$1002,G36,$H$3:$H$1002,"&lt;&gt;"&amp;H36)&gt;0,F36&amp;" + "&amp;G36&amp;" has another HSN Code on another row",IF(AND(V36&lt;&gt;"",U36=""),"Received Qty needs the Vendor Invoice No",IF(AND(U36&lt;&gt;"",COUNTIFS(Bills!$B$3:$B$302,U36,Bills!$C$3:$C$302,C36)=0),"Add bill "&amp;U36&amp;" of "&amp;C36&amp;" on the Bills sheet",IF(S36&lt;R36,"MRP is below the Purchase Rate","OK")))))))))</f>
        <v/>
      </c>
      <c r="B36" s="29"/>
      <c r="C36" s="22"/>
      <c r="D36" s="22"/>
      <c r="E36" s="24"/>
      <c r="F36" s="22"/>
      <c r="G36" s="22"/>
      <c r="H36" s="22"/>
      <c r="I36" s="30" t="str">
        <f>IF(H36="","",IFERROR(INDEX(Codes!$B$2:$B$13,MATCH(H36,Codes!$A$2:$A$13,0)),""))</f>
        <v/>
      </c>
      <c r="J36" s="23"/>
      <c r="K36" s="23"/>
      <c r="L36" s="23"/>
      <c r="M36" s="23"/>
      <c r="N36" s="23"/>
      <c r="O36" s="23"/>
      <c r="P36" s="23"/>
      <c r="Q36" s="31"/>
      <c r="R36" s="32"/>
      <c r="S36" s="32"/>
      <c r="T36" s="33" t="str">
        <f t="shared" si="0"/>
        <v/>
      </c>
      <c r="U36" s="34"/>
      <c r="V36" s="35"/>
      <c r="W36" s="33" t="str">
        <f t="shared" si="1"/>
        <v/>
      </c>
    </row>
    <row r="37" spans="1:23" x14ac:dyDescent="0.35">
      <c r="A37" s="21" t="str">
        <f>IF(COUNTA(B37:H37,J37:S37,U37:V37)=0,"",IF((IF(B37="","PO Ref, ","")&amp;IF(C37="","Vendor, ","")&amp;IF(D37="","Store, ","")&amp;IF(F37="","Product Type, ","")&amp;IF(G37="","Category, ","")&amp;IF(H37="","HSN Code, ","")&amp;IF(Q37="","Qty, ","")&amp;IF(R37="","Purchase Rate, ","")&amp;IF(S37="","MRP, ",""))&lt;&gt;"","Missing: "&amp;LEFT(IF(B37="","PO Ref, ","")&amp;IF(C37="","Vendor, ","")&amp;IF(D37="","Store, ","")&amp;IF(F37="","Product Type, ","")&amp;IF(G37="","Category, ","")&amp;IF(H37="","HSN Code, ","")&amp;IF(Q37="","Qty, ","")&amp;IF(R37="","Purchase Rate, ","")&amp;IF(S37="","MRP, ",""),LEN(IF(B37="","PO Ref, ","")&amp;IF(C37="","Vendor, ","")&amp;IF(D37="","Store, ","")&amp;IF(F37="","Product Type, ","")&amp;IF(G37="","Category, ","")&amp;IF(H37="","HSN Code, ","")&amp;IF(Q37="","Qty, ","")&amp;IF(R37="","Purchase Rate, ","")&amp;IF(S37="","MRP, ",""))-2),IF(COUNTIF(Vendors!$B$3:$B$202,C37)=0,"Add vendor "&amp;C37&amp;" on the Vendors sheet",IF(ISNA(MATCH(H37,Codes!$A$2:$A$13,0)),"Pick the HSN Code from the list",IF(AND(E37&lt;&gt;"",COUNTIFS($C$3:$C$1002,C37,$E$3:$E$1002,E37,$F$3:$F$1002,"&lt;&gt;"&amp;F37)+COUNTIFS($C$3:$C$1002,C37,$E$3:$E$1002,E37,$G$3:$G$1002,"&lt;&gt;"&amp;G37)&gt;0),"Design "&amp;E37&amp;" has another Product Type or Category on another row",IF(COUNTIFS($F$3:$F$1002,F37,$G$3:$G$1002,G37,$H$3:$H$1002,"&lt;&gt;"&amp;H37)&gt;0,F37&amp;" + "&amp;G37&amp;" has another HSN Code on another row",IF(AND(V37&lt;&gt;"",U37=""),"Received Qty needs the Vendor Invoice No",IF(AND(U37&lt;&gt;"",COUNTIFS(Bills!$B$3:$B$302,U37,Bills!$C$3:$C$302,C37)=0),"Add bill "&amp;U37&amp;" of "&amp;C37&amp;" on the Bills sheet",IF(S37&lt;R37,"MRP is below the Purchase Rate","OK")))))))))</f>
        <v/>
      </c>
      <c r="B37" s="29"/>
      <c r="C37" s="22"/>
      <c r="D37" s="22"/>
      <c r="E37" s="24"/>
      <c r="F37" s="22"/>
      <c r="G37" s="22"/>
      <c r="H37" s="22"/>
      <c r="I37" s="30" t="str">
        <f>IF(H37="","",IFERROR(INDEX(Codes!$B$2:$B$13,MATCH(H37,Codes!$A$2:$A$13,0)),""))</f>
        <v/>
      </c>
      <c r="J37" s="23"/>
      <c r="K37" s="23"/>
      <c r="L37" s="23"/>
      <c r="M37" s="23"/>
      <c r="N37" s="23"/>
      <c r="O37" s="23"/>
      <c r="P37" s="23"/>
      <c r="Q37" s="31"/>
      <c r="R37" s="32"/>
      <c r="S37" s="32"/>
      <c r="T37" s="33" t="str">
        <f t="shared" si="0"/>
        <v/>
      </c>
      <c r="U37" s="34"/>
      <c r="V37" s="35"/>
      <c r="W37" s="33" t="str">
        <f t="shared" si="1"/>
        <v/>
      </c>
    </row>
    <row r="38" spans="1:23" x14ac:dyDescent="0.35">
      <c r="A38" s="21" t="str">
        <f>IF(COUNTA(B38:H38,J38:S38,U38:V38)=0,"",IF((IF(B38="","PO Ref, ","")&amp;IF(C38="","Vendor, ","")&amp;IF(D38="","Store, ","")&amp;IF(F38="","Product Type, ","")&amp;IF(G38="","Category, ","")&amp;IF(H38="","HSN Code, ","")&amp;IF(Q38="","Qty, ","")&amp;IF(R38="","Purchase Rate, ","")&amp;IF(S38="","MRP, ",""))&lt;&gt;"","Missing: "&amp;LEFT(IF(B38="","PO Ref, ","")&amp;IF(C38="","Vendor, ","")&amp;IF(D38="","Store, ","")&amp;IF(F38="","Product Type, ","")&amp;IF(G38="","Category, ","")&amp;IF(H38="","HSN Code, ","")&amp;IF(Q38="","Qty, ","")&amp;IF(R38="","Purchase Rate, ","")&amp;IF(S38="","MRP, ",""),LEN(IF(B38="","PO Ref, ","")&amp;IF(C38="","Vendor, ","")&amp;IF(D38="","Store, ","")&amp;IF(F38="","Product Type, ","")&amp;IF(G38="","Category, ","")&amp;IF(H38="","HSN Code, ","")&amp;IF(Q38="","Qty, ","")&amp;IF(R38="","Purchase Rate, ","")&amp;IF(S38="","MRP, ",""))-2),IF(COUNTIF(Vendors!$B$3:$B$202,C38)=0,"Add vendor "&amp;C38&amp;" on the Vendors sheet",IF(ISNA(MATCH(H38,Codes!$A$2:$A$13,0)),"Pick the HSN Code from the list",IF(AND(E38&lt;&gt;"",COUNTIFS($C$3:$C$1002,C38,$E$3:$E$1002,E38,$F$3:$F$1002,"&lt;&gt;"&amp;F38)+COUNTIFS($C$3:$C$1002,C38,$E$3:$E$1002,E38,$G$3:$G$1002,"&lt;&gt;"&amp;G38)&gt;0),"Design "&amp;E38&amp;" has another Product Type or Category on another row",IF(COUNTIFS($F$3:$F$1002,F38,$G$3:$G$1002,G38,$H$3:$H$1002,"&lt;&gt;"&amp;H38)&gt;0,F38&amp;" + "&amp;G38&amp;" has another HSN Code on another row",IF(AND(V38&lt;&gt;"",U38=""),"Received Qty needs the Vendor Invoice No",IF(AND(U38&lt;&gt;"",COUNTIFS(Bills!$B$3:$B$302,U38,Bills!$C$3:$C$302,C38)=0),"Add bill "&amp;U38&amp;" of "&amp;C38&amp;" on the Bills sheet",IF(S38&lt;R38,"MRP is below the Purchase Rate","OK")))))))))</f>
        <v/>
      </c>
      <c r="B38" s="29"/>
      <c r="C38" s="22"/>
      <c r="D38" s="22"/>
      <c r="E38" s="24"/>
      <c r="F38" s="22"/>
      <c r="G38" s="22"/>
      <c r="H38" s="22"/>
      <c r="I38" s="30" t="str">
        <f>IF(H38="","",IFERROR(INDEX(Codes!$B$2:$B$13,MATCH(H38,Codes!$A$2:$A$13,0)),""))</f>
        <v/>
      </c>
      <c r="J38" s="23"/>
      <c r="K38" s="23"/>
      <c r="L38" s="23"/>
      <c r="M38" s="23"/>
      <c r="N38" s="23"/>
      <c r="O38" s="23"/>
      <c r="P38" s="23"/>
      <c r="Q38" s="31"/>
      <c r="R38" s="32"/>
      <c r="S38" s="32"/>
      <c r="T38" s="33" t="str">
        <f t="shared" si="0"/>
        <v/>
      </c>
      <c r="U38" s="34"/>
      <c r="V38" s="35"/>
      <c r="W38" s="33" t="str">
        <f t="shared" si="1"/>
        <v/>
      </c>
    </row>
    <row r="39" spans="1:23" x14ac:dyDescent="0.35">
      <c r="A39" s="21" t="str">
        <f>IF(COUNTA(B39:H39,J39:S39,U39:V39)=0,"",IF((IF(B39="","PO Ref, ","")&amp;IF(C39="","Vendor, ","")&amp;IF(D39="","Store, ","")&amp;IF(F39="","Product Type, ","")&amp;IF(G39="","Category, ","")&amp;IF(H39="","HSN Code, ","")&amp;IF(Q39="","Qty, ","")&amp;IF(R39="","Purchase Rate, ","")&amp;IF(S39="","MRP, ",""))&lt;&gt;"","Missing: "&amp;LEFT(IF(B39="","PO Ref, ","")&amp;IF(C39="","Vendor, ","")&amp;IF(D39="","Store, ","")&amp;IF(F39="","Product Type, ","")&amp;IF(G39="","Category, ","")&amp;IF(H39="","HSN Code, ","")&amp;IF(Q39="","Qty, ","")&amp;IF(R39="","Purchase Rate, ","")&amp;IF(S39="","MRP, ",""),LEN(IF(B39="","PO Ref, ","")&amp;IF(C39="","Vendor, ","")&amp;IF(D39="","Store, ","")&amp;IF(F39="","Product Type, ","")&amp;IF(G39="","Category, ","")&amp;IF(H39="","HSN Code, ","")&amp;IF(Q39="","Qty, ","")&amp;IF(R39="","Purchase Rate, ","")&amp;IF(S39="","MRP, ",""))-2),IF(COUNTIF(Vendors!$B$3:$B$202,C39)=0,"Add vendor "&amp;C39&amp;" on the Vendors sheet",IF(ISNA(MATCH(H39,Codes!$A$2:$A$13,0)),"Pick the HSN Code from the list",IF(AND(E39&lt;&gt;"",COUNTIFS($C$3:$C$1002,C39,$E$3:$E$1002,E39,$F$3:$F$1002,"&lt;&gt;"&amp;F39)+COUNTIFS($C$3:$C$1002,C39,$E$3:$E$1002,E39,$G$3:$G$1002,"&lt;&gt;"&amp;G39)&gt;0),"Design "&amp;E39&amp;" has another Product Type or Category on another row",IF(COUNTIFS($F$3:$F$1002,F39,$G$3:$G$1002,G39,$H$3:$H$1002,"&lt;&gt;"&amp;H39)&gt;0,F39&amp;" + "&amp;G39&amp;" has another HSN Code on another row",IF(AND(V39&lt;&gt;"",U39=""),"Received Qty needs the Vendor Invoice No",IF(AND(U39&lt;&gt;"",COUNTIFS(Bills!$B$3:$B$302,U39,Bills!$C$3:$C$302,C39)=0),"Add bill "&amp;U39&amp;" of "&amp;C39&amp;" on the Bills sheet",IF(S39&lt;R39,"MRP is below the Purchase Rate","OK")))))))))</f>
        <v/>
      </c>
      <c r="B39" s="29"/>
      <c r="C39" s="22"/>
      <c r="D39" s="22"/>
      <c r="E39" s="24"/>
      <c r="F39" s="22"/>
      <c r="G39" s="22"/>
      <c r="H39" s="22"/>
      <c r="I39" s="30" t="str">
        <f>IF(H39="","",IFERROR(INDEX(Codes!$B$2:$B$13,MATCH(H39,Codes!$A$2:$A$13,0)),""))</f>
        <v/>
      </c>
      <c r="J39" s="23"/>
      <c r="K39" s="23"/>
      <c r="L39" s="23"/>
      <c r="M39" s="23"/>
      <c r="N39" s="23"/>
      <c r="O39" s="23"/>
      <c r="P39" s="23"/>
      <c r="Q39" s="31"/>
      <c r="R39" s="32"/>
      <c r="S39" s="32"/>
      <c r="T39" s="33" t="str">
        <f t="shared" si="0"/>
        <v/>
      </c>
      <c r="U39" s="34"/>
      <c r="V39" s="35"/>
      <c r="W39" s="33" t="str">
        <f t="shared" si="1"/>
        <v/>
      </c>
    </row>
    <row r="40" spans="1:23" x14ac:dyDescent="0.35">
      <c r="A40" s="21" t="str">
        <f>IF(COUNTA(B40:H40,J40:S40,U40:V40)=0,"",IF((IF(B40="","PO Ref, ","")&amp;IF(C40="","Vendor, ","")&amp;IF(D40="","Store, ","")&amp;IF(F40="","Product Type, ","")&amp;IF(G40="","Category, ","")&amp;IF(H40="","HSN Code, ","")&amp;IF(Q40="","Qty, ","")&amp;IF(R40="","Purchase Rate, ","")&amp;IF(S40="","MRP, ",""))&lt;&gt;"","Missing: "&amp;LEFT(IF(B40="","PO Ref, ","")&amp;IF(C40="","Vendor, ","")&amp;IF(D40="","Store, ","")&amp;IF(F40="","Product Type, ","")&amp;IF(G40="","Category, ","")&amp;IF(H40="","HSN Code, ","")&amp;IF(Q40="","Qty, ","")&amp;IF(R40="","Purchase Rate, ","")&amp;IF(S40="","MRP, ",""),LEN(IF(B40="","PO Ref, ","")&amp;IF(C40="","Vendor, ","")&amp;IF(D40="","Store, ","")&amp;IF(F40="","Product Type, ","")&amp;IF(G40="","Category, ","")&amp;IF(H40="","HSN Code, ","")&amp;IF(Q40="","Qty, ","")&amp;IF(R40="","Purchase Rate, ","")&amp;IF(S40="","MRP, ",""))-2),IF(COUNTIF(Vendors!$B$3:$B$202,C40)=0,"Add vendor "&amp;C40&amp;" on the Vendors sheet",IF(ISNA(MATCH(H40,Codes!$A$2:$A$13,0)),"Pick the HSN Code from the list",IF(AND(E40&lt;&gt;"",COUNTIFS($C$3:$C$1002,C40,$E$3:$E$1002,E40,$F$3:$F$1002,"&lt;&gt;"&amp;F40)+COUNTIFS($C$3:$C$1002,C40,$E$3:$E$1002,E40,$G$3:$G$1002,"&lt;&gt;"&amp;G40)&gt;0),"Design "&amp;E40&amp;" has another Product Type or Category on another row",IF(COUNTIFS($F$3:$F$1002,F40,$G$3:$G$1002,G40,$H$3:$H$1002,"&lt;&gt;"&amp;H40)&gt;0,F40&amp;" + "&amp;G40&amp;" has another HSN Code on another row",IF(AND(V40&lt;&gt;"",U40=""),"Received Qty needs the Vendor Invoice No",IF(AND(U40&lt;&gt;"",COUNTIFS(Bills!$B$3:$B$302,U40,Bills!$C$3:$C$302,C40)=0),"Add bill "&amp;U40&amp;" of "&amp;C40&amp;" on the Bills sheet",IF(S40&lt;R40,"MRP is below the Purchase Rate","OK")))))))))</f>
        <v/>
      </c>
      <c r="B40" s="29"/>
      <c r="C40" s="22"/>
      <c r="D40" s="22"/>
      <c r="E40" s="24"/>
      <c r="F40" s="22"/>
      <c r="G40" s="22"/>
      <c r="H40" s="22"/>
      <c r="I40" s="30" t="str">
        <f>IF(H40="","",IFERROR(INDEX(Codes!$B$2:$B$13,MATCH(H40,Codes!$A$2:$A$13,0)),""))</f>
        <v/>
      </c>
      <c r="J40" s="23"/>
      <c r="K40" s="23"/>
      <c r="L40" s="23"/>
      <c r="M40" s="23"/>
      <c r="N40" s="23"/>
      <c r="O40" s="23"/>
      <c r="P40" s="23"/>
      <c r="Q40" s="31"/>
      <c r="R40" s="32"/>
      <c r="S40" s="32"/>
      <c r="T40" s="33" t="str">
        <f t="shared" si="0"/>
        <v/>
      </c>
      <c r="U40" s="34"/>
      <c r="V40" s="35"/>
      <c r="W40" s="33" t="str">
        <f t="shared" si="1"/>
        <v/>
      </c>
    </row>
    <row r="41" spans="1:23" x14ac:dyDescent="0.35">
      <c r="A41" s="21" t="str">
        <f>IF(COUNTA(B41:H41,J41:S41,U41:V41)=0,"",IF((IF(B41="","PO Ref, ","")&amp;IF(C41="","Vendor, ","")&amp;IF(D41="","Store, ","")&amp;IF(F41="","Product Type, ","")&amp;IF(G41="","Category, ","")&amp;IF(H41="","HSN Code, ","")&amp;IF(Q41="","Qty, ","")&amp;IF(R41="","Purchase Rate, ","")&amp;IF(S41="","MRP, ",""))&lt;&gt;"","Missing: "&amp;LEFT(IF(B41="","PO Ref, ","")&amp;IF(C41="","Vendor, ","")&amp;IF(D41="","Store, ","")&amp;IF(F41="","Product Type, ","")&amp;IF(G41="","Category, ","")&amp;IF(H41="","HSN Code, ","")&amp;IF(Q41="","Qty, ","")&amp;IF(R41="","Purchase Rate, ","")&amp;IF(S41="","MRP, ",""),LEN(IF(B41="","PO Ref, ","")&amp;IF(C41="","Vendor, ","")&amp;IF(D41="","Store, ","")&amp;IF(F41="","Product Type, ","")&amp;IF(G41="","Category, ","")&amp;IF(H41="","HSN Code, ","")&amp;IF(Q41="","Qty, ","")&amp;IF(R41="","Purchase Rate, ","")&amp;IF(S41="","MRP, ",""))-2),IF(COUNTIF(Vendors!$B$3:$B$202,C41)=0,"Add vendor "&amp;C41&amp;" on the Vendors sheet",IF(ISNA(MATCH(H41,Codes!$A$2:$A$13,0)),"Pick the HSN Code from the list",IF(AND(E41&lt;&gt;"",COUNTIFS($C$3:$C$1002,C41,$E$3:$E$1002,E41,$F$3:$F$1002,"&lt;&gt;"&amp;F41)+COUNTIFS($C$3:$C$1002,C41,$E$3:$E$1002,E41,$G$3:$G$1002,"&lt;&gt;"&amp;G41)&gt;0),"Design "&amp;E41&amp;" has another Product Type or Category on another row",IF(COUNTIFS($F$3:$F$1002,F41,$G$3:$G$1002,G41,$H$3:$H$1002,"&lt;&gt;"&amp;H41)&gt;0,F41&amp;" + "&amp;G41&amp;" has another HSN Code on another row",IF(AND(V41&lt;&gt;"",U41=""),"Received Qty needs the Vendor Invoice No",IF(AND(U41&lt;&gt;"",COUNTIFS(Bills!$B$3:$B$302,U41,Bills!$C$3:$C$302,C41)=0),"Add bill "&amp;U41&amp;" of "&amp;C41&amp;" on the Bills sheet",IF(S41&lt;R41,"MRP is below the Purchase Rate","OK")))))))))</f>
        <v/>
      </c>
      <c r="B41" s="29"/>
      <c r="C41" s="22"/>
      <c r="D41" s="22"/>
      <c r="E41" s="24"/>
      <c r="F41" s="22"/>
      <c r="G41" s="22"/>
      <c r="H41" s="22"/>
      <c r="I41" s="30" t="str">
        <f>IF(H41="","",IFERROR(INDEX(Codes!$B$2:$B$13,MATCH(H41,Codes!$A$2:$A$13,0)),""))</f>
        <v/>
      </c>
      <c r="J41" s="23"/>
      <c r="K41" s="23"/>
      <c r="L41" s="23"/>
      <c r="M41" s="23"/>
      <c r="N41" s="23"/>
      <c r="O41" s="23"/>
      <c r="P41" s="23"/>
      <c r="Q41" s="31"/>
      <c r="R41" s="32"/>
      <c r="S41" s="32"/>
      <c r="T41" s="33" t="str">
        <f t="shared" si="0"/>
        <v/>
      </c>
      <c r="U41" s="34"/>
      <c r="V41" s="35"/>
      <c r="W41" s="33" t="str">
        <f t="shared" si="1"/>
        <v/>
      </c>
    </row>
    <row r="42" spans="1:23" x14ac:dyDescent="0.35">
      <c r="A42" s="21" t="str">
        <f>IF(COUNTA(B42:H42,J42:S42,U42:V42)=0,"",IF((IF(B42="","PO Ref, ","")&amp;IF(C42="","Vendor, ","")&amp;IF(D42="","Store, ","")&amp;IF(F42="","Product Type, ","")&amp;IF(G42="","Category, ","")&amp;IF(H42="","HSN Code, ","")&amp;IF(Q42="","Qty, ","")&amp;IF(R42="","Purchase Rate, ","")&amp;IF(S42="","MRP, ",""))&lt;&gt;"","Missing: "&amp;LEFT(IF(B42="","PO Ref, ","")&amp;IF(C42="","Vendor, ","")&amp;IF(D42="","Store, ","")&amp;IF(F42="","Product Type, ","")&amp;IF(G42="","Category, ","")&amp;IF(H42="","HSN Code, ","")&amp;IF(Q42="","Qty, ","")&amp;IF(R42="","Purchase Rate, ","")&amp;IF(S42="","MRP, ",""),LEN(IF(B42="","PO Ref, ","")&amp;IF(C42="","Vendor, ","")&amp;IF(D42="","Store, ","")&amp;IF(F42="","Product Type, ","")&amp;IF(G42="","Category, ","")&amp;IF(H42="","HSN Code, ","")&amp;IF(Q42="","Qty, ","")&amp;IF(R42="","Purchase Rate, ","")&amp;IF(S42="","MRP, ",""))-2),IF(COUNTIF(Vendors!$B$3:$B$202,C42)=0,"Add vendor "&amp;C42&amp;" on the Vendors sheet",IF(ISNA(MATCH(H42,Codes!$A$2:$A$13,0)),"Pick the HSN Code from the list",IF(AND(E42&lt;&gt;"",COUNTIFS($C$3:$C$1002,C42,$E$3:$E$1002,E42,$F$3:$F$1002,"&lt;&gt;"&amp;F42)+COUNTIFS($C$3:$C$1002,C42,$E$3:$E$1002,E42,$G$3:$G$1002,"&lt;&gt;"&amp;G42)&gt;0),"Design "&amp;E42&amp;" has another Product Type or Category on another row",IF(COUNTIFS($F$3:$F$1002,F42,$G$3:$G$1002,G42,$H$3:$H$1002,"&lt;&gt;"&amp;H42)&gt;0,F42&amp;" + "&amp;G42&amp;" has another HSN Code on another row",IF(AND(V42&lt;&gt;"",U42=""),"Received Qty needs the Vendor Invoice No",IF(AND(U42&lt;&gt;"",COUNTIFS(Bills!$B$3:$B$302,U42,Bills!$C$3:$C$302,C42)=0),"Add bill "&amp;U42&amp;" of "&amp;C42&amp;" on the Bills sheet",IF(S42&lt;R42,"MRP is below the Purchase Rate","OK")))))))))</f>
        <v/>
      </c>
      <c r="B42" s="29"/>
      <c r="C42" s="22"/>
      <c r="D42" s="22"/>
      <c r="E42" s="24"/>
      <c r="F42" s="22"/>
      <c r="G42" s="22"/>
      <c r="H42" s="22"/>
      <c r="I42" s="30" t="str">
        <f>IF(H42="","",IFERROR(INDEX(Codes!$B$2:$B$13,MATCH(H42,Codes!$A$2:$A$13,0)),""))</f>
        <v/>
      </c>
      <c r="J42" s="23"/>
      <c r="K42" s="23"/>
      <c r="L42" s="23"/>
      <c r="M42" s="23"/>
      <c r="N42" s="23"/>
      <c r="O42" s="23"/>
      <c r="P42" s="23"/>
      <c r="Q42" s="31"/>
      <c r="R42" s="32"/>
      <c r="S42" s="32"/>
      <c r="T42" s="33" t="str">
        <f t="shared" si="0"/>
        <v/>
      </c>
      <c r="U42" s="34"/>
      <c r="V42" s="35"/>
      <c r="W42" s="33" t="str">
        <f t="shared" si="1"/>
        <v/>
      </c>
    </row>
    <row r="43" spans="1:23" x14ac:dyDescent="0.35">
      <c r="A43" s="21" t="str">
        <f>IF(COUNTA(B43:H43,J43:S43,U43:V43)=0,"",IF((IF(B43="","PO Ref, ","")&amp;IF(C43="","Vendor, ","")&amp;IF(D43="","Store, ","")&amp;IF(F43="","Product Type, ","")&amp;IF(G43="","Category, ","")&amp;IF(H43="","HSN Code, ","")&amp;IF(Q43="","Qty, ","")&amp;IF(R43="","Purchase Rate, ","")&amp;IF(S43="","MRP, ",""))&lt;&gt;"","Missing: "&amp;LEFT(IF(B43="","PO Ref, ","")&amp;IF(C43="","Vendor, ","")&amp;IF(D43="","Store, ","")&amp;IF(F43="","Product Type, ","")&amp;IF(G43="","Category, ","")&amp;IF(H43="","HSN Code, ","")&amp;IF(Q43="","Qty, ","")&amp;IF(R43="","Purchase Rate, ","")&amp;IF(S43="","MRP, ",""),LEN(IF(B43="","PO Ref, ","")&amp;IF(C43="","Vendor, ","")&amp;IF(D43="","Store, ","")&amp;IF(F43="","Product Type, ","")&amp;IF(G43="","Category, ","")&amp;IF(H43="","HSN Code, ","")&amp;IF(Q43="","Qty, ","")&amp;IF(R43="","Purchase Rate, ","")&amp;IF(S43="","MRP, ",""))-2),IF(COUNTIF(Vendors!$B$3:$B$202,C43)=0,"Add vendor "&amp;C43&amp;" on the Vendors sheet",IF(ISNA(MATCH(H43,Codes!$A$2:$A$13,0)),"Pick the HSN Code from the list",IF(AND(E43&lt;&gt;"",COUNTIFS($C$3:$C$1002,C43,$E$3:$E$1002,E43,$F$3:$F$1002,"&lt;&gt;"&amp;F43)+COUNTIFS($C$3:$C$1002,C43,$E$3:$E$1002,E43,$G$3:$G$1002,"&lt;&gt;"&amp;G43)&gt;0),"Design "&amp;E43&amp;" has another Product Type or Category on another row",IF(COUNTIFS($F$3:$F$1002,F43,$G$3:$G$1002,G43,$H$3:$H$1002,"&lt;&gt;"&amp;H43)&gt;0,F43&amp;" + "&amp;G43&amp;" has another HSN Code on another row",IF(AND(V43&lt;&gt;"",U43=""),"Received Qty needs the Vendor Invoice No",IF(AND(U43&lt;&gt;"",COUNTIFS(Bills!$B$3:$B$302,U43,Bills!$C$3:$C$302,C43)=0),"Add bill "&amp;U43&amp;" of "&amp;C43&amp;" on the Bills sheet",IF(S43&lt;R43,"MRP is below the Purchase Rate","OK")))))))))</f>
        <v/>
      </c>
      <c r="B43" s="29"/>
      <c r="C43" s="22"/>
      <c r="D43" s="22"/>
      <c r="E43" s="24"/>
      <c r="F43" s="22"/>
      <c r="G43" s="22"/>
      <c r="H43" s="22"/>
      <c r="I43" s="30" t="str">
        <f>IF(H43="","",IFERROR(INDEX(Codes!$B$2:$B$13,MATCH(H43,Codes!$A$2:$A$13,0)),""))</f>
        <v/>
      </c>
      <c r="J43" s="23"/>
      <c r="K43" s="23"/>
      <c r="L43" s="23"/>
      <c r="M43" s="23"/>
      <c r="N43" s="23"/>
      <c r="O43" s="23"/>
      <c r="P43" s="23"/>
      <c r="Q43" s="31"/>
      <c r="R43" s="32"/>
      <c r="S43" s="32"/>
      <c r="T43" s="33" t="str">
        <f t="shared" si="0"/>
        <v/>
      </c>
      <c r="U43" s="34"/>
      <c r="V43" s="35"/>
      <c r="W43" s="33" t="str">
        <f t="shared" si="1"/>
        <v/>
      </c>
    </row>
    <row r="44" spans="1:23" x14ac:dyDescent="0.35">
      <c r="A44" s="21" t="str">
        <f>IF(COUNTA(B44:H44,J44:S44,U44:V44)=0,"",IF((IF(B44="","PO Ref, ","")&amp;IF(C44="","Vendor, ","")&amp;IF(D44="","Store, ","")&amp;IF(F44="","Product Type, ","")&amp;IF(G44="","Category, ","")&amp;IF(H44="","HSN Code, ","")&amp;IF(Q44="","Qty, ","")&amp;IF(R44="","Purchase Rate, ","")&amp;IF(S44="","MRP, ",""))&lt;&gt;"","Missing: "&amp;LEFT(IF(B44="","PO Ref, ","")&amp;IF(C44="","Vendor, ","")&amp;IF(D44="","Store, ","")&amp;IF(F44="","Product Type, ","")&amp;IF(G44="","Category, ","")&amp;IF(H44="","HSN Code, ","")&amp;IF(Q44="","Qty, ","")&amp;IF(R44="","Purchase Rate, ","")&amp;IF(S44="","MRP, ",""),LEN(IF(B44="","PO Ref, ","")&amp;IF(C44="","Vendor, ","")&amp;IF(D44="","Store, ","")&amp;IF(F44="","Product Type, ","")&amp;IF(G44="","Category, ","")&amp;IF(H44="","HSN Code, ","")&amp;IF(Q44="","Qty, ","")&amp;IF(R44="","Purchase Rate, ","")&amp;IF(S44="","MRP, ",""))-2),IF(COUNTIF(Vendors!$B$3:$B$202,C44)=0,"Add vendor "&amp;C44&amp;" on the Vendors sheet",IF(ISNA(MATCH(H44,Codes!$A$2:$A$13,0)),"Pick the HSN Code from the list",IF(AND(E44&lt;&gt;"",COUNTIFS($C$3:$C$1002,C44,$E$3:$E$1002,E44,$F$3:$F$1002,"&lt;&gt;"&amp;F44)+COUNTIFS($C$3:$C$1002,C44,$E$3:$E$1002,E44,$G$3:$G$1002,"&lt;&gt;"&amp;G44)&gt;0),"Design "&amp;E44&amp;" has another Product Type or Category on another row",IF(COUNTIFS($F$3:$F$1002,F44,$G$3:$G$1002,G44,$H$3:$H$1002,"&lt;&gt;"&amp;H44)&gt;0,F44&amp;" + "&amp;G44&amp;" has another HSN Code on another row",IF(AND(V44&lt;&gt;"",U44=""),"Received Qty needs the Vendor Invoice No",IF(AND(U44&lt;&gt;"",COUNTIFS(Bills!$B$3:$B$302,U44,Bills!$C$3:$C$302,C44)=0),"Add bill "&amp;U44&amp;" of "&amp;C44&amp;" on the Bills sheet",IF(S44&lt;R44,"MRP is below the Purchase Rate","OK")))))))))</f>
        <v/>
      </c>
      <c r="B44" s="29"/>
      <c r="C44" s="22"/>
      <c r="D44" s="22"/>
      <c r="E44" s="24"/>
      <c r="F44" s="22"/>
      <c r="G44" s="22"/>
      <c r="H44" s="22"/>
      <c r="I44" s="30" t="str">
        <f>IF(H44="","",IFERROR(INDEX(Codes!$B$2:$B$13,MATCH(H44,Codes!$A$2:$A$13,0)),""))</f>
        <v/>
      </c>
      <c r="J44" s="23"/>
      <c r="K44" s="23"/>
      <c r="L44" s="23"/>
      <c r="M44" s="23"/>
      <c r="N44" s="23"/>
      <c r="O44" s="23"/>
      <c r="P44" s="23"/>
      <c r="Q44" s="31"/>
      <c r="R44" s="32"/>
      <c r="S44" s="32"/>
      <c r="T44" s="33" t="str">
        <f t="shared" si="0"/>
        <v/>
      </c>
      <c r="U44" s="34"/>
      <c r="V44" s="35"/>
      <c r="W44" s="33" t="str">
        <f t="shared" si="1"/>
        <v/>
      </c>
    </row>
    <row r="45" spans="1:23" x14ac:dyDescent="0.35">
      <c r="A45" s="21" t="str">
        <f>IF(COUNTA(B45:H45,J45:S45,U45:V45)=0,"",IF((IF(B45="","PO Ref, ","")&amp;IF(C45="","Vendor, ","")&amp;IF(D45="","Store, ","")&amp;IF(F45="","Product Type, ","")&amp;IF(G45="","Category, ","")&amp;IF(H45="","HSN Code, ","")&amp;IF(Q45="","Qty, ","")&amp;IF(R45="","Purchase Rate, ","")&amp;IF(S45="","MRP, ",""))&lt;&gt;"","Missing: "&amp;LEFT(IF(B45="","PO Ref, ","")&amp;IF(C45="","Vendor, ","")&amp;IF(D45="","Store, ","")&amp;IF(F45="","Product Type, ","")&amp;IF(G45="","Category, ","")&amp;IF(H45="","HSN Code, ","")&amp;IF(Q45="","Qty, ","")&amp;IF(R45="","Purchase Rate, ","")&amp;IF(S45="","MRP, ",""),LEN(IF(B45="","PO Ref, ","")&amp;IF(C45="","Vendor, ","")&amp;IF(D45="","Store, ","")&amp;IF(F45="","Product Type, ","")&amp;IF(G45="","Category, ","")&amp;IF(H45="","HSN Code, ","")&amp;IF(Q45="","Qty, ","")&amp;IF(R45="","Purchase Rate, ","")&amp;IF(S45="","MRP, ",""))-2),IF(COUNTIF(Vendors!$B$3:$B$202,C45)=0,"Add vendor "&amp;C45&amp;" on the Vendors sheet",IF(ISNA(MATCH(H45,Codes!$A$2:$A$13,0)),"Pick the HSN Code from the list",IF(AND(E45&lt;&gt;"",COUNTIFS($C$3:$C$1002,C45,$E$3:$E$1002,E45,$F$3:$F$1002,"&lt;&gt;"&amp;F45)+COUNTIFS($C$3:$C$1002,C45,$E$3:$E$1002,E45,$G$3:$G$1002,"&lt;&gt;"&amp;G45)&gt;0),"Design "&amp;E45&amp;" has another Product Type or Category on another row",IF(COUNTIFS($F$3:$F$1002,F45,$G$3:$G$1002,G45,$H$3:$H$1002,"&lt;&gt;"&amp;H45)&gt;0,F45&amp;" + "&amp;G45&amp;" has another HSN Code on another row",IF(AND(V45&lt;&gt;"",U45=""),"Received Qty needs the Vendor Invoice No",IF(AND(U45&lt;&gt;"",COUNTIFS(Bills!$B$3:$B$302,U45,Bills!$C$3:$C$302,C45)=0),"Add bill "&amp;U45&amp;" of "&amp;C45&amp;" on the Bills sheet",IF(S45&lt;R45,"MRP is below the Purchase Rate","OK")))))))))</f>
        <v/>
      </c>
      <c r="B45" s="29"/>
      <c r="C45" s="22"/>
      <c r="D45" s="22"/>
      <c r="E45" s="24"/>
      <c r="F45" s="22"/>
      <c r="G45" s="22"/>
      <c r="H45" s="22"/>
      <c r="I45" s="30" t="str">
        <f>IF(H45="","",IFERROR(INDEX(Codes!$B$2:$B$13,MATCH(H45,Codes!$A$2:$A$13,0)),""))</f>
        <v/>
      </c>
      <c r="J45" s="23"/>
      <c r="K45" s="23"/>
      <c r="L45" s="23"/>
      <c r="M45" s="23"/>
      <c r="N45" s="23"/>
      <c r="O45" s="23"/>
      <c r="P45" s="23"/>
      <c r="Q45" s="31"/>
      <c r="R45" s="32"/>
      <c r="S45" s="32"/>
      <c r="T45" s="33" t="str">
        <f t="shared" si="0"/>
        <v/>
      </c>
      <c r="U45" s="34"/>
      <c r="V45" s="35"/>
      <c r="W45" s="33" t="str">
        <f t="shared" si="1"/>
        <v/>
      </c>
    </row>
    <row r="46" spans="1:23" x14ac:dyDescent="0.35">
      <c r="A46" s="21" t="str">
        <f>IF(COUNTA(B46:H46,J46:S46,U46:V46)=0,"",IF((IF(B46="","PO Ref, ","")&amp;IF(C46="","Vendor, ","")&amp;IF(D46="","Store, ","")&amp;IF(F46="","Product Type, ","")&amp;IF(G46="","Category, ","")&amp;IF(H46="","HSN Code, ","")&amp;IF(Q46="","Qty, ","")&amp;IF(R46="","Purchase Rate, ","")&amp;IF(S46="","MRP, ",""))&lt;&gt;"","Missing: "&amp;LEFT(IF(B46="","PO Ref, ","")&amp;IF(C46="","Vendor, ","")&amp;IF(D46="","Store, ","")&amp;IF(F46="","Product Type, ","")&amp;IF(G46="","Category, ","")&amp;IF(H46="","HSN Code, ","")&amp;IF(Q46="","Qty, ","")&amp;IF(R46="","Purchase Rate, ","")&amp;IF(S46="","MRP, ",""),LEN(IF(B46="","PO Ref, ","")&amp;IF(C46="","Vendor, ","")&amp;IF(D46="","Store, ","")&amp;IF(F46="","Product Type, ","")&amp;IF(G46="","Category, ","")&amp;IF(H46="","HSN Code, ","")&amp;IF(Q46="","Qty, ","")&amp;IF(R46="","Purchase Rate, ","")&amp;IF(S46="","MRP, ",""))-2),IF(COUNTIF(Vendors!$B$3:$B$202,C46)=0,"Add vendor "&amp;C46&amp;" on the Vendors sheet",IF(ISNA(MATCH(H46,Codes!$A$2:$A$13,0)),"Pick the HSN Code from the list",IF(AND(E46&lt;&gt;"",COUNTIFS($C$3:$C$1002,C46,$E$3:$E$1002,E46,$F$3:$F$1002,"&lt;&gt;"&amp;F46)+COUNTIFS($C$3:$C$1002,C46,$E$3:$E$1002,E46,$G$3:$G$1002,"&lt;&gt;"&amp;G46)&gt;0),"Design "&amp;E46&amp;" has another Product Type or Category on another row",IF(COUNTIFS($F$3:$F$1002,F46,$G$3:$G$1002,G46,$H$3:$H$1002,"&lt;&gt;"&amp;H46)&gt;0,F46&amp;" + "&amp;G46&amp;" has another HSN Code on another row",IF(AND(V46&lt;&gt;"",U46=""),"Received Qty needs the Vendor Invoice No",IF(AND(U46&lt;&gt;"",COUNTIFS(Bills!$B$3:$B$302,U46,Bills!$C$3:$C$302,C46)=0),"Add bill "&amp;U46&amp;" of "&amp;C46&amp;" on the Bills sheet",IF(S46&lt;R46,"MRP is below the Purchase Rate","OK")))))))))</f>
        <v/>
      </c>
      <c r="B46" s="29"/>
      <c r="C46" s="22"/>
      <c r="D46" s="22"/>
      <c r="E46" s="24"/>
      <c r="F46" s="22"/>
      <c r="G46" s="22"/>
      <c r="H46" s="22"/>
      <c r="I46" s="30" t="str">
        <f>IF(H46="","",IFERROR(INDEX(Codes!$B$2:$B$13,MATCH(H46,Codes!$A$2:$A$13,0)),""))</f>
        <v/>
      </c>
      <c r="J46" s="23"/>
      <c r="K46" s="23"/>
      <c r="L46" s="23"/>
      <c r="M46" s="23"/>
      <c r="N46" s="23"/>
      <c r="O46" s="23"/>
      <c r="P46" s="23"/>
      <c r="Q46" s="31"/>
      <c r="R46" s="32"/>
      <c r="S46" s="32"/>
      <c r="T46" s="33" t="str">
        <f t="shared" si="0"/>
        <v/>
      </c>
      <c r="U46" s="34"/>
      <c r="V46" s="35"/>
      <c r="W46" s="33" t="str">
        <f t="shared" si="1"/>
        <v/>
      </c>
    </row>
    <row r="47" spans="1:23" x14ac:dyDescent="0.35">
      <c r="A47" s="21" t="str">
        <f>IF(COUNTA(B47:H47,J47:S47,U47:V47)=0,"",IF((IF(B47="","PO Ref, ","")&amp;IF(C47="","Vendor, ","")&amp;IF(D47="","Store, ","")&amp;IF(F47="","Product Type, ","")&amp;IF(G47="","Category, ","")&amp;IF(H47="","HSN Code, ","")&amp;IF(Q47="","Qty, ","")&amp;IF(R47="","Purchase Rate, ","")&amp;IF(S47="","MRP, ",""))&lt;&gt;"","Missing: "&amp;LEFT(IF(B47="","PO Ref, ","")&amp;IF(C47="","Vendor, ","")&amp;IF(D47="","Store, ","")&amp;IF(F47="","Product Type, ","")&amp;IF(G47="","Category, ","")&amp;IF(H47="","HSN Code, ","")&amp;IF(Q47="","Qty, ","")&amp;IF(R47="","Purchase Rate, ","")&amp;IF(S47="","MRP, ",""),LEN(IF(B47="","PO Ref, ","")&amp;IF(C47="","Vendor, ","")&amp;IF(D47="","Store, ","")&amp;IF(F47="","Product Type, ","")&amp;IF(G47="","Category, ","")&amp;IF(H47="","HSN Code, ","")&amp;IF(Q47="","Qty, ","")&amp;IF(R47="","Purchase Rate, ","")&amp;IF(S47="","MRP, ",""))-2),IF(COUNTIF(Vendors!$B$3:$B$202,C47)=0,"Add vendor "&amp;C47&amp;" on the Vendors sheet",IF(ISNA(MATCH(H47,Codes!$A$2:$A$13,0)),"Pick the HSN Code from the list",IF(AND(E47&lt;&gt;"",COUNTIFS($C$3:$C$1002,C47,$E$3:$E$1002,E47,$F$3:$F$1002,"&lt;&gt;"&amp;F47)+COUNTIFS($C$3:$C$1002,C47,$E$3:$E$1002,E47,$G$3:$G$1002,"&lt;&gt;"&amp;G47)&gt;0),"Design "&amp;E47&amp;" has another Product Type or Category on another row",IF(COUNTIFS($F$3:$F$1002,F47,$G$3:$G$1002,G47,$H$3:$H$1002,"&lt;&gt;"&amp;H47)&gt;0,F47&amp;" + "&amp;G47&amp;" has another HSN Code on another row",IF(AND(V47&lt;&gt;"",U47=""),"Received Qty needs the Vendor Invoice No",IF(AND(U47&lt;&gt;"",COUNTIFS(Bills!$B$3:$B$302,U47,Bills!$C$3:$C$302,C47)=0),"Add bill "&amp;U47&amp;" of "&amp;C47&amp;" on the Bills sheet",IF(S47&lt;R47,"MRP is below the Purchase Rate","OK")))))))))</f>
        <v/>
      </c>
      <c r="B47" s="29"/>
      <c r="C47" s="22"/>
      <c r="D47" s="22"/>
      <c r="E47" s="24"/>
      <c r="F47" s="22"/>
      <c r="G47" s="22"/>
      <c r="H47" s="22"/>
      <c r="I47" s="30" t="str">
        <f>IF(H47="","",IFERROR(INDEX(Codes!$B$2:$B$13,MATCH(H47,Codes!$A$2:$A$13,0)),""))</f>
        <v/>
      </c>
      <c r="J47" s="23"/>
      <c r="K47" s="23"/>
      <c r="L47" s="23"/>
      <c r="M47" s="23"/>
      <c r="N47" s="23"/>
      <c r="O47" s="23"/>
      <c r="P47" s="23"/>
      <c r="Q47" s="31"/>
      <c r="R47" s="32"/>
      <c r="S47" s="32"/>
      <c r="T47" s="33" t="str">
        <f t="shared" si="0"/>
        <v/>
      </c>
      <c r="U47" s="34"/>
      <c r="V47" s="35"/>
      <c r="W47" s="33" t="str">
        <f t="shared" si="1"/>
        <v/>
      </c>
    </row>
    <row r="48" spans="1:23" x14ac:dyDescent="0.35">
      <c r="A48" s="21" t="str">
        <f>IF(COUNTA(B48:H48,J48:S48,U48:V48)=0,"",IF((IF(B48="","PO Ref, ","")&amp;IF(C48="","Vendor, ","")&amp;IF(D48="","Store, ","")&amp;IF(F48="","Product Type, ","")&amp;IF(G48="","Category, ","")&amp;IF(H48="","HSN Code, ","")&amp;IF(Q48="","Qty, ","")&amp;IF(R48="","Purchase Rate, ","")&amp;IF(S48="","MRP, ",""))&lt;&gt;"","Missing: "&amp;LEFT(IF(B48="","PO Ref, ","")&amp;IF(C48="","Vendor, ","")&amp;IF(D48="","Store, ","")&amp;IF(F48="","Product Type, ","")&amp;IF(G48="","Category, ","")&amp;IF(H48="","HSN Code, ","")&amp;IF(Q48="","Qty, ","")&amp;IF(R48="","Purchase Rate, ","")&amp;IF(S48="","MRP, ",""),LEN(IF(B48="","PO Ref, ","")&amp;IF(C48="","Vendor, ","")&amp;IF(D48="","Store, ","")&amp;IF(F48="","Product Type, ","")&amp;IF(G48="","Category, ","")&amp;IF(H48="","HSN Code, ","")&amp;IF(Q48="","Qty, ","")&amp;IF(R48="","Purchase Rate, ","")&amp;IF(S48="","MRP, ",""))-2),IF(COUNTIF(Vendors!$B$3:$B$202,C48)=0,"Add vendor "&amp;C48&amp;" on the Vendors sheet",IF(ISNA(MATCH(H48,Codes!$A$2:$A$13,0)),"Pick the HSN Code from the list",IF(AND(E48&lt;&gt;"",COUNTIFS($C$3:$C$1002,C48,$E$3:$E$1002,E48,$F$3:$F$1002,"&lt;&gt;"&amp;F48)+COUNTIFS($C$3:$C$1002,C48,$E$3:$E$1002,E48,$G$3:$G$1002,"&lt;&gt;"&amp;G48)&gt;0),"Design "&amp;E48&amp;" has another Product Type or Category on another row",IF(COUNTIFS($F$3:$F$1002,F48,$G$3:$G$1002,G48,$H$3:$H$1002,"&lt;&gt;"&amp;H48)&gt;0,F48&amp;" + "&amp;G48&amp;" has another HSN Code on another row",IF(AND(V48&lt;&gt;"",U48=""),"Received Qty needs the Vendor Invoice No",IF(AND(U48&lt;&gt;"",COUNTIFS(Bills!$B$3:$B$302,U48,Bills!$C$3:$C$302,C48)=0),"Add bill "&amp;U48&amp;" of "&amp;C48&amp;" on the Bills sheet",IF(S48&lt;R48,"MRP is below the Purchase Rate","OK")))))))))</f>
        <v/>
      </c>
      <c r="B48" s="29"/>
      <c r="C48" s="22"/>
      <c r="D48" s="22"/>
      <c r="E48" s="24"/>
      <c r="F48" s="22"/>
      <c r="G48" s="22"/>
      <c r="H48" s="22"/>
      <c r="I48" s="30" t="str">
        <f>IF(H48="","",IFERROR(INDEX(Codes!$B$2:$B$13,MATCH(H48,Codes!$A$2:$A$13,0)),""))</f>
        <v/>
      </c>
      <c r="J48" s="23"/>
      <c r="K48" s="23"/>
      <c r="L48" s="23"/>
      <c r="M48" s="23"/>
      <c r="N48" s="23"/>
      <c r="O48" s="23"/>
      <c r="P48" s="23"/>
      <c r="Q48" s="31"/>
      <c r="R48" s="32"/>
      <c r="S48" s="32"/>
      <c r="T48" s="33" t="str">
        <f t="shared" si="0"/>
        <v/>
      </c>
      <c r="U48" s="34"/>
      <c r="V48" s="35"/>
      <c r="W48" s="33" t="str">
        <f t="shared" si="1"/>
        <v/>
      </c>
    </row>
    <row r="49" spans="1:23" x14ac:dyDescent="0.35">
      <c r="A49" s="21" t="str">
        <f>IF(COUNTA(B49:H49,J49:S49,U49:V49)=0,"",IF((IF(B49="","PO Ref, ","")&amp;IF(C49="","Vendor, ","")&amp;IF(D49="","Store, ","")&amp;IF(F49="","Product Type, ","")&amp;IF(G49="","Category, ","")&amp;IF(H49="","HSN Code, ","")&amp;IF(Q49="","Qty, ","")&amp;IF(R49="","Purchase Rate, ","")&amp;IF(S49="","MRP, ",""))&lt;&gt;"","Missing: "&amp;LEFT(IF(B49="","PO Ref, ","")&amp;IF(C49="","Vendor, ","")&amp;IF(D49="","Store, ","")&amp;IF(F49="","Product Type, ","")&amp;IF(G49="","Category, ","")&amp;IF(H49="","HSN Code, ","")&amp;IF(Q49="","Qty, ","")&amp;IF(R49="","Purchase Rate, ","")&amp;IF(S49="","MRP, ",""),LEN(IF(B49="","PO Ref, ","")&amp;IF(C49="","Vendor, ","")&amp;IF(D49="","Store, ","")&amp;IF(F49="","Product Type, ","")&amp;IF(G49="","Category, ","")&amp;IF(H49="","HSN Code, ","")&amp;IF(Q49="","Qty, ","")&amp;IF(R49="","Purchase Rate, ","")&amp;IF(S49="","MRP, ",""))-2),IF(COUNTIF(Vendors!$B$3:$B$202,C49)=0,"Add vendor "&amp;C49&amp;" on the Vendors sheet",IF(ISNA(MATCH(H49,Codes!$A$2:$A$13,0)),"Pick the HSN Code from the list",IF(AND(E49&lt;&gt;"",COUNTIFS($C$3:$C$1002,C49,$E$3:$E$1002,E49,$F$3:$F$1002,"&lt;&gt;"&amp;F49)+COUNTIFS($C$3:$C$1002,C49,$E$3:$E$1002,E49,$G$3:$G$1002,"&lt;&gt;"&amp;G49)&gt;0),"Design "&amp;E49&amp;" has another Product Type or Category on another row",IF(COUNTIFS($F$3:$F$1002,F49,$G$3:$G$1002,G49,$H$3:$H$1002,"&lt;&gt;"&amp;H49)&gt;0,F49&amp;" + "&amp;G49&amp;" has another HSN Code on another row",IF(AND(V49&lt;&gt;"",U49=""),"Received Qty needs the Vendor Invoice No",IF(AND(U49&lt;&gt;"",COUNTIFS(Bills!$B$3:$B$302,U49,Bills!$C$3:$C$302,C49)=0),"Add bill "&amp;U49&amp;" of "&amp;C49&amp;" on the Bills sheet",IF(S49&lt;R49,"MRP is below the Purchase Rate","OK")))))))))</f>
        <v/>
      </c>
      <c r="B49" s="29"/>
      <c r="C49" s="22"/>
      <c r="D49" s="22"/>
      <c r="E49" s="24"/>
      <c r="F49" s="22"/>
      <c r="G49" s="22"/>
      <c r="H49" s="22"/>
      <c r="I49" s="30" t="str">
        <f>IF(H49="","",IFERROR(INDEX(Codes!$B$2:$B$13,MATCH(H49,Codes!$A$2:$A$13,0)),""))</f>
        <v/>
      </c>
      <c r="J49" s="23"/>
      <c r="K49" s="23"/>
      <c r="L49" s="23"/>
      <c r="M49" s="23"/>
      <c r="N49" s="23"/>
      <c r="O49" s="23"/>
      <c r="P49" s="23"/>
      <c r="Q49" s="31"/>
      <c r="R49" s="32"/>
      <c r="S49" s="32"/>
      <c r="T49" s="33" t="str">
        <f t="shared" si="0"/>
        <v/>
      </c>
      <c r="U49" s="34"/>
      <c r="V49" s="35"/>
      <c r="W49" s="33" t="str">
        <f t="shared" si="1"/>
        <v/>
      </c>
    </row>
    <row r="50" spans="1:23" x14ac:dyDescent="0.35">
      <c r="A50" s="21" t="str">
        <f>IF(COUNTA(B50:H50,J50:S50,U50:V50)=0,"",IF((IF(B50="","PO Ref, ","")&amp;IF(C50="","Vendor, ","")&amp;IF(D50="","Store, ","")&amp;IF(F50="","Product Type, ","")&amp;IF(G50="","Category, ","")&amp;IF(H50="","HSN Code, ","")&amp;IF(Q50="","Qty, ","")&amp;IF(R50="","Purchase Rate, ","")&amp;IF(S50="","MRP, ",""))&lt;&gt;"","Missing: "&amp;LEFT(IF(B50="","PO Ref, ","")&amp;IF(C50="","Vendor, ","")&amp;IF(D50="","Store, ","")&amp;IF(F50="","Product Type, ","")&amp;IF(G50="","Category, ","")&amp;IF(H50="","HSN Code, ","")&amp;IF(Q50="","Qty, ","")&amp;IF(R50="","Purchase Rate, ","")&amp;IF(S50="","MRP, ",""),LEN(IF(B50="","PO Ref, ","")&amp;IF(C50="","Vendor, ","")&amp;IF(D50="","Store, ","")&amp;IF(F50="","Product Type, ","")&amp;IF(G50="","Category, ","")&amp;IF(H50="","HSN Code, ","")&amp;IF(Q50="","Qty, ","")&amp;IF(R50="","Purchase Rate, ","")&amp;IF(S50="","MRP, ",""))-2),IF(COUNTIF(Vendors!$B$3:$B$202,C50)=0,"Add vendor "&amp;C50&amp;" on the Vendors sheet",IF(ISNA(MATCH(H50,Codes!$A$2:$A$13,0)),"Pick the HSN Code from the list",IF(AND(E50&lt;&gt;"",COUNTIFS($C$3:$C$1002,C50,$E$3:$E$1002,E50,$F$3:$F$1002,"&lt;&gt;"&amp;F50)+COUNTIFS($C$3:$C$1002,C50,$E$3:$E$1002,E50,$G$3:$G$1002,"&lt;&gt;"&amp;G50)&gt;0),"Design "&amp;E50&amp;" has another Product Type or Category on another row",IF(COUNTIFS($F$3:$F$1002,F50,$G$3:$G$1002,G50,$H$3:$H$1002,"&lt;&gt;"&amp;H50)&gt;0,F50&amp;" + "&amp;G50&amp;" has another HSN Code on another row",IF(AND(V50&lt;&gt;"",U50=""),"Received Qty needs the Vendor Invoice No",IF(AND(U50&lt;&gt;"",COUNTIFS(Bills!$B$3:$B$302,U50,Bills!$C$3:$C$302,C50)=0),"Add bill "&amp;U50&amp;" of "&amp;C50&amp;" on the Bills sheet",IF(S50&lt;R50,"MRP is below the Purchase Rate","OK")))))))))</f>
        <v/>
      </c>
      <c r="B50" s="29"/>
      <c r="C50" s="22"/>
      <c r="D50" s="22"/>
      <c r="E50" s="24"/>
      <c r="F50" s="22"/>
      <c r="G50" s="22"/>
      <c r="H50" s="22"/>
      <c r="I50" s="30" t="str">
        <f>IF(H50="","",IFERROR(INDEX(Codes!$B$2:$B$13,MATCH(H50,Codes!$A$2:$A$13,0)),""))</f>
        <v/>
      </c>
      <c r="J50" s="23"/>
      <c r="K50" s="23"/>
      <c r="L50" s="23"/>
      <c r="M50" s="23"/>
      <c r="N50" s="23"/>
      <c r="O50" s="23"/>
      <c r="P50" s="23"/>
      <c r="Q50" s="31"/>
      <c r="R50" s="32"/>
      <c r="S50" s="32"/>
      <c r="T50" s="33" t="str">
        <f t="shared" si="0"/>
        <v/>
      </c>
      <c r="U50" s="34"/>
      <c r="V50" s="35"/>
      <c r="W50" s="33" t="str">
        <f t="shared" si="1"/>
        <v/>
      </c>
    </row>
    <row r="51" spans="1:23" x14ac:dyDescent="0.35">
      <c r="A51" s="21" t="str">
        <f>IF(COUNTA(B51:H51,J51:S51,U51:V51)=0,"",IF((IF(B51="","PO Ref, ","")&amp;IF(C51="","Vendor, ","")&amp;IF(D51="","Store, ","")&amp;IF(F51="","Product Type, ","")&amp;IF(G51="","Category, ","")&amp;IF(H51="","HSN Code, ","")&amp;IF(Q51="","Qty, ","")&amp;IF(R51="","Purchase Rate, ","")&amp;IF(S51="","MRP, ",""))&lt;&gt;"","Missing: "&amp;LEFT(IF(B51="","PO Ref, ","")&amp;IF(C51="","Vendor, ","")&amp;IF(D51="","Store, ","")&amp;IF(F51="","Product Type, ","")&amp;IF(G51="","Category, ","")&amp;IF(H51="","HSN Code, ","")&amp;IF(Q51="","Qty, ","")&amp;IF(R51="","Purchase Rate, ","")&amp;IF(S51="","MRP, ",""),LEN(IF(B51="","PO Ref, ","")&amp;IF(C51="","Vendor, ","")&amp;IF(D51="","Store, ","")&amp;IF(F51="","Product Type, ","")&amp;IF(G51="","Category, ","")&amp;IF(H51="","HSN Code, ","")&amp;IF(Q51="","Qty, ","")&amp;IF(R51="","Purchase Rate, ","")&amp;IF(S51="","MRP, ",""))-2),IF(COUNTIF(Vendors!$B$3:$B$202,C51)=0,"Add vendor "&amp;C51&amp;" on the Vendors sheet",IF(ISNA(MATCH(H51,Codes!$A$2:$A$13,0)),"Pick the HSN Code from the list",IF(AND(E51&lt;&gt;"",COUNTIFS($C$3:$C$1002,C51,$E$3:$E$1002,E51,$F$3:$F$1002,"&lt;&gt;"&amp;F51)+COUNTIFS($C$3:$C$1002,C51,$E$3:$E$1002,E51,$G$3:$G$1002,"&lt;&gt;"&amp;G51)&gt;0),"Design "&amp;E51&amp;" has another Product Type or Category on another row",IF(COUNTIFS($F$3:$F$1002,F51,$G$3:$G$1002,G51,$H$3:$H$1002,"&lt;&gt;"&amp;H51)&gt;0,F51&amp;" + "&amp;G51&amp;" has another HSN Code on another row",IF(AND(V51&lt;&gt;"",U51=""),"Received Qty needs the Vendor Invoice No",IF(AND(U51&lt;&gt;"",COUNTIFS(Bills!$B$3:$B$302,U51,Bills!$C$3:$C$302,C51)=0),"Add bill "&amp;U51&amp;" of "&amp;C51&amp;" on the Bills sheet",IF(S51&lt;R51,"MRP is below the Purchase Rate","OK")))))))))</f>
        <v/>
      </c>
      <c r="B51" s="29"/>
      <c r="C51" s="22"/>
      <c r="D51" s="22"/>
      <c r="E51" s="24"/>
      <c r="F51" s="22"/>
      <c r="G51" s="22"/>
      <c r="H51" s="22"/>
      <c r="I51" s="30" t="str">
        <f>IF(H51="","",IFERROR(INDEX(Codes!$B$2:$B$13,MATCH(H51,Codes!$A$2:$A$13,0)),""))</f>
        <v/>
      </c>
      <c r="J51" s="23"/>
      <c r="K51" s="23"/>
      <c r="L51" s="23"/>
      <c r="M51" s="23"/>
      <c r="N51" s="23"/>
      <c r="O51" s="23"/>
      <c r="P51" s="23"/>
      <c r="Q51" s="31"/>
      <c r="R51" s="32"/>
      <c r="S51" s="32"/>
      <c r="T51" s="33" t="str">
        <f t="shared" si="0"/>
        <v/>
      </c>
      <c r="U51" s="34"/>
      <c r="V51" s="35"/>
      <c r="W51" s="33" t="str">
        <f t="shared" si="1"/>
        <v/>
      </c>
    </row>
    <row r="52" spans="1:23" x14ac:dyDescent="0.35">
      <c r="A52" s="21" t="str">
        <f>IF(COUNTA(B52:H52,J52:S52,U52:V52)=0,"",IF((IF(B52="","PO Ref, ","")&amp;IF(C52="","Vendor, ","")&amp;IF(D52="","Store, ","")&amp;IF(F52="","Product Type, ","")&amp;IF(G52="","Category, ","")&amp;IF(H52="","HSN Code, ","")&amp;IF(Q52="","Qty, ","")&amp;IF(R52="","Purchase Rate, ","")&amp;IF(S52="","MRP, ",""))&lt;&gt;"","Missing: "&amp;LEFT(IF(B52="","PO Ref, ","")&amp;IF(C52="","Vendor, ","")&amp;IF(D52="","Store, ","")&amp;IF(F52="","Product Type, ","")&amp;IF(G52="","Category, ","")&amp;IF(H52="","HSN Code, ","")&amp;IF(Q52="","Qty, ","")&amp;IF(R52="","Purchase Rate, ","")&amp;IF(S52="","MRP, ",""),LEN(IF(B52="","PO Ref, ","")&amp;IF(C52="","Vendor, ","")&amp;IF(D52="","Store, ","")&amp;IF(F52="","Product Type, ","")&amp;IF(G52="","Category, ","")&amp;IF(H52="","HSN Code, ","")&amp;IF(Q52="","Qty, ","")&amp;IF(R52="","Purchase Rate, ","")&amp;IF(S52="","MRP, ",""))-2),IF(COUNTIF(Vendors!$B$3:$B$202,C52)=0,"Add vendor "&amp;C52&amp;" on the Vendors sheet",IF(ISNA(MATCH(H52,Codes!$A$2:$A$13,0)),"Pick the HSN Code from the list",IF(AND(E52&lt;&gt;"",COUNTIFS($C$3:$C$1002,C52,$E$3:$E$1002,E52,$F$3:$F$1002,"&lt;&gt;"&amp;F52)+COUNTIFS($C$3:$C$1002,C52,$E$3:$E$1002,E52,$G$3:$G$1002,"&lt;&gt;"&amp;G52)&gt;0),"Design "&amp;E52&amp;" has another Product Type or Category on another row",IF(COUNTIFS($F$3:$F$1002,F52,$G$3:$G$1002,G52,$H$3:$H$1002,"&lt;&gt;"&amp;H52)&gt;0,F52&amp;" + "&amp;G52&amp;" has another HSN Code on another row",IF(AND(V52&lt;&gt;"",U52=""),"Received Qty needs the Vendor Invoice No",IF(AND(U52&lt;&gt;"",COUNTIFS(Bills!$B$3:$B$302,U52,Bills!$C$3:$C$302,C52)=0),"Add bill "&amp;U52&amp;" of "&amp;C52&amp;" on the Bills sheet",IF(S52&lt;R52,"MRP is below the Purchase Rate","OK")))))))))</f>
        <v/>
      </c>
      <c r="B52" s="29"/>
      <c r="C52" s="22"/>
      <c r="D52" s="22"/>
      <c r="E52" s="24"/>
      <c r="F52" s="22"/>
      <c r="G52" s="22"/>
      <c r="H52" s="22"/>
      <c r="I52" s="30" t="str">
        <f>IF(H52="","",IFERROR(INDEX(Codes!$B$2:$B$13,MATCH(H52,Codes!$A$2:$A$13,0)),""))</f>
        <v/>
      </c>
      <c r="J52" s="23"/>
      <c r="K52" s="23"/>
      <c r="L52" s="23"/>
      <c r="M52" s="23"/>
      <c r="N52" s="23"/>
      <c r="O52" s="23"/>
      <c r="P52" s="23"/>
      <c r="Q52" s="31"/>
      <c r="R52" s="32"/>
      <c r="S52" s="32"/>
      <c r="T52" s="33" t="str">
        <f t="shared" si="0"/>
        <v/>
      </c>
      <c r="U52" s="34"/>
      <c r="V52" s="35"/>
      <c r="W52" s="33" t="str">
        <f t="shared" si="1"/>
        <v/>
      </c>
    </row>
    <row r="53" spans="1:23" x14ac:dyDescent="0.35">
      <c r="A53" s="21" t="str">
        <f>IF(COUNTA(B53:H53,J53:S53,U53:V53)=0,"",IF((IF(B53="","PO Ref, ","")&amp;IF(C53="","Vendor, ","")&amp;IF(D53="","Store, ","")&amp;IF(F53="","Product Type, ","")&amp;IF(G53="","Category, ","")&amp;IF(H53="","HSN Code, ","")&amp;IF(Q53="","Qty, ","")&amp;IF(R53="","Purchase Rate, ","")&amp;IF(S53="","MRP, ",""))&lt;&gt;"","Missing: "&amp;LEFT(IF(B53="","PO Ref, ","")&amp;IF(C53="","Vendor, ","")&amp;IF(D53="","Store, ","")&amp;IF(F53="","Product Type, ","")&amp;IF(G53="","Category, ","")&amp;IF(H53="","HSN Code, ","")&amp;IF(Q53="","Qty, ","")&amp;IF(R53="","Purchase Rate, ","")&amp;IF(S53="","MRP, ",""),LEN(IF(B53="","PO Ref, ","")&amp;IF(C53="","Vendor, ","")&amp;IF(D53="","Store, ","")&amp;IF(F53="","Product Type, ","")&amp;IF(G53="","Category, ","")&amp;IF(H53="","HSN Code, ","")&amp;IF(Q53="","Qty, ","")&amp;IF(R53="","Purchase Rate, ","")&amp;IF(S53="","MRP, ",""))-2),IF(COUNTIF(Vendors!$B$3:$B$202,C53)=0,"Add vendor "&amp;C53&amp;" on the Vendors sheet",IF(ISNA(MATCH(H53,Codes!$A$2:$A$13,0)),"Pick the HSN Code from the list",IF(AND(E53&lt;&gt;"",COUNTIFS($C$3:$C$1002,C53,$E$3:$E$1002,E53,$F$3:$F$1002,"&lt;&gt;"&amp;F53)+COUNTIFS($C$3:$C$1002,C53,$E$3:$E$1002,E53,$G$3:$G$1002,"&lt;&gt;"&amp;G53)&gt;0),"Design "&amp;E53&amp;" has another Product Type or Category on another row",IF(COUNTIFS($F$3:$F$1002,F53,$G$3:$G$1002,G53,$H$3:$H$1002,"&lt;&gt;"&amp;H53)&gt;0,F53&amp;" + "&amp;G53&amp;" has another HSN Code on another row",IF(AND(V53&lt;&gt;"",U53=""),"Received Qty needs the Vendor Invoice No",IF(AND(U53&lt;&gt;"",COUNTIFS(Bills!$B$3:$B$302,U53,Bills!$C$3:$C$302,C53)=0),"Add bill "&amp;U53&amp;" of "&amp;C53&amp;" on the Bills sheet",IF(S53&lt;R53,"MRP is below the Purchase Rate","OK")))))))))</f>
        <v/>
      </c>
      <c r="B53" s="29"/>
      <c r="C53" s="22"/>
      <c r="D53" s="22"/>
      <c r="E53" s="24"/>
      <c r="F53" s="22"/>
      <c r="G53" s="22"/>
      <c r="H53" s="22"/>
      <c r="I53" s="30" t="str">
        <f>IF(H53="","",IFERROR(INDEX(Codes!$B$2:$B$13,MATCH(H53,Codes!$A$2:$A$13,0)),""))</f>
        <v/>
      </c>
      <c r="J53" s="23"/>
      <c r="K53" s="23"/>
      <c r="L53" s="23"/>
      <c r="M53" s="23"/>
      <c r="N53" s="23"/>
      <c r="O53" s="23"/>
      <c r="P53" s="23"/>
      <c r="Q53" s="31"/>
      <c r="R53" s="32"/>
      <c r="S53" s="32"/>
      <c r="T53" s="33" t="str">
        <f t="shared" si="0"/>
        <v/>
      </c>
      <c r="U53" s="34"/>
      <c r="V53" s="35"/>
      <c r="W53" s="33" t="str">
        <f t="shared" si="1"/>
        <v/>
      </c>
    </row>
    <row r="54" spans="1:23" x14ac:dyDescent="0.35">
      <c r="A54" s="21" t="str">
        <f>IF(COUNTA(B54:H54,J54:S54,U54:V54)=0,"",IF((IF(B54="","PO Ref, ","")&amp;IF(C54="","Vendor, ","")&amp;IF(D54="","Store, ","")&amp;IF(F54="","Product Type, ","")&amp;IF(G54="","Category, ","")&amp;IF(H54="","HSN Code, ","")&amp;IF(Q54="","Qty, ","")&amp;IF(R54="","Purchase Rate, ","")&amp;IF(S54="","MRP, ",""))&lt;&gt;"","Missing: "&amp;LEFT(IF(B54="","PO Ref, ","")&amp;IF(C54="","Vendor, ","")&amp;IF(D54="","Store, ","")&amp;IF(F54="","Product Type, ","")&amp;IF(G54="","Category, ","")&amp;IF(H54="","HSN Code, ","")&amp;IF(Q54="","Qty, ","")&amp;IF(R54="","Purchase Rate, ","")&amp;IF(S54="","MRP, ",""),LEN(IF(B54="","PO Ref, ","")&amp;IF(C54="","Vendor, ","")&amp;IF(D54="","Store, ","")&amp;IF(F54="","Product Type, ","")&amp;IF(G54="","Category, ","")&amp;IF(H54="","HSN Code, ","")&amp;IF(Q54="","Qty, ","")&amp;IF(R54="","Purchase Rate, ","")&amp;IF(S54="","MRP, ",""))-2),IF(COUNTIF(Vendors!$B$3:$B$202,C54)=0,"Add vendor "&amp;C54&amp;" on the Vendors sheet",IF(ISNA(MATCH(H54,Codes!$A$2:$A$13,0)),"Pick the HSN Code from the list",IF(AND(E54&lt;&gt;"",COUNTIFS($C$3:$C$1002,C54,$E$3:$E$1002,E54,$F$3:$F$1002,"&lt;&gt;"&amp;F54)+COUNTIFS($C$3:$C$1002,C54,$E$3:$E$1002,E54,$G$3:$G$1002,"&lt;&gt;"&amp;G54)&gt;0),"Design "&amp;E54&amp;" has another Product Type or Category on another row",IF(COUNTIFS($F$3:$F$1002,F54,$G$3:$G$1002,G54,$H$3:$H$1002,"&lt;&gt;"&amp;H54)&gt;0,F54&amp;" + "&amp;G54&amp;" has another HSN Code on another row",IF(AND(V54&lt;&gt;"",U54=""),"Received Qty needs the Vendor Invoice No",IF(AND(U54&lt;&gt;"",COUNTIFS(Bills!$B$3:$B$302,U54,Bills!$C$3:$C$302,C54)=0),"Add bill "&amp;U54&amp;" of "&amp;C54&amp;" on the Bills sheet",IF(S54&lt;R54,"MRP is below the Purchase Rate","OK")))))))))</f>
        <v/>
      </c>
      <c r="B54" s="29"/>
      <c r="C54" s="22"/>
      <c r="D54" s="22"/>
      <c r="E54" s="24"/>
      <c r="F54" s="22"/>
      <c r="G54" s="22"/>
      <c r="H54" s="22"/>
      <c r="I54" s="30" t="str">
        <f>IF(H54="","",IFERROR(INDEX(Codes!$B$2:$B$13,MATCH(H54,Codes!$A$2:$A$13,0)),""))</f>
        <v/>
      </c>
      <c r="J54" s="23"/>
      <c r="K54" s="23"/>
      <c r="L54" s="23"/>
      <c r="M54" s="23"/>
      <c r="N54" s="23"/>
      <c r="O54" s="23"/>
      <c r="P54" s="23"/>
      <c r="Q54" s="31"/>
      <c r="R54" s="32"/>
      <c r="S54" s="32"/>
      <c r="T54" s="33" t="str">
        <f t="shared" si="0"/>
        <v/>
      </c>
      <c r="U54" s="34"/>
      <c r="V54" s="35"/>
      <c r="W54" s="33" t="str">
        <f t="shared" si="1"/>
        <v/>
      </c>
    </row>
    <row r="55" spans="1:23" x14ac:dyDescent="0.35">
      <c r="A55" s="21" t="str">
        <f>IF(COUNTA(B55:H55,J55:S55,U55:V55)=0,"",IF((IF(B55="","PO Ref, ","")&amp;IF(C55="","Vendor, ","")&amp;IF(D55="","Store, ","")&amp;IF(F55="","Product Type, ","")&amp;IF(G55="","Category, ","")&amp;IF(H55="","HSN Code, ","")&amp;IF(Q55="","Qty, ","")&amp;IF(R55="","Purchase Rate, ","")&amp;IF(S55="","MRP, ",""))&lt;&gt;"","Missing: "&amp;LEFT(IF(B55="","PO Ref, ","")&amp;IF(C55="","Vendor, ","")&amp;IF(D55="","Store, ","")&amp;IF(F55="","Product Type, ","")&amp;IF(G55="","Category, ","")&amp;IF(H55="","HSN Code, ","")&amp;IF(Q55="","Qty, ","")&amp;IF(R55="","Purchase Rate, ","")&amp;IF(S55="","MRP, ",""),LEN(IF(B55="","PO Ref, ","")&amp;IF(C55="","Vendor, ","")&amp;IF(D55="","Store, ","")&amp;IF(F55="","Product Type, ","")&amp;IF(G55="","Category, ","")&amp;IF(H55="","HSN Code, ","")&amp;IF(Q55="","Qty, ","")&amp;IF(R55="","Purchase Rate, ","")&amp;IF(S55="","MRP, ",""))-2),IF(COUNTIF(Vendors!$B$3:$B$202,C55)=0,"Add vendor "&amp;C55&amp;" on the Vendors sheet",IF(ISNA(MATCH(H55,Codes!$A$2:$A$13,0)),"Pick the HSN Code from the list",IF(AND(E55&lt;&gt;"",COUNTIFS($C$3:$C$1002,C55,$E$3:$E$1002,E55,$F$3:$F$1002,"&lt;&gt;"&amp;F55)+COUNTIFS($C$3:$C$1002,C55,$E$3:$E$1002,E55,$G$3:$G$1002,"&lt;&gt;"&amp;G55)&gt;0),"Design "&amp;E55&amp;" has another Product Type or Category on another row",IF(COUNTIFS($F$3:$F$1002,F55,$G$3:$G$1002,G55,$H$3:$H$1002,"&lt;&gt;"&amp;H55)&gt;0,F55&amp;" + "&amp;G55&amp;" has another HSN Code on another row",IF(AND(V55&lt;&gt;"",U55=""),"Received Qty needs the Vendor Invoice No",IF(AND(U55&lt;&gt;"",COUNTIFS(Bills!$B$3:$B$302,U55,Bills!$C$3:$C$302,C55)=0),"Add bill "&amp;U55&amp;" of "&amp;C55&amp;" on the Bills sheet",IF(S55&lt;R55,"MRP is below the Purchase Rate","OK")))))))))</f>
        <v/>
      </c>
      <c r="B55" s="29"/>
      <c r="C55" s="22"/>
      <c r="D55" s="22"/>
      <c r="E55" s="24"/>
      <c r="F55" s="22"/>
      <c r="G55" s="22"/>
      <c r="H55" s="22"/>
      <c r="I55" s="30" t="str">
        <f>IF(H55="","",IFERROR(INDEX(Codes!$B$2:$B$13,MATCH(H55,Codes!$A$2:$A$13,0)),""))</f>
        <v/>
      </c>
      <c r="J55" s="23"/>
      <c r="K55" s="23"/>
      <c r="L55" s="23"/>
      <c r="M55" s="23"/>
      <c r="N55" s="23"/>
      <c r="O55" s="23"/>
      <c r="P55" s="23"/>
      <c r="Q55" s="31"/>
      <c r="R55" s="32"/>
      <c r="S55" s="32"/>
      <c r="T55" s="33" t="str">
        <f t="shared" si="0"/>
        <v/>
      </c>
      <c r="U55" s="34"/>
      <c r="V55" s="35"/>
      <c r="W55" s="33" t="str">
        <f t="shared" si="1"/>
        <v/>
      </c>
    </row>
    <row r="56" spans="1:23" x14ac:dyDescent="0.35">
      <c r="A56" s="21" t="str">
        <f>IF(COUNTA(B56:H56,J56:S56,U56:V56)=0,"",IF((IF(B56="","PO Ref, ","")&amp;IF(C56="","Vendor, ","")&amp;IF(D56="","Store, ","")&amp;IF(F56="","Product Type, ","")&amp;IF(G56="","Category, ","")&amp;IF(H56="","HSN Code, ","")&amp;IF(Q56="","Qty, ","")&amp;IF(R56="","Purchase Rate, ","")&amp;IF(S56="","MRP, ",""))&lt;&gt;"","Missing: "&amp;LEFT(IF(B56="","PO Ref, ","")&amp;IF(C56="","Vendor, ","")&amp;IF(D56="","Store, ","")&amp;IF(F56="","Product Type, ","")&amp;IF(G56="","Category, ","")&amp;IF(H56="","HSN Code, ","")&amp;IF(Q56="","Qty, ","")&amp;IF(R56="","Purchase Rate, ","")&amp;IF(S56="","MRP, ",""),LEN(IF(B56="","PO Ref, ","")&amp;IF(C56="","Vendor, ","")&amp;IF(D56="","Store, ","")&amp;IF(F56="","Product Type, ","")&amp;IF(G56="","Category, ","")&amp;IF(H56="","HSN Code, ","")&amp;IF(Q56="","Qty, ","")&amp;IF(R56="","Purchase Rate, ","")&amp;IF(S56="","MRP, ",""))-2),IF(COUNTIF(Vendors!$B$3:$B$202,C56)=0,"Add vendor "&amp;C56&amp;" on the Vendors sheet",IF(ISNA(MATCH(H56,Codes!$A$2:$A$13,0)),"Pick the HSN Code from the list",IF(AND(E56&lt;&gt;"",COUNTIFS($C$3:$C$1002,C56,$E$3:$E$1002,E56,$F$3:$F$1002,"&lt;&gt;"&amp;F56)+COUNTIFS($C$3:$C$1002,C56,$E$3:$E$1002,E56,$G$3:$G$1002,"&lt;&gt;"&amp;G56)&gt;0),"Design "&amp;E56&amp;" has another Product Type or Category on another row",IF(COUNTIFS($F$3:$F$1002,F56,$G$3:$G$1002,G56,$H$3:$H$1002,"&lt;&gt;"&amp;H56)&gt;0,F56&amp;" + "&amp;G56&amp;" has another HSN Code on another row",IF(AND(V56&lt;&gt;"",U56=""),"Received Qty needs the Vendor Invoice No",IF(AND(U56&lt;&gt;"",COUNTIFS(Bills!$B$3:$B$302,U56,Bills!$C$3:$C$302,C56)=0),"Add bill "&amp;U56&amp;" of "&amp;C56&amp;" on the Bills sheet",IF(S56&lt;R56,"MRP is below the Purchase Rate","OK")))))))))</f>
        <v/>
      </c>
      <c r="B56" s="29"/>
      <c r="C56" s="22"/>
      <c r="D56" s="22"/>
      <c r="E56" s="24"/>
      <c r="F56" s="22"/>
      <c r="G56" s="22"/>
      <c r="H56" s="22"/>
      <c r="I56" s="30" t="str">
        <f>IF(H56="","",IFERROR(INDEX(Codes!$B$2:$B$13,MATCH(H56,Codes!$A$2:$A$13,0)),""))</f>
        <v/>
      </c>
      <c r="J56" s="23"/>
      <c r="K56" s="23"/>
      <c r="L56" s="23"/>
      <c r="M56" s="23"/>
      <c r="N56" s="23"/>
      <c r="O56" s="23"/>
      <c r="P56" s="23"/>
      <c r="Q56" s="31"/>
      <c r="R56" s="32"/>
      <c r="S56" s="32"/>
      <c r="T56" s="33" t="str">
        <f t="shared" si="0"/>
        <v/>
      </c>
      <c r="U56" s="34"/>
      <c r="V56" s="35"/>
      <c r="W56" s="33" t="str">
        <f t="shared" si="1"/>
        <v/>
      </c>
    </row>
    <row r="57" spans="1:23" x14ac:dyDescent="0.35">
      <c r="A57" s="21" t="str">
        <f>IF(COUNTA(B57:H57,J57:S57,U57:V57)=0,"",IF((IF(B57="","PO Ref, ","")&amp;IF(C57="","Vendor, ","")&amp;IF(D57="","Store, ","")&amp;IF(F57="","Product Type, ","")&amp;IF(G57="","Category, ","")&amp;IF(H57="","HSN Code, ","")&amp;IF(Q57="","Qty, ","")&amp;IF(R57="","Purchase Rate, ","")&amp;IF(S57="","MRP, ",""))&lt;&gt;"","Missing: "&amp;LEFT(IF(B57="","PO Ref, ","")&amp;IF(C57="","Vendor, ","")&amp;IF(D57="","Store, ","")&amp;IF(F57="","Product Type, ","")&amp;IF(G57="","Category, ","")&amp;IF(H57="","HSN Code, ","")&amp;IF(Q57="","Qty, ","")&amp;IF(R57="","Purchase Rate, ","")&amp;IF(S57="","MRP, ",""),LEN(IF(B57="","PO Ref, ","")&amp;IF(C57="","Vendor, ","")&amp;IF(D57="","Store, ","")&amp;IF(F57="","Product Type, ","")&amp;IF(G57="","Category, ","")&amp;IF(H57="","HSN Code, ","")&amp;IF(Q57="","Qty, ","")&amp;IF(R57="","Purchase Rate, ","")&amp;IF(S57="","MRP, ",""))-2),IF(COUNTIF(Vendors!$B$3:$B$202,C57)=0,"Add vendor "&amp;C57&amp;" on the Vendors sheet",IF(ISNA(MATCH(H57,Codes!$A$2:$A$13,0)),"Pick the HSN Code from the list",IF(AND(E57&lt;&gt;"",COUNTIFS($C$3:$C$1002,C57,$E$3:$E$1002,E57,$F$3:$F$1002,"&lt;&gt;"&amp;F57)+COUNTIFS($C$3:$C$1002,C57,$E$3:$E$1002,E57,$G$3:$G$1002,"&lt;&gt;"&amp;G57)&gt;0),"Design "&amp;E57&amp;" has another Product Type or Category on another row",IF(COUNTIFS($F$3:$F$1002,F57,$G$3:$G$1002,G57,$H$3:$H$1002,"&lt;&gt;"&amp;H57)&gt;0,F57&amp;" + "&amp;G57&amp;" has another HSN Code on another row",IF(AND(V57&lt;&gt;"",U57=""),"Received Qty needs the Vendor Invoice No",IF(AND(U57&lt;&gt;"",COUNTIFS(Bills!$B$3:$B$302,U57,Bills!$C$3:$C$302,C57)=0),"Add bill "&amp;U57&amp;" of "&amp;C57&amp;" on the Bills sheet",IF(S57&lt;R57,"MRP is below the Purchase Rate","OK")))))))))</f>
        <v/>
      </c>
      <c r="B57" s="29"/>
      <c r="C57" s="22"/>
      <c r="D57" s="22"/>
      <c r="E57" s="24"/>
      <c r="F57" s="22"/>
      <c r="G57" s="22"/>
      <c r="H57" s="22"/>
      <c r="I57" s="30" t="str">
        <f>IF(H57="","",IFERROR(INDEX(Codes!$B$2:$B$13,MATCH(H57,Codes!$A$2:$A$13,0)),""))</f>
        <v/>
      </c>
      <c r="J57" s="23"/>
      <c r="K57" s="23"/>
      <c r="L57" s="23"/>
      <c r="M57" s="23"/>
      <c r="N57" s="23"/>
      <c r="O57" s="23"/>
      <c r="P57" s="23"/>
      <c r="Q57" s="31"/>
      <c r="R57" s="32"/>
      <c r="S57" s="32"/>
      <c r="T57" s="33" t="str">
        <f t="shared" si="0"/>
        <v/>
      </c>
      <c r="U57" s="34"/>
      <c r="V57" s="35"/>
      <c r="W57" s="33" t="str">
        <f t="shared" si="1"/>
        <v/>
      </c>
    </row>
    <row r="58" spans="1:23" x14ac:dyDescent="0.35">
      <c r="A58" s="21" t="str">
        <f>IF(COUNTA(B58:H58,J58:S58,U58:V58)=0,"",IF((IF(B58="","PO Ref, ","")&amp;IF(C58="","Vendor, ","")&amp;IF(D58="","Store, ","")&amp;IF(F58="","Product Type, ","")&amp;IF(G58="","Category, ","")&amp;IF(H58="","HSN Code, ","")&amp;IF(Q58="","Qty, ","")&amp;IF(R58="","Purchase Rate, ","")&amp;IF(S58="","MRP, ",""))&lt;&gt;"","Missing: "&amp;LEFT(IF(B58="","PO Ref, ","")&amp;IF(C58="","Vendor, ","")&amp;IF(D58="","Store, ","")&amp;IF(F58="","Product Type, ","")&amp;IF(G58="","Category, ","")&amp;IF(H58="","HSN Code, ","")&amp;IF(Q58="","Qty, ","")&amp;IF(R58="","Purchase Rate, ","")&amp;IF(S58="","MRP, ",""),LEN(IF(B58="","PO Ref, ","")&amp;IF(C58="","Vendor, ","")&amp;IF(D58="","Store, ","")&amp;IF(F58="","Product Type, ","")&amp;IF(G58="","Category, ","")&amp;IF(H58="","HSN Code, ","")&amp;IF(Q58="","Qty, ","")&amp;IF(R58="","Purchase Rate, ","")&amp;IF(S58="","MRP, ",""))-2),IF(COUNTIF(Vendors!$B$3:$B$202,C58)=0,"Add vendor "&amp;C58&amp;" on the Vendors sheet",IF(ISNA(MATCH(H58,Codes!$A$2:$A$13,0)),"Pick the HSN Code from the list",IF(AND(E58&lt;&gt;"",COUNTIFS($C$3:$C$1002,C58,$E$3:$E$1002,E58,$F$3:$F$1002,"&lt;&gt;"&amp;F58)+COUNTIFS($C$3:$C$1002,C58,$E$3:$E$1002,E58,$G$3:$G$1002,"&lt;&gt;"&amp;G58)&gt;0),"Design "&amp;E58&amp;" has another Product Type or Category on another row",IF(COUNTIFS($F$3:$F$1002,F58,$G$3:$G$1002,G58,$H$3:$H$1002,"&lt;&gt;"&amp;H58)&gt;0,F58&amp;" + "&amp;G58&amp;" has another HSN Code on another row",IF(AND(V58&lt;&gt;"",U58=""),"Received Qty needs the Vendor Invoice No",IF(AND(U58&lt;&gt;"",COUNTIFS(Bills!$B$3:$B$302,U58,Bills!$C$3:$C$302,C58)=0),"Add bill "&amp;U58&amp;" of "&amp;C58&amp;" on the Bills sheet",IF(S58&lt;R58,"MRP is below the Purchase Rate","OK")))))))))</f>
        <v/>
      </c>
      <c r="B58" s="29"/>
      <c r="C58" s="22"/>
      <c r="D58" s="22"/>
      <c r="E58" s="24"/>
      <c r="F58" s="22"/>
      <c r="G58" s="22"/>
      <c r="H58" s="22"/>
      <c r="I58" s="30" t="str">
        <f>IF(H58="","",IFERROR(INDEX(Codes!$B$2:$B$13,MATCH(H58,Codes!$A$2:$A$13,0)),""))</f>
        <v/>
      </c>
      <c r="J58" s="23"/>
      <c r="K58" s="23"/>
      <c r="L58" s="23"/>
      <c r="M58" s="23"/>
      <c r="N58" s="23"/>
      <c r="O58" s="23"/>
      <c r="P58" s="23"/>
      <c r="Q58" s="31"/>
      <c r="R58" s="32"/>
      <c r="S58" s="32"/>
      <c r="T58" s="33" t="str">
        <f t="shared" si="0"/>
        <v/>
      </c>
      <c r="U58" s="34"/>
      <c r="V58" s="35"/>
      <c r="W58" s="33" t="str">
        <f t="shared" si="1"/>
        <v/>
      </c>
    </row>
    <row r="59" spans="1:23" x14ac:dyDescent="0.35">
      <c r="A59" s="21" t="str">
        <f>IF(COUNTA(B59:H59,J59:S59,U59:V59)=0,"",IF((IF(B59="","PO Ref, ","")&amp;IF(C59="","Vendor, ","")&amp;IF(D59="","Store, ","")&amp;IF(F59="","Product Type, ","")&amp;IF(G59="","Category, ","")&amp;IF(H59="","HSN Code, ","")&amp;IF(Q59="","Qty, ","")&amp;IF(R59="","Purchase Rate, ","")&amp;IF(S59="","MRP, ",""))&lt;&gt;"","Missing: "&amp;LEFT(IF(B59="","PO Ref, ","")&amp;IF(C59="","Vendor, ","")&amp;IF(D59="","Store, ","")&amp;IF(F59="","Product Type, ","")&amp;IF(G59="","Category, ","")&amp;IF(H59="","HSN Code, ","")&amp;IF(Q59="","Qty, ","")&amp;IF(R59="","Purchase Rate, ","")&amp;IF(S59="","MRP, ",""),LEN(IF(B59="","PO Ref, ","")&amp;IF(C59="","Vendor, ","")&amp;IF(D59="","Store, ","")&amp;IF(F59="","Product Type, ","")&amp;IF(G59="","Category, ","")&amp;IF(H59="","HSN Code, ","")&amp;IF(Q59="","Qty, ","")&amp;IF(R59="","Purchase Rate, ","")&amp;IF(S59="","MRP, ",""))-2),IF(COUNTIF(Vendors!$B$3:$B$202,C59)=0,"Add vendor "&amp;C59&amp;" on the Vendors sheet",IF(ISNA(MATCH(H59,Codes!$A$2:$A$13,0)),"Pick the HSN Code from the list",IF(AND(E59&lt;&gt;"",COUNTIFS($C$3:$C$1002,C59,$E$3:$E$1002,E59,$F$3:$F$1002,"&lt;&gt;"&amp;F59)+COUNTIFS($C$3:$C$1002,C59,$E$3:$E$1002,E59,$G$3:$G$1002,"&lt;&gt;"&amp;G59)&gt;0),"Design "&amp;E59&amp;" has another Product Type or Category on another row",IF(COUNTIFS($F$3:$F$1002,F59,$G$3:$G$1002,G59,$H$3:$H$1002,"&lt;&gt;"&amp;H59)&gt;0,F59&amp;" + "&amp;G59&amp;" has another HSN Code on another row",IF(AND(V59&lt;&gt;"",U59=""),"Received Qty needs the Vendor Invoice No",IF(AND(U59&lt;&gt;"",COUNTIFS(Bills!$B$3:$B$302,U59,Bills!$C$3:$C$302,C59)=0),"Add bill "&amp;U59&amp;" of "&amp;C59&amp;" on the Bills sheet",IF(S59&lt;R59,"MRP is below the Purchase Rate","OK")))))))))</f>
        <v/>
      </c>
      <c r="B59" s="29"/>
      <c r="C59" s="22"/>
      <c r="D59" s="22"/>
      <c r="E59" s="24"/>
      <c r="F59" s="22"/>
      <c r="G59" s="22"/>
      <c r="H59" s="22"/>
      <c r="I59" s="30" t="str">
        <f>IF(H59="","",IFERROR(INDEX(Codes!$B$2:$B$13,MATCH(H59,Codes!$A$2:$A$13,0)),""))</f>
        <v/>
      </c>
      <c r="J59" s="23"/>
      <c r="K59" s="23"/>
      <c r="L59" s="23"/>
      <c r="M59" s="23"/>
      <c r="N59" s="23"/>
      <c r="O59" s="23"/>
      <c r="P59" s="23"/>
      <c r="Q59" s="31"/>
      <c r="R59" s="32"/>
      <c r="S59" s="32"/>
      <c r="T59" s="33" t="str">
        <f t="shared" si="0"/>
        <v/>
      </c>
      <c r="U59" s="34"/>
      <c r="V59" s="35"/>
      <c r="W59" s="33" t="str">
        <f t="shared" si="1"/>
        <v/>
      </c>
    </row>
    <row r="60" spans="1:23" x14ac:dyDescent="0.35">
      <c r="A60" s="21" t="str">
        <f>IF(COUNTA(B60:H60,J60:S60,U60:V60)=0,"",IF((IF(B60="","PO Ref, ","")&amp;IF(C60="","Vendor, ","")&amp;IF(D60="","Store, ","")&amp;IF(F60="","Product Type, ","")&amp;IF(G60="","Category, ","")&amp;IF(H60="","HSN Code, ","")&amp;IF(Q60="","Qty, ","")&amp;IF(R60="","Purchase Rate, ","")&amp;IF(S60="","MRP, ",""))&lt;&gt;"","Missing: "&amp;LEFT(IF(B60="","PO Ref, ","")&amp;IF(C60="","Vendor, ","")&amp;IF(D60="","Store, ","")&amp;IF(F60="","Product Type, ","")&amp;IF(G60="","Category, ","")&amp;IF(H60="","HSN Code, ","")&amp;IF(Q60="","Qty, ","")&amp;IF(R60="","Purchase Rate, ","")&amp;IF(S60="","MRP, ",""),LEN(IF(B60="","PO Ref, ","")&amp;IF(C60="","Vendor, ","")&amp;IF(D60="","Store, ","")&amp;IF(F60="","Product Type, ","")&amp;IF(G60="","Category, ","")&amp;IF(H60="","HSN Code, ","")&amp;IF(Q60="","Qty, ","")&amp;IF(R60="","Purchase Rate, ","")&amp;IF(S60="","MRP, ",""))-2),IF(COUNTIF(Vendors!$B$3:$B$202,C60)=0,"Add vendor "&amp;C60&amp;" on the Vendors sheet",IF(ISNA(MATCH(H60,Codes!$A$2:$A$13,0)),"Pick the HSN Code from the list",IF(AND(E60&lt;&gt;"",COUNTIFS($C$3:$C$1002,C60,$E$3:$E$1002,E60,$F$3:$F$1002,"&lt;&gt;"&amp;F60)+COUNTIFS($C$3:$C$1002,C60,$E$3:$E$1002,E60,$G$3:$G$1002,"&lt;&gt;"&amp;G60)&gt;0),"Design "&amp;E60&amp;" has another Product Type or Category on another row",IF(COUNTIFS($F$3:$F$1002,F60,$G$3:$G$1002,G60,$H$3:$H$1002,"&lt;&gt;"&amp;H60)&gt;0,F60&amp;" + "&amp;G60&amp;" has another HSN Code on another row",IF(AND(V60&lt;&gt;"",U60=""),"Received Qty needs the Vendor Invoice No",IF(AND(U60&lt;&gt;"",COUNTIFS(Bills!$B$3:$B$302,U60,Bills!$C$3:$C$302,C60)=0),"Add bill "&amp;U60&amp;" of "&amp;C60&amp;" on the Bills sheet",IF(S60&lt;R60,"MRP is below the Purchase Rate","OK")))))))))</f>
        <v/>
      </c>
      <c r="B60" s="29"/>
      <c r="C60" s="22"/>
      <c r="D60" s="22"/>
      <c r="E60" s="24"/>
      <c r="F60" s="22"/>
      <c r="G60" s="22"/>
      <c r="H60" s="22"/>
      <c r="I60" s="30" t="str">
        <f>IF(H60="","",IFERROR(INDEX(Codes!$B$2:$B$13,MATCH(H60,Codes!$A$2:$A$13,0)),""))</f>
        <v/>
      </c>
      <c r="J60" s="23"/>
      <c r="K60" s="23"/>
      <c r="L60" s="23"/>
      <c r="M60" s="23"/>
      <c r="N60" s="23"/>
      <c r="O60" s="23"/>
      <c r="P60" s="23"/>
      <c r="Q60" s="31"/>
      <c r="R60" s="32"/>
      <c r="S60" s="32"/>
      <c r="T60" s="33" t="str">
        <f t="shared" si="0"/>
        <v/>
      </c>
      <c r="U60" s="34"/>
      <c r="V60" s="35"/>
      <c r="W60" s="33" t="str">
        <f t="shared" si="1"/>
        <v/>
      </c>
    </row>
    <row r="61" spans="1:23" x14ac:dyDescent="0.35">
      <c r="A61" s="21" t="str">
        <f>IF(COUNTA(B61:H61,J61:S61,U61:V61)=0,"",IF((IF(B61="","PO Ref, ","")&amp;IF(C61="","Vendor, ","")&amp;IF(D61="","Store, ","")&amp;IF(F61="","Product Type, ","")&amp;IF(G61="","Category, ","")&amp;IF(H61="","HSN Code, ","")&amp;IF(Q61="","Qty, ","")&amp;IF(R61="","Purchase Rate, ","")&amp;IF(S61="","MRP, ",""))&lt;&gt;"","Missing: "&amp;LEFT(IF(B61="","PO Ref, ","")&amp;IF(C61="","Vendor, ","")&amp;IF(D61="","Store, ","")&amp;IF(F61="","Product Type, ","")&amp;IF(G61="","Category, ","")&amp;IF(H61="","HSN Code, ","")&amp;IF(Q61="","Qty, ","")&amp;IF(R61="","Purchase Rate, ","")&amp;IF(S61="","MRP, ",""),LEN(IF(B61="","PO Ref, ","")&amp;IF(C61="","Vendor, ","")&amp;IF(D61="","Store, ","")&amp;IF(F61="","Product Type, ","")&amp;IF(G61="","Category, ","")&amp;IF(H61="","HSN Code, ","")&amp;IF(Q61="","Qty, ","")&amp;IF(R61="","Purchase Rate, ","")&amp;IF(S61="","MRP, ",""))-2),IF(COUNTIF(Vendors!$B$3:$B$202,C61)=0,"Add vendor "&amp;C61&amp;" on the Vendors sheet",IF(ISNA(MATCH(H61,Codes!$A$2:$A$13,0)),"Pick the HSN Code from the list",IF(AND(E61&lt;&gt;"",COUNTIFS($C$3:$C$1002,C61,$E$3:$E$1002,E61,$F$3:$F$1002,"&lt;&gt;"&amp;F61)+COUNTIFS($C$3:$C$1002,C61,$E$3:$E$1002,E61,$G$3:$G$1002,"&lt;&gt;"&amp;G61)&gt;0),"Design "&amp;E61&amp;" has another Product Type or Category on another row",IF(COUNTIFS($F$3:$F$1002,F61,$G$3:$G$1002,G61,$H$3:$H$1002,"&lt;&gt;"&amp;H61)&gt;0,F61&amp;" + "&amp;G61&amp;" has another HSN Code on another row",IF(AND(V61&lt;&gt;"",U61=""),"Received Qty needs the Vendor Invoice No",IF(AND(U61&lt;&gt;"",COUNTIFS(Bills!$B$3:$B$302,U61,Bills!$C$3:$C$302,C61)=0),"Add bill "&amp;U61&amp;" of "&amp;C61&amp;" on the Bills sheet",IF(S61&lt;R61,"MRP is below the Purchase Rate","OK")))))))))</f>
        <v/>
      </c>
      <c r="B61" s="29"/>
      <c r="C61" s="22"/>
      <c r="D61" s="22"/>
      <c r="E61" s="24"/>
      <c r="F61" s="22"/>
      <c r="G61" s="22"/>
      <c r="H61" s="22"/>
      <c r="I61" s="30" t="str">
        <f>IF(H61="","",IFERROR(INDEX(Codes!$B$2:$B$13,MATCH(H61,Codes!$A$2:$A$13,0)),""))</f>
        <v/>
      </c>
      <c r="J61" s="23"/>
      <c r="K61" s="23"/>
      <c r="L61" s="23"/>
      <c r="M61" s="23"/>
      <c r="N61" s="23"/>
      <c r="O61" s="23"/>
      <c r="P61" s="23"/>
      <c r="Q61" s="31"/>
      <c r="R61" s="32"/>
      <c r="S61" s="32"/>
      <c r="T61" s="33" t="str">
        <f t="shared" si="0"/>
        <v/>
      </c>
      <c r="U61" s="34"/>
      <c r="V61" s="35"/>
      <c r="W61" s="33" t="str">
        <f t="shared" si="1"/>
        <v/>
      </c>
    </row>
    <row r="62" spans="1:23" x14ac:dyDescent="0.35">
      <c r="A62" s="21" t="str">
        <f>IF(COUNTA(B62:H62,J62:S62,U62:V62)=0,"",IF((IF(B62="","PO Ref, ","")&amp;IF(C62="","Vendor, ","")&amp;IF(D62="","Store, ","")&amp;IF(F62="","Product Type, ","")&amp;IF(G62="","Category, ","")&amp;IF(H62="","HSN Code, ","")&amp;IF(Q62="","Qty, ","")&amp;IF(R62="","Purchase Rate, ","")&amp;IF(S62="","MRP, ",""))&lt;&gt;"","Missing: "&amp;LEFT(IF(B62="","PO Ref, ","")&amp;IF(C62="","Vendor, ","")&amp;IF(D62="","Store, ","")&amp;IF(F62="","Product Type, ","")&amp;IF(G62="","Category, ","")&amp;IF(H62="","HSN Code, ","")&amp;IF(Q62="","Qty, ","")&amp;IF(R62="","Purchase Rate, ","")&amp;IF(S62="","MRP, ",""),LEN(IF(B62="","PO Ref, ","")&amp;IF(C62="","Vendor, ","")&amp;IF(D62="","Store, ","")&amp;IF(F62="","Product Type, ","")&amp;IF(G62="","Category, ","")&amp;IF(H62="","HSN Code, ","")&amp;IF(Q62="","Qty, ","")&amp;IF(R62="","Purchase Rate, ","")&amp;IF(S62="","MRP, ",""))-2),IF(COUNTIF(Vendors!$B$3:$B$202,C62)=0,"Add vendor "&amp;C62&amp;" on the Vendors sheet",IF(ISNA(MATCH(H62,Codes!$A$2:$A$13,0)),"Pick the HSN Code from the list",IF(AND(E62&lt;&gt;"",COUNTIFS($C$3:$C$1002,C62,$E$3:$E$1002,E62,$F$3:$F$1002,"&lt;&gt;"&amp;F62)+COUNTIFS($C$3:$C$1002,C62,$E$3:$E$1002,E62,$G$3:$G$1002,"&lt;&gt;"&amp;G62)&gt;0),"Design "&amp;E62&amp;" has another Product Type or Category on another row",IF(COUNTIFS($F$3:$F$1002,F62,$G$3:$G$1002,G62,$H$3:$H$1002,"&lt;&gt;"&amp;H62)&gt;0,F62&amp;" + "&amp;G62&amp;" has another HSN Code on another row",IF(AND(V62&lt;&gt;"",U62=""),"Received Qty needs the Vendor Invoice No",IF(AND(U62&lt;&gt;"",COUNTIFS(Bills!$B$3:$B$302,U62,Bills!$C$3:$C$302,C62)=0),"Add bill "&amp;U62&amp;" of "&amp;C62&amp;" on the Bills sheet",IF(S62&lt;R62,"MRP is below the Purchase Rate","OK")))))))))</f>
        <v/>
      </c>
      <c r="B62" s="29"/>
      <c r="C62" s="22"/>
      <c r="D62" s="22"/>
      <c r="E62" s="24"/>
      <c r="F62" s="22"/>
      <c r="G62" s="22"/>
      <c r="H62" s="22"/>
      <c r="I62" s="30" t="str">
        <f>IF(H62="","",IFERROR(INDEX(Codes!$B$2:$B$13,MATCH(H62,Codes!$A$2:$A$13,0)),""))</f>
        <v/>
      </c>
      <c r="J62" s="23"/>
      <c r="K62" s="23"/>
      <c r="L62" s="23"/>
      <c r="M62" s="23"/>
      <c r="N62" s="23"/>
      <c r="O62" s="23"/>
      <c r="P62" s="23"/>
      <c r="Q62" s="31"/>
      <c r="R62" s="32"/>
      <c r="S62" s="32"/>
      <c r="T62" s="33" t="str">
        <f t="shared" si="0"/>
        <v/>
      </c>
      <c r="U62" s="34"/>
      <c r="V62" s="35"/>
      <c r="W62" s="33" t="str">
        <f t="shared" si="1"/>
        <v/>
      </c>
    </row>
    <row r="63" spans="1:23" x14ac:dyDescent="0.35">
      <c r="A63" s="21" t="str">
        <f>IF(COUNTA(B63:H63,J63:S63,U63:V63)=0,"",IF((IF(B63="","PO Ref, ","")&amp;IF(C63="","Vendor, ","")&amp;IF(D63="","Store, ","")&amp;IF(F63="","Product Type, ","")&amp;IF(G63="","Category, ","")&amp;IF(H63="","HSN Code, ","")&amp;IF(Q63="","Qty, ","")&amp;IF(R63="","Purchase Rate, ","")&amp;IF(S63="","MRP, ",""))&lt;&gt;"","Missing: "&amp;LEFT(IF(B63="","PO Ref, ","")&amp;IF(C63="","Vendor, ","")&amp;IF(D63="","Store, ","")&amp;IF(F63="","Product Type, ","")&amp;IF(G63="","Category, ","")&amp;IF(H63="","HSN Code, ","")&amp;IF(Q63="","Qty, ","")&amp;IF(R63="","Purchase Rate, ","")&amp;IF(S63="","MRP, ",""),LEN(IF(B63="","PO Ref, ","")&amp;IF(C63="","Vendor, ","")&amp;IF(D63="","Store, ","")&amp;IF(F63="","Product Type, ","")&amp;IF(G63="","Category, ","")&amp;IF(H63="","HSN Code, ","")&amp;IF(Q63="","Qty, ","")&amp;IF(R63="","Purchase Rate, ","")&amp;IF(S63="","MRP, ",""))-2),IF(COUNTIF(Vendors!$B$3:$B$202,C63)=0,"Add vendor "&amp;C63&amp;" on the Vendors sheet",IF(ISNA(MATCH(H63,Codes!$A$2:$A$13,0)),"Pick the HSN Code from the list",IF(AND(E63&lt;&gt;"",COUNTIFS($C$3:$C$1002,C63,$E$3:$E$1002,E63,$F$3:$F$1002,"&lt;&gt;"&amp;F63)+COUNTIFS($C$3:$C$1002,C63,$E$3:$E$1002,E63,$G$3:$G$1002,"&lt;&gt;"&amp;G63)&gt;0),"Design "&amp;E63&amp;" has another Product Type or Category on another row",IF(COUNTIFS($F$3:$F$1002,F63,$G$3:$G$1002,G63,$H$3:$H$1002,"&lt;&gt;"&amp;H63)&gt;0,F63&amp;" + "&amp;G63&amp;" has another HSN Code on another row",IF(AND(V63&lt;&gt;"",U63=""),"Received Qty needs the Vendor Invoice No",IF(AND(U63&lt;&gt;"",COUNTIFS(Bills!$B$3:$B$302,U63,Bills!$C$3:$C$302,C63)=0),"Add bill "&amp;U63&amp;" of "&amp;C63&amp;" on the Bills sheet",IF(S63&lt;R63,"MRP is below the Purchase Rate","OK")))))))))</f>
        <v/>
      </c>
      <c r="B63" s="29"/>
      <c r="C63" s="22"/>
      <c r="D63" s="22"/>
      <c r="E63" s="24"/>
      <c r="F63" s="22"/>
      <c r="G63" s="22"/>
      <c r="H63" s="22"/>
      <c r="I63" s="30" t="str">
        <f>IF(H63="","",IFERROR(INDEX(Codes!$B$2:$B$13,MATCH(H63,Codes!$A$2:$A$13,0)),""))</f>
        <v/>
      </c>
      <c r="J63" s="23"/>
      <c r="K63" s="23"/>
      <c r="L63" s="23"/>
      <c r="M63" s="23"/>
      <c r="N63" s="23"/>
      <c r="O63" s="23"/>
      <c r="P63" s="23"/>
      <c r="Q63" s="31"/>
      <c r="R63" s="32"/>
      <c r="S63" s="32"/>
      <c r="T63" s="33" t="str">
        <f t="shared" si="0"/>
        <v/>
      </c>
      <c r="U63" s="34"/>
      <c r="V63" s="35"/>
      <c r="W63" s="33" t="str">
        <f t="shared" si="1"/>
        <v/>
      </c>
    </row>
    <row r="64" spans="1:23" x14ac:dyDescent="0.35">
      <c r="A64" s="21" t="str">
        <f>IF(COUNTA(B64:H64,J64:S64,U64:V64)=0,"",IF((IF(B64="","PO Ref, ","")&amp;IF(C64="","Vendor, ","")&amp;IF(D64="","Store, ","")&amp;IF(F64="","Product Type, ","")&amp;IF(G64="","Category, ","")&amp;IF(H64="","HSN Code, ","")&amp;IF(Q64="","Qty, ","")&amp;IF(R64="","Purchase Rate, ","")&amp;IF(S64="","MRP, ",""))&lt;&gt;"","Missing: "&amp;LEFT(IF(B64="","PO Ref, ","")&amp;IF(C64="","Vendor, ","")&amp;IF(D64="","Store, ","")&amp;IF(F64="","Product Type, ","")&amp;IF(G64="","Category, ","")&amp;IF(H64="","HSN Code, ","")&amp;IF(Q64="","Qty, ","")&amp;IF(R64="","Purchase Rate, ","")&amp;IF(S64="","MRP, ",""),LEN(IF(B64="","PO Ref, ","")&amp;IF(C64="","Vendor, ","")&amp;IF(D64="","Store, ","")&amp;IF(F64="","Product Type, ","")&amp;IF(G64="","Category, ","")&amp;IF(H64="","HSN Code, ","")&amp;IF(Q64="","Qty, ","")&amp;IF(R64="","Purchase Rate, ","")&amp;IF(S64="","MRP, ",""))-2),IF(COUNTIF(Vendors!$B$3:$B$202,C64)=0,"Add vendor "&amp;C64&amp;" on the Vendors sheet",IF(ISNA(MATCH(H64,Codes!$A$2:$A$13,0)),"Pick the HSN Code from the list",IF(AND(E64&lt;&gt;"",COUNTIFS($C$3:$C$1002,C64,$E$3:$E$1002,E64,$F$3:$F$1002,"&lt;&gt;"&amp;F64)+COUNTIFS($C$3:$C$1002,C64,$E$3:$E$1002,E64,$G$3:$G$1002,"&lt;&gt;"&amp;G64)&gt;0),"Design "&amp;E64&amp;" has another Product Type or Category on another row",IF(COUNTIFS($F$3:$F$1002,F64,$G$3:$G$1002,G64,$H$3:$H$1002,"&lt;&gt;"&amp;H64)&gt;0,F64&amp;" + "&amp;G64&amp;" has another HSN Code on another row",IF(AND(V64&lt;&gt;"",U64=""),"Received Qty needs the Vendor Invoice No",IF(AND(U64&lt;&gt;"",COUNTIFS(Bills!$B$3:$B$302,U64,Bills!$C$3:$C$302,C64)=0),"Add bill "&amp;U64&amp;" of "&amp;C64&amp;" on the Bills sheet",IF(S64&lt;R64,"MRP is below the Purchase Rate","OK")))))))))</f>
        <v/>
      </c>
      <c r="B64" s="29"/>
      <c r="C64" s="22"/>
      <c r="D64" s="22"/>
      <c r="E64" s="24"/>
      <c r="F64" s="22"/>
      <c r="G64" s="22"/>
      <c r="H64" s="22"/>
      <c r="I64" s="30" t="str">
        <f>IF(H64="","",IFERROR(INDEX(Codes!$B$2:$B$13,MATCH(H64,Codes!$A$2:$A$13,0)),""))</f>
        <v/>
      </c>
      <c r="J64" s="23"/>
      <c r="K64" s="23"/>
      <c r="L64" s="23"/>
      <c r="M64" s="23"/>
      <c r="N64" s="23"/>
      <c r="O64" s="23"/>
      <c r="P64" s="23"/>
      <c r="Q64" s="31"/>
      <c r="R64" s="32"/>
      <c r="S64" s="32"/>
      <c r="T64" s="33" t="str">
        <f t="shared" si="0"/>
        <v/>
      </c>
      <c r="U64" s="34"/>
      <c r="V64" s="35"/>
      <c r="W64" s="33" t="str">
        <f t="shared" si="1"/>
        <v/>
      </c>
    </row>
    <row r="65" spans="1:23" x14ac:dyDescent="0.35">
      <c r="A65" s="21" t="str">
        <f>IF(COUNTA(B65:H65,J65:S65,U65:V65)=0,"",IF((IF(B65="","PO Ref, ","")&amp;IF(C65="","Vendor, ","")&amp;IF(D65="","Store, ","")&amp;IF(F65="","Product Type, ","")&amp;IF(G65="","Category, ","")&amp;IF(H65="","HSN Code, ","")&amp;IF(Q65="","Qty, ","")&amp;IF(R65="","Purchase Rate, ","")&amp;IF(S65="","MRP, ",""))&lt;&gt;"","Missing: "&amp;LEFT(IF(B65="","PO Ref, ","")&amp;IF(C65="","Vendor, ","")&amp;IF(D65="","Store, ","")&amp;IF(F65="","Product Type, ","")&amp;IF(G65="","Category, ","")&amp;IF(H65="","HSN Code, ","")&amp;IF(Q65="","Qty, ","")&amp;IF(R65="","Purchase Rate, ","")&amp;IF(S65="","MRP, ",""),LEN(IF(B65="","PO Ref, ","")&amp;IF(C65="","Vendor, ","")&amp;IF(D65="","Store, ","")&amp;IF(F65="","Product Type, ","")&amp;IF(G65="","Category, ","")&amp;IF(H65="","HSN Code, ","")&amp;IF(Q65="","Qty, ","")&amp;IF(R65="","Purchase Rate, ","")&amp;IF(S65="","MRP, ",""))-2),IF(COUNTIF(Vendors!$B$3:$B$202,C65)=0,"Add vendor "&amp;C65&amp;" on the Vendors sheet",IF(ISNA(MATCH(H65,Codes!$A$2:$A$13,0)),"Pick the HSN Code from the list",IF(AND(E65&lt;&gt;"",COUNTIFS($C$3:$C$1002,C65,$E$3:$E$1002,E65,$F$3:$F$1002,"&lt;&gt;"&amp;F65)+COUNTIFS($C$3:$C$1002,C65,$E$3:$E$1002,E65,$G$3:$G$1002,"&lt;&gt;"&amp;G65)&gt;0),"Design "&amp;E65&amp;" has another Product Type or Category on another row",IF(COUNTIFS($F$3:$F$1002,F65,$G$3:$G$1002,G65,$H$3:$H$1002,"&lt;&gt;"&amp;H65)&gt;0,F65&amp;" + "&amp;G65&amp;" has another HSN Code on another row",IF(AND(V65&lt;&gt;"",U65=""),"Received Qty needs the Vendor Invoice No",IF(AND(U65&lt;&gt;"",COUNTIFS(Bills!$B$3:$B$302,U65,Bills!$C$3:$C$302,C65)=0),"Add bill "&amp;U65&amp;" of "&amp;C65&amp;" on the Bills sheet",IF(S65&lt;R65,"MRP is below the Purchase Rate","OK")))))))))</f>
        <v/>
      </c>
      <c r="B65" s="29"/>
      <c r="C65" s="22"/>
      <c r="D65" s="22"/>
      <c r="E65" s="24"/>
      <c r="F65" s="22"/>
      <c r="G65" s="22"/>
      <c r="H65" s="22"/>
      <c r="I65" s="30" t="str">
        <f>IF(H65="","",IFERROR(INDEX(Codes!$B$2:$B$13,MATCH(H65,Codes!$A$2:$A$13,0)),""))</f>
        <v/>
      </c>
      <c r="J65" s="23"/>
      <c r="K65" s="23"/>
      <c r="L65" s="23"/>
      <c r="M65" s="23"/>
      <c r="N65" s="23"/>
      <c r="O65" s="23"/>
      <c r="P65" s="23"/>
      <c r="Q65" s="31"/>
      <c r="R65" s="32"/>
      <c r="S65" s="32"/>
      <c r="T65" s="33" t="str">
        <f t="shared" si="0"/>
        <v/>
      </c>
      <c r="U65" s="34"/>
      <c r="V65" s="35"/>
      <c r="W65" s="33" t="str">
        <f t="shared" si="1"/>
        <v/>
      </c>
    </row>
    <row r="66" spans="1:23" x14ac:dyDescent="0.35">
      <c r="A66" s="21" t="str">
        <f>IF(COUNTA(B66:H66,J66:S66,U66:V66)=0,"",IF((IF(B66="","PO Ref, ","")&amp;IF(C66="","Vendor, ","")&amp;IF(D66="","Store, ","")&amp;IF(F66="","Product Type, ","")&amp;IF(G66="","Category, ","")&amp;IF(H66="","HSN Code, ","")&amp;IF(Q66="","Qty, ","")&amp;IF(R66="","Purchase Rate, ","")&amp;IF(S66="","MRP, ",""))&lt;&gt;"","Missing: "&amp;LEFT(IF(B66="","PO Ref, ","")&amp;IF(C66="","Vendor, ","")&amp;IF(D66="","Store, ","")&amp;IF(F66="","Product Type, ","")&amp;IF(G66="","Category, ","")&amp;IF(H66="","HSN Code, ","")&amp;IF(Q66="","Qty, ","")&amp;IF(R66="","Purchase Rate, ","")&amp;IF(S66="","MRP, ",""),LEN(IF(B66="","PO Ref, ","")&amp;IF(C66="","Vendor, ","")&amp;IF(D66="","Store, ","")&amp;IF(F66="","Product Type, ","")&amp;IF(G66="","Category, ","")&amp;IF(H66="","HSN Code, ","")&amp;IF(Q66="","Qty, ","")&amp;IF(R66="","Purchase Rate, ","")&amp;IF(S66="","MRP, ",""))-2),IF(COUNTIF(Vendors!$B$3:$B$202,C66)=0,"Add vendor "&amp;C66&amp;" on the Vendors sheet",IF(ISNA(MATCH(H66,Codes!$A$2:$A$13,0)),"Pick the HSN Code from the list",IF(AND(E66&lt;&gt;"",COUNTIFS($C$3:$C$1002,C66,$E$3:$E$1002,E66,$F$3:$F$1002,"&lt;&gt;"&amp;F66)+COUNTIFS($C$3:$C$1002,C66,$E$3:$E$1002,E66,$G$3:$G$1002,"&lt;&gt;"&amp;G66)&gt;0),"Design "&amp;E66&amp;" has another Product Type or Category on another row",IF(COUNTIFS($F$3:$F$1002,F66,$G$3:$G$1002,G66,$H$3:$H$1002,"&lt;&gt;"&amp;H66)&gt;0,F66&amp;" + "&amp;G66&amp;" has another HSN Code on another row",IF(AND(V66&lt;&gt;"",U66=""),"Received Qty needs the Vendor Invoice No",IF(AND(U66&lt;&gt;"",COUNTIFS(Bills!$B$3:$B$302,U66,Bills!$C$3:$C$302,C66)=0),"Add bill "&amp;U66&amp;" of "&amp;C66&amp;" on the Bills sheet",IF(S66&lt;R66,"MRP is below the Purchase Rate","OK")))))))))</f>
        <v/>
      </c>
      <c r="B66" s="29"/>
      <c r="C66" s="22"/>
      <c r="D66" s="22"/>
      <c r="E66" s="24"/>
      <c r="F66" s="22"/>
      <c r="G66" s="22"/>
      <c r="H66" s="22"/>
      <c r="I66" s="30" t="str">
        <f>IF(H66="","",IFERROR(INDEX(Codes!$B$2:$B$13,MATCH(H66,Codes!$A$2:$A$13,0)),""))</f>
        <v/>
      </c>
      <c r="J66" s="23"/>
      <c r="K66" s="23"/>
      <c r="L66" s="23"/>
      <c r="M66" s="23"/>
      <c r="N66" s="23"/>
      <c r="O66" s="23"/>
      <c r="P66" s="23"/>
      <c r="Q66" s="31"/>
      <c r="R66" s="32"/>
      <c r="S66" s="32"/>
      <c r="T66" s="33" t="str">
        <f t="shared" si="0"/>
        <v/>
      </c>
      <c r="U66" s="34"/>
      <c r="V66" s="35"/>
      <c r="W66" s="33" t="str">
        <f t="shared" si="1"/>
        <v/>
      </c>
    </row>
    <row r="67" spans="1:23" x14ac:dyDescent="0.35">
      <c r="A67" s="21" t="str">
        <f>IF(COUNTA(B67:H67,J67:S67,U67:V67)=0,"",IF((IF(B67="","PO Ref, ","")&amp;IF(C67="","Vendor, ","")&amp;IF(D67="","Store, ","")&amp;IF(F67="","Product Type, ","")&amp;IF(G67="","Category, ","")&amp;IF(H67="","HSN Code, ","")&amp;IF(Q67="","Qty, ","")&amp;IF(R67="","Purchase Rate, ","")&amp;IF(S67="","MRP, ",""))&lt;&gt;"","Missing: "&amp;LEFT(IF(B67="","PO Ref, ","")&amp;IF(C67="","Vendor, ","")&amp;IF(D67="","Store, ","")&amp;IF(F67="","Product Type, ","")&amp;IF(G67="","Category, ","")&amp;IF(H67="","HSN Code, ","")&amp;IF(Q67="","Qty, ","")&amp;IF(R67="","Purchase Rate, ","")&amp;IF(S67="","MRP, ",""),LEN(IF(B67="","PO Ref, ","")&amp;IF(C67="","Vendor, ","")&amp;IF(D67="","Store, ","")&amp;IF(F67="","Product Type, ","")&amp;IF(G67="","Category, ","")&amp;IF(H67="","HSN Code, ","")&amp;IF(Q67="","Qty, ","")&amp;IF(R67="","Purchase Rate, ","")&amp;IF(S67="","MRP, ",""))-2),IF(COUNTIF(Vendors!$B$3:$B$202,C67)=0,"Add vendor "&amp;C67&amp;" on the Vendors sheet",IF(ISNA(MATCH(H67,Codes!$A$2:$A$13,0)),"Pick the HSN Code from the list",IF(AND(E67&lt;&gt;"",COUNTIFS($C$3:$C$1002,C67,$E$3:$E$1002,E67,$F$3:$F$1002,"&lt;&gt;"&amp;F67)+COUNTIFS($C$3:$C$1002,C67,$E$3:$E$1002,E67,$G$3:$G$1002,"&lt;&gt;"&amp;G67)&gt;0),"Design "&amp;E67&amp;" has another Product Type or Category on another row",IF(COUNTIFS($F$3:$F$1002,F67,$G$3:$G$1002,G67,$H$3:$H$1002,"&lt;&gt;"&amp;H67)&gt;0,F67&amp;" + "&amp;G67&amp;" has another HSN Code on another row",IF(AND(V67&lt;&gt;"",U67=""),"Received Qty needs the Vendor Invoice No",IF(AND(U67&lt;&gt;"",COUNTIFS(Bills!$B$3:$B$302,U67,Bills!$C$3:$C$302,C67)=0),"Add bill "&amp;U67&amp;" of "&amp;C67&amp;" on the Bills sheet",IF(S67&lt;R67,"MRP is below the Purchase Rate","OK")))))))))</f>
        <v/>
      </c>
      <c r="B67" s="29"/>
      <c r="C67" s="22"/>
      <c r="D67" s="22"/>
      <c r="E67" s="24"/>
      <c r="F67" s="22"/>
      <c r="G67" s="22"/>
      <c r="H67" s="22"/>
      <c r="I67" s="30" t="str">
        <f>IF(H67="","",IFERROR(INDEX(Codes!$B$2:$B$13,MATCH(H67,Codes!$A$2:$A$13,0)),""))</f>
        <v/>
      </c>
      <c r="J67" s="23"/>
      <c r="K67" s="23"/>
      <c r="L67" s="23"/>
      <c r="M67" s="23"/>
      <c r="N67" s="23"/>
      <c r="O67" s="23"/>
      <c r="P67" s="23"/>
      <c r="Q67" s="31"/>
      <c r="R67" s="32"/>
      <c r="S67" s="32"/>
      <c r="T67" s="33" t="str">
        <f t="shared" ref="T67:T130" si="2">IF(OR(Q67="",R67=""),"",Q67*R67)</f>
        <v/>
      </c>
      <c r="U67" s="34"/>
      <c r="V67" s="35"/>
      <c r="W67" s="33" t="str">
        <f t="shared" ref="W67:W130" si="3">IF(OR(U67="",R67=""),"",IF(V67="",Q67,V67)*R67)</f>
        <v/>
      </c>
    </row>
    <row r="68" spans="1:23" x14ac:dyDescent="0.35">
      <c r="A68" s="21" t="str">
        <f>IF(COUNTA(B68:H68,J68:S68,U68:V68)=0,"",IF((IF(B68="","PO Ref, ","")&amp;IF(C68="","Vendor, ","")&amp;IF(D68="","Store, ","")&amp;IF(F68="","Product Type, ","")&amp;IF(G68="","Category, ","")&amp;IF(H68="","HSN Code, ","")&amp;IF(Q68="","Qty, ","")&amp;IF(R68="","Purchase Rate, ","")&amp;IF(S68="","MRP, ",""))&lt;&gt;"","Missing: "&amp;LEFT(IF(B68="","PO Ref, ","")&amp;IF(C68="","Vendor, ","")&amp;IF(D68="","Store, ","")&amp;IF(F68="","Product Type, ","")&amp;IF(G68="","Category, ","")&amp;IF(H68="","HSN Code, ","")&amp;IF(Q68="","Qty, ","")&amp;IF(R68="","Purchase Rate, ","")&amp;IF(S68="","MRP, ",""),LEN(IF(B68="","PO Ref, ","")&amp;IF(C68="","Vendor, ","")&amp;IF(D68="","Store, ","")&amp;IF(F68="","Product Type, ","")&amp;IF(G68="","Category, ","")&amp;IF(H68="","HSN Code, ","")&amp;IF(Q68="","Qty, ","")&amp;IF(R68="","Purchase Rate, ","")&amp;IF(S68="","MRP, ",""))-2),IF(COUNTIF(Vendors!$B$3:$B$202,C68)=0,"Add vendor "&amp;C68&amp;" on the Vendors sheet",IF(ISNA(MATCH(H68,Codes!$A$2:$A$13,0)),"Pick the HSN Code from the list",IF(AND(E68&lt;&gt;"",COUNTIFS($C$3:$C$1002,C68,$E$3:$E$1002,E68,$F$3:$F$1002,"&lt;&gt;"&amp;F68)+COUNTIFS($C$3:$C$1002,C68,$E$3:$E$1002,E68,$G$3:$G$1002,"&lt;&gt;"&amp;G68)&gt;0),"Design "&amp;E68&amp;" has another Product Type or Category on another row",IF(COUNTIFS($F$3:$F$1002,F68,$G$3:$G$1002,G68,$H$3:$H$1002,"&lt;&gt;"&amp;H68)&gt;0,F68&amp;" + "&amp;G68&amp;" has another HSN Code on another row",IF(AND(V68&lt;&gt;"",U68=""),"Received Qty needs the Vendor Invoice No",IF(AND(U68&lt;&gt;"",COUNTIFS(Bills!$B$3:$B$302,U68,Bills!$C$3:$C$302,C68)=0),"Add bill "&amp;U68&amp;" of "&amp;C68&amp;" on the Bills sheet",IF(S68&lt;R68,"MRP is below the Purchase Rate","OK")))))))))</f>
        <v/>
      </c>
      <c r="B68" s="29"/>
      <c r="C68" s="22"/>
      <c r="D68" s="22"/>
      <c r="E68" s="24"/>
      <c r="F68" s="22"/>
      <c r="G68" s="22"/>
      <c r="H68" s="22"/>
      <c r="I68" s="30" t="str">
        <f>IF(H68="","",IFERROR(INDEX(Codes!$B$2:$B$13,MATCH(H68,Codes!$A$2:$A$13,0)),""))</f>
        <v/>
      </c>
      <c r="J68" s="23"/>
      <c r="K68" s="23"/>
      <c r="L68" s="23"/>
      <c r="M68" s="23"/>
      <c r="N68" s="23"/>
      <c r="O68" s="23"/>
      <c r="P68" s="23"/>
      <c r="Q68" s="31"/>
      <c r="R68" s="32"/>
      <c r="S68" s="32"/>
      <c r="T68" s="33" t="str">
        <f t="shared" si="2"/>
        <v/>
      </c>
      <c r="U68" s="34"/>
      <c r="V68" s="35"/>
      <c r="W68" s="33" t="str">
        <f t="shared" si="3"/>
        <v/>
      </c>
    </row>
    <row r="69" spans="1:23" x14ac:dyDescent="0.35">
      <c r="A69" s="21" t="str">
        <f>IF(COUNTA(B69:H69,J69:S69,U69:V69)=0,"",IF((IF(B69="","PO Ref, ","")&amp;IF(C69="","Vendor, ","")&amp;IF(D69="","Store, ","")&amp;IF(F69="","Product Type, ","")&amp;IF(G69="","Category, ","")&amp;IF(H69="","HSN Code, ","")&amp;IF(Q69="","Qty, ","")&amp;IF(R69="","Purchase Rate, ","")&amp;IF(S69="","MRP, ",""))&lt;&gt;"","Missing: "&amp;LEFT(IF(B69="","PO Ref, ","")&amp;IF(C69="","Vendor, ","")&amp;IF(D69="","Store, ","")&amp;IF(F69="","Product Type, ","")&amp;IF(G69="","Category, ","")&amp;IF(H69="","HSN Code, ","")&amp;IF(Q69="","Qty, ","")&amp;IF(R69="","Purchase Rate, ","")&amp;IF(S69="","MRP, ",""),LEN(IF(B69="","PO Ref, ","")&amp;IF(C69="","Vendor, ","")&amp;IF(D69="","Store, ","")&amp;IF(F69="","Product Type, ","")&amp;IF(G69="","Category, ","")&amp;IF(H69="","HSN Code, ","")&amp;IF(Q69="","Qty, ","")&amp;IF(R69="","Purchase Rate, ","")&amp;IF(S69="","MRP, ",""))-2),IF(COUNTIF(Vendors!$B$3:$B$202,C69)=0,"Add vendor "&amp;C69&amp;" on the Vendors sheet",IF(ISNA(MATCH(H69,Codes!$A$2:$A$13,0)),"Pick the HSN Code from the list",IF(AND(E69&lt;&gt;"",COUNTIFS($C$3:$C$1002,C69,$E$3:$E$1002,E69,$F$3:$F$1002,"&lt;&gt;"&amp;F69)+COUNTIFS($C$3:$C$1002,C69,$E$3:$E$1002,E69,$G$3:$G$1002,"&lt;&gt;"&amp;G69)&gt;0),"Design "&amp;E69&amp;" has another Product Type or Category on another row",IF(COUNTIFS($F$3:$F$1002,F69,$G$3:$G$1002,G69,$H$3:$H$1002,"&lt;&gt;"&amp;H69)&gt;0,F69&amp;" + "&amp;G69&amp;" has another HSN Code on another row",IF(AND(V69&lt;&gt;"",U69=""),"Received Qty needs the Vendor Invoice No",IF(AND(U69&lt;&gt;"",COUNTIFS(Bills!$B$3:$B$302,U69,Bills!$C$3:$C$302,C69)=0),"Add bill "&amp;U69&amp;" of "&amp;C69&amp;" on the Bills sheet",IF(S69&lt;R69,"MRP is below the Purchase Rate","OK")))))))))</f>
        <v/>
      </c>
      <c r="B69" s="29"/>
      <c r="C69" s="22"/>
      <c r="D69" s="22"/>
      <c r="E69" s="24"/>
      <c r="F69" s="22"/>
      <c r="G69" s="22"/>
      <c r="H69" s="22"/>
      <c r="I69" s="30" t="str">
        <f>IF(H69="","",IFERROR(INDEX(Codes!$B$2:$B$13,MATCH(H69,Codes!$A$2:$A$13,0)),""))</f>
        <v/>
      </c>
      <c r="J69" s="23"/>
      <c r="K69" s="23"/>
      <c r="L69" s="23"/>
      <c r="M69" s="23"/>
      <c r="N69" s="23"/>
      <c r="O69" s="23"/>
      <c r="P69" s="23"/>
      <c r="Q69" s="31"/>
      <c r="R69" s="32"/>
      <c r="S69" s="32"/>
      <c r="T69" s="33" t="str">
        <f t="shared" si="2"/>
        <v/>
      </c>
      <c r="U69" s="34"/>
      <c r="V69" s="35"/>
      <c r="W69" s="33" t="str">
        <f t="shared" si="3"/>
        <v/>
      </c>
    </row>
    <row r="70" spans="1:23" x14ac:dyDescent="0.35">
      <c r="A70" s="21" t="str">
        <f>IF(COUNTA(B70:H70,J70:S70,U70:V70)=0,"",IF((IF(B70="","PO Ref, ","")&amp;IF(C70="","Vendor, ","")&amp;IF(D70="","Store, ","")&amp;IF(F70="","Product Type, ","")&amp;IF(G70="","Category, ","")&amp;IF(H70="","HSN Code, ","")&amp;IF(Q70="","Qty, ","")&amp;IF(R70="","Purchase Rate, ","")&amp;IF(S70="","MRP, ",""))&lt;&gt;"","Missing: "&amp;LEFT(IF(B70="","PO Ref, ","")&amp;IF(C70="","Vendor, ","")&amp;IF(D70="","Store, ","")&amp;IF(F70="","Product Type, ","")&amp;IF(G70="","Category, ","")&amp;IF(H70="","HSN Code, ","")&amp;IF(Q70="","Qty, ","")&amp;IF(R70="","Purchase Rate, ","")&amp;IF(S70="","MRP, ",""),LEN(IF(B70="","PO Ref, ","")&amp;IF(C70="","Vendor, ","")&amp;IF(D70="","Store, ","")&amp;IF(F70="","Product Type, ","")&amp;IF(G70="","Category, ","")&amp;IF(H70="","HSN Code, ","")&amp;IF(Q70="","Qty, ","")&amp;IF(R70="","Purchase Rate, ","")&amp;IF(S70="","MRP, ",""))-2),IF(COUNTIF(Vendors!$B$3:$B$202,C70)=0,"Add vendor "&amp;C70&amp;" on the Vendors sheet",IF(ISNA(MATCH(H70,Codes!$A$2:$A$13,0)),"Pick the HSN Code from the list",IF(AND(E70&lt;&gt;"",COUNTIFS($C$3:$C$1002,C70,$E$3:$E$1002,E70,$F$3:$F$1002,"&lt;&gt;"&amp;F70)+COUNTIFS($C$3:$C$1002,C70,$E$3:$E$1002,E70,$G$3:$G$1002,"&lt;&gt;"&amp;G70)&gt;0),"Design "&amp;E70&amp;" has another Product Type or Category on another row",IF(COUNTIFS($F$3:$F$1002,F70,$G$3:$G$1002,G70,$H$3:$H$1002,"&lt;&gt;"&amp;H70)&gt;0,F70&amp;" + "&amp;G70&amp;" has another HSN Code on another row",IF(AND(V70&lt;&gt;"",U70=""),"Received Qty needs the Vendor Invoice No",IF(AND(U70&lt;&gt;"",COUNTIFS(Bills!$B$3:$B$302,U70,Bills!$C$3:$C$302,C70)=0),"Add bill "&amp;U70&amp;" of "&amp;C70&amp;" on the Bills sheet",IF(S70&lt;R70,"MRP is below the Purchase Rate","OK")))))))))</f>
        <v/>
      </c>
      <c r="B70" s="29"/>
      <c r="C70" s="22"/>
      <c r="D70" s="22"/>
      <c r="E70" s="24"/>
      <c r="F70" s="22"/>
      <c r="G70" s="22"/>
      <c r="H70" s="22"/>
      <c r="I70" s="30" t="str">
        <f>IF(H70="","",IFERROR(INDEX(Codes!$B$2:$B$13,MATCH(H70,Codes!$A$2:$A$13,0)),""))</f>
        <v/>
      </c>
      <c r="J70" s="23"/>
      <c r="K70" s="23"/>
      <c r="L70" s="23"/>
      <c r="M70" s="23"/>
      <c r="N70" s="23"/>
      <c r="O70" s="23"/>
      <c r="P70" s="23"/>
      <c r="Q70" s="31"/>
      <c r="R70" s="32"/>
      <c r="S70" s="32"/>
      <c r="T70" s="33" t="str">
        <f t="shared" si="2"/>
        <v/>
      </c>
      <c r="U70" s="34"/>
      <c r="V70" s="35"/>
      <c r="W70" s="33" t="str">
        <f t="shared" si="3"/>
        <v/>
      </c>
    </row>
    <row r="71" spans="1:23" x14ac:dyDescent="0.35">
      <c r="A71" s="21" t="str">
        <f>IF(COUNTA(B71:H71,J71:S71,U71:V71)=0,"",IF((IF(B71="","PO Ref, ","")&amp;IF(C71="","Vendor, ","")&amp;IF(D71="","Store, ","")&amp;IF(F71="","Product Type, ","")&amp;IF(G71="","Category, ","")&amp;IF(H71="","HSN Code, ","")&amp;IF(Q71="","Qty, ","")&amp;IF(R71="","Purchase Rate, ","")&amp;IF(S71="","MRP, ",""))&lt;&gt;"","Missing: "&amp;LEFT(IF(B71="","PO Ref, ","")&amp;IF(C71="","Vendor, ","")&amp;IF(D71="","Store, ","")&amp;IF(F71="","Product Type, ","")&amp;IF(G71="","Category, ","")&amp;IF(H71="","HSN Code, ","")&amp;IF(Q71="","Qty, ","")&amp;IF(R71="","Purchase Rate, ","")&amp;IF(S71="","MRP, ",""),LEN(IF(B71="","PO Ref, ","")&amp;IF(C71="","Vendor, ","")&amp;IF(D71="","Store, ","")&amp;IF(F71="","Product Type, ","")&amp;IF(G71="","Category, ","")&amp;IF(H71="","HSN Code, ","")&amp;IF(Q71="","Qty, ","")&amp;IF(R71="","Purchase Rate, ","")&amp;IF(S71="","MRP, ",""))-2),IF(COUNTIF(Vendors!$B$3:$B$202,C71)=0,"Add vendor "&amp;C71&amp;" on the Vendors sheet",IF(ISNA(MATCH(H71,Codes!$A$2:$A$13,0)),"Pick the HSN Code from the list",IF(AND(E71&lt;&gt;"",COUNTIFS($C$3:$C$1002,C71,$E$3:$E$1002,E71,$F$3:$F$1002,"&lt;&gt;"&amp;F71)+COUNTIFS($C$3:$C$1002,C71,$E$3:$E$1002,E71,$G$3:$G$1002,"&lt;&gt;"&amp;G71)&gt;0),"Design "&amp;E71&amp;" has another Product Type or Category on another row",IF(COUNTIFS($F$3:$F$1002,F71,$G$3:$G$1002,G71,$H$3:$H$1002,"&lt;&gt;"&amp;H71)&gt;0,F71&amp;" + "&amp;G71&amp;" has another HSN Code on another row",IF(AND(V71&lt;&gt;"",U71=""),"Received Qty needs the Vendor Invoice No",IF(AND(U71&lt;&gt;"",COUNTIFS(Bills!$B$3:$B$302,U71,Bills!$C$3:$C$302,C71)=0),"Add bill "&amp;U71&amp;" of "&amp;C71&amp;" on the Bills sheet",IF(S71&lt;R71,"MRP is below the Purchase Rate","OK")))))))))</f>
        <v/>
      </c>
      <c r="B71" s="29"/>
      <c r="C71" s="22"/>
      <c r="D71" s="22"/>
      <c r="E71" s="24"/>
      <c r="F71" s="22"/>
      <c r="G71" s="22"/>
      <c r="H71" s="22"/>
      <c r="I71" s="30" t="str">
        <f>IF(H71="","",IFERROR(INDEX(Codes!$B$2:$B$13,MATCH(H71,Codes!$A$2:$A$13,0)),""))</f>
        <v/>
      </c>
      <c r="J71" s="23"/>
      <c r="K71" s="23"/>
      <c r="L71" s="23"/>
      <c r="M71" s="23"/>
      <c r="N71" s="23"/>
      <c r="O71" s="23"/>
      <c r="P71" s="23"/>
      <c r="Q71" s="31"/>
      <c r="R71" s="32"/>
      <c r="S71" s="32"/>
      <c r="T71" s="33" t="str">
        <f t="shared" si="2"/>
        <v/>
      </c>
      <c r="U71" s="34"/>
      <c r="V71" s="35"/>
      <c r="W71" s="33" t="str">
        <f t="shared" si="3"/>
        <v/>
      </c>
    </row>
    <row r="72" spans="1:23" x14ac:dyDescent="0.35">
      <c r="A72" s="21" t="str">
        <f>IF(COUNTA(B72:H72,J72:S72,U72:V72)=0,"",IF((IF(B72="","PO Ref, ","")&amp;IF(C72="","Vendor, ","")&amp;IF(D72="","Store, ","")&amp;IF(F72="","Product Type, ","")&amp;IF(G72="","Category, ","")&amp;IF(H72="","HSN Code, ","")&amp;IF(Q72="","Qty, ","")&amp;IF(R72="","Purchase Rate, ","")&amp;IF(S72="","MRP, ",""))&lt;&gt;"","Missing: "&amp;LEFT(IF(B72="","PO Ref, ","")&amp;IF(C72="","Vendor, ","")&amp;IF(D72="","Store, ","")&amp;IF(F72="","Product Type, ","")&amp;IF(G72="","Category, ","")&amp;IF(H72="","HSN Code, ","")&amp;IF(Q72="","Qty, ","")&amp;IF(R72="","Purchase Rate, ","")&amp;IF(S72="","MRP, ",""),LEN(IF(B72="","PO Ref, ","")&amp;IF(C72="","Vendor, ","")&amp;IF(D72="","Store, ","")&amp;IF(F72="","Product Type, ","")&amp;IF(G72="","Category, ","")&amp;IF(H72="","HSN Code, ","")&amp;IF(Q72="","Qty, ","")&amp;IF(R72="","Purchase Rate, ","")&amp;IF(S72="","MRP, ",""))-2),IF(COUNTIF(Vendors!$B$3:$B$202,C72)=0,"Add vendor "&amp;C72&amp;" on the Vendors sheet",IF(ISNA(MATCH(H72,Codes!$A$2:$A$13,0)),"Pick the HSN Code from the list",IF(AND(E72&lt;&gt;"",COUNTIFS($C$3:$C$1002,C72,$E$3:$E$1002,E72,$F$3:$F$1002,"&lt;&gt;"&amp;F72)+COUNTIFS($C$3:$C$1002,C72,$E$3:$E$1002,E72,$G$3:$G$1002,"&lt;&gt;"&amp;G72)&gt;0),"Design "&amp;E72&amp;" has another Product Type or Category on another row",IF(COUNTIFS($F$3:$F$1002,F72,$G$3:$G$1002,G72,$H$3:$H$1002,"&lt;&gt;"&amp;H72)&gt;0,F72&amp;" + "&amp;G72&amp;" has another HSN Code on another row",IF(AND(V72&lt;&gt;"",U72=""),"Received Qty needs the Vendor Invoice No",IF(AND(U72&lt;&gt;"",COUNTIFS(Bills!$B$3:$B$302,U72,Bills!$C$3:$C$302,C72)=0),"Add bill "&amp;U72&amp;" of "&amp;C72&amp;" on the Bills sheet",IF(S72&lt;R72,"MRP is below the Purchase Rate","OK")))))))))</f>
        <v/>
      </c>
      <c r="B72" s="29"/>
      <c r="C72" s="22"/>
      <c r="D72" s="22"/>
      <c r="E72" s="24"/>
      <c r="F72" s="22"/>
      <c r="G72" s="22"/>
      <c r="H72" s="22"/>
      <c r="I72" s="30" t="str">
        <f>IF(H72="","",IFERROR(INDEX(Codes!$B$2:$B$13,MATCH(H72,Codes!$A$2:$A$13,0)),""))</f>
        <v/>
      </c>
      <c r="J72" s="23"/>
      <c r="K72" s="23"/>
      <c r="L72" s="23"/>
      <c r="M72" s="23"/>
      <c r="N72" s="23"/>
      <c r="O72" s="23"/>
      <c r="P72" s="23"/>
      <c r="Q72" s="31"/>
      <c r="R72" s="32"/>
      <c r="S72" s="32"/>
      <c r="T72" s="33" t="str">
        <f t="shared" si="2"/>
        <v/>
      </c>
      <c r="U72" s="34"/>
      <c r="V72" s="35"/>
      <c r="W72" s="33" t="str">
        <f t="shared" si="3"/>
        <v/>
      </c>
    </row>
    <row r="73" spans="1:23" x14ac:dyDescent="0.35">
      <c r="A73" s="21" t="str">
        <f>IF(COUNTA(B73:H73,J73:S73,U73:V73)=0,"",IF((IF(B73="","PO Ref, ","")&amp;IF(C73="","Vendor, ","")&amp;IF(D73="","Store, ","")&amp;IF(F73="","Product Type, ","")&amp;IF(G73="","Category, ","")&amp;IF(H73="","HSN Code, ","")&amp;IF(Q73="","Qty, ","")&amp;IF(R73="","Purchase Rate, ","")&amp;IF(S73="","MRP, ",""))&lt;&gt;"","Missing: "&amp;LEFT(IF(B73="","PO Ref, ","")&amp;IF(C73="","Vendor, ","")&amp;IF(D73="","Store, ","")&amp;IF(F73="","Product Type, ","")&amp;IF(G73="","Category, ","")&amp;IF(H73="","HSN Code, ","")&amp;IF(Q73="","Qty, ","")&amp;IF(R73="","Purchase Rate, ","")&amp;IF(S73="","MRP, ",""),LEN(IF(B73="","PO Ref, ","")&amp;IF(C73="","Vendor, ","")&amp;IF(D73="","Store, ","")&amp;IF(F73="","Product Type, ","")&amp;IF(G73="","Category, ","")&amp;IF(H73="","HSN Code, ","")&amp;IF(Q73="","Qty, ","")&amp;IF(R73="","Purchase Rate, ","")&amp;IF(S73="","MRP, ",""))-2),IF(COUNTIF(Vendors!$B$3:$B$202,C73)=0,"Add vendor "&amp;C73&amp;" on the Vendors sheet",IF(ISNA(MATCH(H73,Codes!$A$2:$A$13,0)),"Pick the HSN Code from the list",IF(AND(E73&lt;&gt;"",COUNTIFS($C$3:$C$1002,C73,$E$3:$E$1002,E73,$F$3:$F$1002,"&lt;&gt;"&amp;F73)+COUNTIFS($C$3:$C$1002,C73,$E$3:$E$1002,E73,$G$3:$G$1002,"&lt;&gt;"&amp;G73)&gt;0),"Design "&amp;E73&amp;" has another Product Type or Category on another row",IF(COUNTIFS($F$3:$F$1002,F73,$G$3:$G$1002,G73,$H$3:$H$1002,"&lt;&gt;"&amp;H73)&gt;0,F73&amp;" + "&amp;G73&amp;" has another HSN Code on another row",IF(AND(V73&lt;&gt;"",U73=""),"Received Qty needs the Vendor Invoice No",IF(AND(U73&lt;&gt;"",COUNTIFS(Bills!$B$3:$B$302,U73,Bills!$C$3:$C$302,C73)=0),"Add bill "&amp;U73&amp;" of "&amp;C73&amp;" on the Bills sheet",IF(S73&lt;R73,"MRP is below the Purchase Rate","OK")))))))))</f>
        <v/>
      </c>
      <c r="B73" s="29"/>
      <c r="C73" s="22"/>
      <c r="D73" s="22"/>
      <c r="E73" s="24"/>
      <c r="F73" s="22"/>
      <c r="G73" s="22"/>
      <c r="H73" s="22"/>
      <c r="I73" s="30" t="str">
        <f>IF(H73="","",IFERROR(INDEX(Codes!$B$2:$B$13,MATCH(H73,Codes!$A$2:$A$13,0)),""))</f>
        <v/>
      </c>
      <c r="J73" s="23"/>
      <c r="K73" s="23"/>
      <c r="L73" s="23"/>
      <c r="M73" s="23"/>
      <c r="N73" s="23"/>
      <c r="O73" s="23"/>
      <c r="P73" s="23"/>
      <c r="Q73" s="31"/>
      <c r="R73" s="32"/>
      <c r="S73" s="32"/>
      <c r="T73" s="33" t="str">
        <f t="shared" si="2"/>
        <v/>
      </c>
      <c r="U73" s="34"/>
      <c r="V73" s="35"/>
      <c r="W73" s="33" t="str">
        <f t="shared" si="3"/>
        <v/>
      </c>
    </row>
    <row r="74" spans="1:23" x14ac:dyDescent="0.35">
      <c r="A74" s="21" t="str">
        <f>IF(COUNTA(B74:H74,J74:S74,U74:V74)=0,"",IF((IF(B74="","PO Ref, ","")&amp;IF(C74="","Vendor, ","")&amp;IF(D74="","Store, ","")&amp;IF(F74="","Product Type, ","")&amp;IF(G74="","Category, ","")&amp;IF(H74="","HSN Code, ","")&amp;IF(Q74="","Qty, ","")&amp;IF(R74="","Purchase Rate, ","")&amp;IF(S74="","MRP, ",""))&lt;&gt;"","Missing: "&amp;LEFT(IF(B74="","PO Ref, ","")&amp;IF(C74="","Vendor, ","")&amp;IF(D74="","Store, ","")&amp;IF(F74="","Product Type, ","")&amp;IF(G74="","Category, ","")&amp;IF(H74="","HSN Code, ","")&amp;IF(Q74="","Qty, ","")&amp;IF(R74="","Purchase Rate, ","")&amp;IF(S74="","MRP, ",""),LEN(IF(B74="","PO Ref, ","")&amp;IF(C74="","Vendor, ","")&amp;IF(D74="","Store, ","")&amp;IF(F74="","Product Type, ","")&amp;IF(G74="","Category, ","")&amp;IF(H74="","HSN Code, ","")&amp;IF(Q74="","Qty, ","")&amp;IF(R74="","Purchase Rate, ","")&amp;IF(S74="","MRP, ",""))-2),IF(COUNTIF(Vendors!$B$3:$B$202,C74)=0,"Add vendor "&amp;C74&amp;" on the Vendors sheet",IF(ISNA(MATCH(H74,Codes!$A$2:$A$13,0)),"Pick the HSN Code from the list",IF(AND(E74&lt;&gt;"",COUNTIFS($C$3:$C$1002,C74,$E$3:$E$1002,E74,$F$3:$F$1002,"&lt;&gt;"&amp;F74)+COUNTIFS($C$3:$C$1002,C74,$E$3:$E$1002,E74,$G$3:$G$1002,"&lt;&gt;"&amp;G74)&gt;0),"Design "&amp;E74&amp;" has another Product Type or Category on another row",IF(COUNTIFS($F$3:$F$1002,F74,$G$3:$G$1002,G74,$H$3:$H$1002,"&lt;&gt;"&amp;H74)&gt;0,F74&amp;" + "&amp;G74&amp;" has another HSN Code on another row",IF(AND(V74&lt;&gt;"",U74=""),"Received Qty needs the Vendor Invoice No",IF(AND(U74&lt;&gt;"",COUNTIFS(Bills!$B$3:$B$302,U74,Bills!$C$3:$C$302,C74)=0),"Add bill "&amp;U74&amp;" of "&amp;C74&amp;" on the Bills sheet",IF(S74&lt;R74,"MRP is below the Purchase Rate","OK")))))))))</f>
        <v/>
      </c>
      <c r="B74" s="29"/>
      <c r="C74" s="22"/>
      <c r="D74" s="22"/>
      <c r="E74" s="24"/>
      <c r="F74" s="22"/>
      <c r="G74" s="22"/>
      <c r="H74" s="22"/>
      <c r="I74" s="30" t="str">
        <f>IF(H74="","",IFERROR(INDEX(Codes!$B$2:$B$13,MATCH(H74,Codes!$A$2:$A$13,0)),""))</f>
        <v/>
      </c>
      <c r="J74" s="23"/>
      <c r="K74" s="23"/>
      <c r="L74" s="23"/>
      <c r="M74" s="23"/>
      <c r="N74" s="23"/>
      <c r="O74" s="23"/>
      <c r="P74" s="23"/>
      <c r="Q74" s="31"/>
      <c r="R74" s="32"/>
      <c r="S74" s="32"/>
      <c r="T74" s="33" t="str">
        <f t="shared" si="2"/>
        <v/>
      </c>
      <c r="U74" s="34"/>
      <c r="V74" s="35"/>
      <c r="W74" s="33" t="str">
        <f t="shared" si="3"/>
        <v/>
      </c>
    </row>
    <row r="75" spans="1:23" x14ac:dyDescent="0.35">
      <c r="A75" s="21" t="str">
        <f>IF(COUNTA(B75:H75,J75:S75,U75:V75)=0,"",IF((IF(B75="","PO Ref, ","")&amp;IF(C75="","Vendor, ","")&amp;IF(D75="","Store, ","")&amp;IF(F75="","Product Type, ","")&amp;IF(G75="","Category, ","")&amp;IF(H75="","HSN Code, ","")&amp;IF(Q75="","Qty, ","")&amp;IF(R75="","Purchase Rate, ","")&amp;IF(S75="","MRP, ",""))&lt;&gt;"","Missing: "&amp;LEFT(IF(B75="","PO Ref, ","")&amp;IF(C75="","Vendor, ","")&amp;IF(D75="","Store, ","")&amp;IF(F75="","Product Type, ","")&amp;IF(G75="","Category, ","")&amp;IF(H75="","HSN Code, ","")&amp;IF(Q75="","Qty, ","")&amp;IF(R75="","Purchase Rate, ","")&amp;IF(S75="","MRP, ",""),LEN(IF(B75="","PO Ref, ","")&amp;IF(C75="","Vendor, ","")&amp;IF(D75="","Store, ","")&amp;IF(F75="","Product Type, ","")&amp;IF(G75="","Category, ","")&amp;IF(H75="","HSN Code, ","")&amp;IF(Q75="","Qty, ","")&amp;IF(R75="","Purchase Rate, ","")&amp;IF(S75="","MRP, ",""))-2),IF(COUNTIF(Vendors!$B$3:$B$202,C75)=0,"Add vendor "&amp;C75&amp;" on the Vendors sheet",IF(ISNA(MATCH(H75,Codes!$A$2:$A$13,0)),"Pick the HSN Code from the list",IF(AND(E75&lt;&gt;"",COUNTIFS($C$3:$C$1002,C75,$E$3:$E$1002,E75,$F$3:$F$1002,"&lt;&gt;"&amp;F75)+COUNTIFS($C$3:$C$1002,C75,$E$3:$E$1002,E75,$G$3:$G$1002,"&lt;&gt;"&amp;G75)&gt;0),"Design "&amp;E75&amp;" has another Product Type or Category on another row",IF(COUNTIFS($F$3:$F$1002,F75,$G$3:$G$1002,G75,$H$3:$H$1002,"&lt;&gt;"&amp;H75)&gt;0,F75&amp;" + "&amp;G75&amp;" has another HSN Code on another row",IF(AND(V75&lt;&gt;"",U75=""),"Received Qty needs the Vendor Invoice No",IF(AND(U75&lt;&gt;"",COUNTIFS(Bills!$B$3:$B$302,U75,Bills!$C$3:$C$302,C75)=0),"Add bill "&amp;U75&amp;" of "&amp;C75&amp;" on the Bills sheet",IF(S75&lt;R75,"MRP is below the Purchase Rate","OK")))))))))</f>
        <v/>
      </c>
      <c r="B75" s="29"/>
      <c r="C75" s="22"/>
      <c r="D75" s="22"/>
      <c r="E75" s="24"/>
      <c r="F75" s="22"/>
      <c r="G75" s="22"/>
      <c r="H75" s="22"/>
      <c r="I75" s="30" t="str">
        <f>IF(H75="","",IFERROR(INDEX(Codes!$B$2:$B$13,MATCH(H75,Codes!$A$2:$A$13,0)),""))</f>
        <v/>
      </c>
      <c r="J75" s="23"/>
      <c r="K75" s="23"/>
      <c r="L75" s="23"/>
      <c r="M75" s="23"/>
      <c r="N75" s="23"/>
      <c r="O75" s="23"/>
      <c r="P75" s="23"/>
      <c r="Q75" s="31"/>
      <c r="R75" s="32"/>
      <c r="S75" s="32"/>
      <c r="T75" s="33" t="str">
        <f t="shared" si="2"/>
        <v/>
      </c>
      <c r="U75" s="34"/>
      <c r="V75" s="35"/>
      <c r="W75" s="33" t="str">
        <f t="shared" si="3"/>
        <v/>
      </c>
    </row>
    <row r="76" spans="1:23" x14ac:dyDescent="0.35">
      <c r="A76" s="21" t="str">
        <f>IF(COUNTA(B76:H76,J76:S76,U76:V76)=0,"",IF((IF(B76="","PO Ref, ","")&amp;IF(C76="","Vendor, ","")&amp;IF(D76="","Store, ","")&amp;IF(F76="","Product Type, ","")&amp;IF(G76="","Category, ","")&amp;IF(H76="","HSN Code, ","")&amp;IF(Q76="","Qty, ","")&amp;IF(R76="","Purchase Rate, ","")&amp;IF(S76="","MRP, ",""))&lt;&gt;"","Missing: "&amp;LEFT(IF(B76="","PO Ref, ","")&amp;IF(C76="","Vendor, ","")&amp;IF(D76="","Store, ","")&amp;IF(F76="","Product Type, ","")&amp;IF(G76="","Category, ","")&amp;IF(H76="","HSN Code, ","")&amp;IF(Q76="","Qty, ","")&amp;IF(R76="","Purchase Rate, ","")&amp;IF(S76="","MRP, ",""),LEN(IF(B76="","PO Ref, ","")&amp;IF(C76="","Vendor, ","")&amp;IF(D76="","Store, ","")&amp;IF(F76="","Product Type, ","")&amp;IF(G76="","Category, ","")&amp;IF(H76="","HSN Code, ","")&amp;IF(Q76="","Qty, ","")&amp;IF(R76="","Purchase Rate, ","")&amp;IF(S76="","MRP, ",""))-2),IF(COUNTIF(Vendors!$B$3:$B$202,C76)=0,"Add vendor "&amp;C76&amp;" on the Vendors sheet",IF(ISNA(MATCH(H76,Codes!$A$2:$A$13,0)),"Pick the HSN Code from the list",IF(AND(E76&lt;&gt;"",COUNTIFS($C$3:$C$1002,C76,$E$3:$E$1002,E76,$F$3:$F$1002,"&lt;&gt;"&amp;F76)+COUNTIFS($C$3:$C$1002,C76,$E$3:$E$1002,E76,$G$3:$G$1002,"&lt;&gt;"&amp;G76)&gt;0),"Design "&amp;E76&amp;" has another Product Type or Category on another row",IF(COUNTIFS($F$3:$F$1002,F76,$G$3:$G$1002,G76,$H$3:$H$1002,"&lt;&gt;"&amp;H76)&gt;0,F76&amp;" + "&amp;G76&amp;" has another HSN Code on another row",IF(AND(V76&lt;&gt;"",U76=""),"Received Qty needs the Vendor Invoice No",IF(AND(U76&lt;&gt;"",COUNTIFS(Bills!$B$3:$B$302,U76,Bills!$C$3:$C$302,C76)=0),"Add bill "&amp;U76&amp;" of "&amp;C76&amp;" on the Bills sheet",IF(S76&lt;R76,"MRP is below the Purchase Rate","OK")))))))))</f>
        <v/>
      </c>
      <c r="B76" s="29"/>
      <c r="C76" s="22"/>
      <c r="D76" s="22"/>
      <c r="E76" s="24"/>
      <c r="F76" s="22"/>
      <c r="G76" s="22"/>
      <c r="H76" s="22"/>
      <c r="I76" s="30" t="str">
        <f>IF(H76="","",IFERROR(INDEX(Codes!$B$2:$B$13,MATCH(H76,Codes!$A$2:$A$13,0)),""))</f>
        <v/>
      </c>
      <c r="J76" s="23"/>
      <c r="K76" s="23"/>
      <c r="L76" s="23"/>
      <c r="M76" s="23"/>
      <c r="N76" s="23"/>
      <c r="O76" s="23"/>
      <c r="P76" s="23"/>
      <c r="Q76" s="31"/>
      <c r="R76" s="32"/>
      <c r="S76" s="32"/>
      <c r="T76" s="33" t="str">
        <f t="shared" si="2"/>
        <v/>
      </c>
      <c r="U76" s="34"/>
      <c r="V76" s="35"/>
      <c r="W76" s="33" t="str">
        <f t="shared" si="3"/>
        <v/>
      </c>
    </row>
    <row r="77" spans="1:23" x14ac:dyDescent="0.35">
      <c r="A77" s="21" t="str">
        <f>IF(COUNTA(B77:H77,J77:S77,U77:V77)=0,"",IF((IF(B77="","PO Ref, ","")&amp;IF(C77="","Vendor, ","")&amp;IF(D77="","Store, ","")&amp;IF(F77="","Product Type, ","")&amp;IF(G77="","Category, ","")&amp;IF(H77="","HSN Code, ","")&amp;IF(Q77="","Qty, ","")&amp;IF(R77="","Purchase Rate, ","")&amp;IF(S77="","MRP, ",""))&lt;&gt;"","Missing: "&amp;LEFT(IF(B77="","PO Ref, ","")&amp;IF(C77="","Vendor, ","")&amp;IF(D77="","Store, ","")&amp;IF(F77="","Product Type, ","")&amp;IF(G77="","Category, ","")&amp;IF(H77="","HSN Code, ","")&amp;IF(Q77="","Qty, ","")&amp;IF(R77="","Purchase Rate, ","")&amp;IF(S77="","MRP, ",""),LEN(IF(B77="","PO Ref, ","")&amp;IF(C77="","Vendor, ","")&amp;IF(D77="","Store, ","")&amp;IF(F77="","Product Type, ","")&amp;IF(G77="","Category, ","")&amp;IF(H77="","HSN Code, ","")&amp;IF(Q77="","Qty, ","")&amp;IF(R77="","Purchase Rate, ","")&amp;IF(S77="","MRP, ",""))-2),IF(COUNTIF(Vendors!$B$3:$B$202,C77)=0,"Add vendor "&amp;C77&amp;" on the Vendors sheet",IF(ISNA(MATCH(H77,Codes!$A$2:$A$13,0)),"Pick the HSN Code from the list",IF(AND(E77&lt;&gt;"",COUNTIFS($C$3:$C$1002,C77,$E$3:$E$1002,E77,$F$3:$F$1002,"&lt;&gt;"&amp;F77)+COUNTIFS($C$3:$C$1002,C77,$E$3:$E$1002,E77,$G$3:$G$1002,"&lt;&gt;"&amp;G77)&gt;0),"Design "&amp;E77&amp;" has another Product Type or Category on another row",IF(COUNTIFS($F$3:$F$1002,F77,$G$3:$G$1002,G77,$H$3:$H$1002,"&lt;&gt;"&amp;H77)&gt;0,F77&amp;" + "&amp;G77&amp;" has another HSN Code on another row",IF(AND(V77&lt;&gt;"",U77=""),"Received Qty needs the Vendor Invoice No",IF(AND(U77&lt;&gt;"",COUNTIFS(Bills!$B$3:$B$302,U77,Bills!$C$3:$C$302,C77)=0),"Add bill "&amp;U77&amp;" of "&amp;C77&amp;" on the Bills sheet",IF(S77&lt;R77,"MRP is below the Purchase Rate","OK")))))))))</f>
        <v/>
      </c>
      <c r="B77" s="29"/>
      <c r="C77" s="22"/>
      <c r="D77" s="22"/>
      <c r="E77" s="24"/>
      <c r="F77" s="22"/>
      <c r="G77" s="22"/>
      <c r="H77" s="22"/>
      <c r="I77" s="30" t="str">
        <f>IF(H77="","",IFERROR(INDEX(Codes!$B$2:$B$13,MATCH(H77,Codes!$A$2:$A$13,0)),""))</f>
        <v/>
      </c>
      <c r="J77" s="23"/>
      <c r="K77" s="23"/>
      <c r="L77" s="23"/>
      <c r="M77" s="23"/>
      <c r="N77" s="23"/>
      <c r="O77" s="23"/>
      <c r="P77" s="23"/>
      <c r="Q77" s="31"/>
      <c r="R77" s="32"/>
      <c r="S77" s="32"/>
      <c r="T77" s="33" t="str">
        <f t="shared" si="2"/>
        <v/>
      </c>
      <c r="U77" s="34"/>
      <c r="V77" s="35"/>
      <c r="W77" s="33" t="str">
        <f t="shared" si="3"/>
        <v/>
      </c>
    </row>
    <row r="78" spans="1:23" x14ac:dyDescent="0.35">
      <c r="A78" s="21" t="str">
        <f>IF(COUNTA(B78:H78,J78:S78,U78:V78)=0,"",IF((IF(B78="","PO Ref, ","")&amp;IF(C78="","Vendor, ","")&amp;IF(D78="","Store, ","")&amp;IF(F78="","Product Type, ","")&amp;IF(G78="","Category, ","")&amp;IF(H78="","HSN Code, ","")&amp;IF(Q78="","Qty, ","")&amp;IF(R78="","Purchase Rate, ","")&amp;IF(S78="","MRP, ",""))&lt;&gt;"","Missing: "&amp;LEFT(IF(B78="","PO Ref, ","")&amp;IF(C78="","Vendor, ","")&amp;IF(D78="","Store, ","")&amp;IF(F78="","Product Type, ","")&amp;IF(G78="","Category, ","")&amp;IF(H78="","HSN Code, ","")&amp;IF(Q78="","Qty, ","")&amp;IF(R78="","Purchase Rate, ","")&amp;IF(S78="","MRP, ",""),LEN(IF(B78="","PO Ref, ","")&amp;IF(C78="","Vendor, ","")&amp;IF(D78="","Store, ","")&amp;IF(F78="","Product Type, ","")&amp;IF(G78="","Category, ","")&amp;IF(H78="","HSN Code, ","")&amp;IF(Q78="","Qty, ","")&amp;IF(R78="","Purchase Rate, ","")&amp;IF(S78="","MRP, ",""))-2),IF(COUNTIF(Vendors!$B$3:$B$202,C78)=0,"Add vendor "&amp;C78&amp;" on the Vendors sheet",IF(ISNA(MATCH(H78,Codes!$A$2:$A$13,0)),"Pick the HSN Code from the list",IF(AND(E78&lt;&gt;"",COUNTIFS($C$3:$C$1002,C78,$E$3:$E$1002,E78,$F$3:$F$1002,"&lt;&gt;"&amp;F78)+COUNTIFS($C$3:$C$1002,C78,$E$3:$E$1002,E78,$G$3:$G$1002,"&lt;&gt;"&amp;G78)&gt;0),"Design "&amp;E78&amp;" has another Product Type or Category on another row",IF(COUNTIFS($F$3:$F$1002,F78,$G$3:$G$1002,G78,$H$3:$H$1002,"&lt;&gt;"&amp;H78)&gt;0,F78&amp;" + "&amp;G78&amp;" has another HSN Code on another row",IF(AND(V78&lt;&gt;"",U78=""),"Received Qty needs the Vendor Invoice No",IF(AND(U78&lt;&gt;"",COUNTIFS(Bills!$B$3:$B$302,U78,Bills!$C$3:$C$302,C78)=0),"Add bill "&amp;U78&amp;" of "&amp;C78&amp;" on the Bills sheet",IF(S78&lt;R78,"MRP is below the Purchase Rate","OK")))))))))</f>
        <v/>
      </c>
      <c r="B78" s="29"/>
      <c r="C78" s="22"/>
      <c r="D78" s="22"/>
      <c r="E78" s="24"/>
      <c r="F78" s="22"/>
      <c r="G78" s="22"/>
      <c r="H78" s="22"/>
      <c r="I78" s="30" t="str">
        <f>IF(H78="","",IFERROR(INDEX(Codes!$B$2:$B$13,MATCH(H78,Codes!$A$2:$A$13,0)),""))</f>
        <v/>
      </c>
      <c r="J78" s="23"/>
      <c r="K78" s="23"/>
      <c r="L78" s="23"/>
      <c r="M78" s="23"/>
      <c r="N78" s="23"/>
      <c r="O78" s="23"/>
      <c r="P78" s="23"/>
      <c r="Q78" s="31"/>
      <c r="R78" s="32"/>
      <c r="S78" s="32"/>
      <c r="T78" s="33" t="str">
        <f t="shared" si="2"/>
        <v/>
      </c>
      <c r="U78" s="34"/>
      <c r="V78" s="35"/>
      <c r="W78" s="33" t="str">
        <f t="shared" si="3"/>
        <v/>
      </c>
    </row>
    <row r="79" spans="1:23" x14ac:dyDescent="0.35">
      <c r="A79" s="21" t="str">
        <f>IF(COUNTA(B79:H79,J79:S79,U79:V79)=0,"",IF((IF(B79="","PO Ref, ","")&amp;IF(C79="","Vendor, ","")&amp;IF(D79="","Store, ","")&amp;IF(F79="","Product Type, ","")&amp;IF(G79="","Category, ","")&amp;IF(H79="","HSN Code, ","")&amp;IF(Q79="","Qty, ","")&amp;IF(R79="","Purchase Rate, ","")&amp;IF(S79="","MRP, ",""))&lt;&gt;"","Missing: "&amp;LEFT(IF(B79="","PO Ref, ","")&amp;IF(C79="","Vendor, ","")&amp;IF(D79="","Store, ","")&amp;IF(F79="","Product Type, ","")&amp;IF(G79="","Category, ","")&amp;IF(H79="","HSN Code, ","")&amp;IF(Q79="","Qty, ","")&amp;IF(R79="","Purchase Rate, ","")&amp;IF(S79="","MRP, ",""),LEN(IF(B79="","PO Ref, ","")&amp;IF(C79="","Vendor, ","")&amp;IF(D79="","Store, ","")&amp;IF(F79="","Product Type, ","")&amp;IF(G79="","Category, ","")&amp;IF(H79="","HSN Code, ","")&amp;IF(Q79="","Qty, ","")&amp;IF(R79="","Purchase Rate, ","")&amp;IF(S79="","MRP, ",""))-2),IF(COUNTIF(Vendors!$B$3:$B$202,C79)=0,"Add vendor "&amp;C79&amp;" on the Vendors sheet",IF(ISNA(MATCH(H79,Codes!$A$2:$A$13,0)),"Pick the HSN Code from the list",IF(AND(E79&lt;&gt;"",COUNTIFS($C$3:$C$1002,C79,$E$3:$E$1002,E79,$F$3:$F$1002,"&lt;&gt;"&amp;F79)+COUNTIFS($C$3:$C$1002,C79,$E$3:$E$1002,E79,$G$3:$G$1002,"&lt;&gt;"&amp;G79)&gt;0),"Design "&amp;E79&amp;" has another Product Type or Category on another row",IF(COUNTIFS($F$3:$F$1002,F79,$G$3:$G$1002,G79,$H$3:$H$1002,"&lt;&gt;"&amp;H79)&gt;0,F79&amp;" + "&amp;G79&amp;" has another HSN Code on another row",IF(AND(V79&lt;&gt;"",U79=""),"Received Qty needs the Vendor Invoice No",IF(AND(U79&lt;&gt;"",COUNTIFS(Bills!$B$3:$B$302,U79,Bills!$C$3:$C$302,C79)=0),"Add bill "&amp;U79&amp;" of "&amp;C79&amp;" on the Bills sheet",IF(S79&lt;R79,"MRP is below the Purchase Rate","OK")))))))))</f>
        <v/>
      </c>
      <c r="B79" s="29"/>
      <c r="C79" s="22"/>
      <c r="D79" s="22"/>
      <c r="E79" s="24"/>
      <c r="F79" s="22"/>
      <c r="G79" s="22"/>
      <c r="H79" s="22"/>
      <c r="I79" s="30" t="str">
        <f>IF(H79="","",IFERROR(INDEX(Codes!$B$2:$B$13,MATCH(H79,Codes!$A$2:$A$13,0)),""))</f>
        <v/>
      </c>
      <c r="J79" s="23"/>
      <c r="K79" s="23"/>
      <c r="L79" s="23"/>
      <c r="M79" s="23"/>
      <c r="N79" s="23"/>
      <c r="O79" s="23"/>
      <c r="P79" s="23"/>
      <c r="Q79" s="31"/>
      <c r="R79" s="32"/>
      <c r="S79" s="32"/>
      <c r="T79" s="33" t="str">
        <f t="shared" si="2"/>
        <v/>
      </c>
      <c r="U79" s="34"/>
      <c r="V79" s="35"/>
      <c r="W79" s="33" t="str">
        <f t="shared" si="3"/>
        <v/>
      </c>
    </row>
    <row r="80" spans="1:23" x14ac:dyDescent="0.35">
      <c r="A80" s="21" t="str">
        <f>IF(COUNTA(B80:H80,J80:S80,U80:V80)=0,"",IF((IF(B80="","PO Ref, ","")&amp;IF(C80="","Vendor, ","")&amp;IF(D80="","Store, ","")&amp;IF(F80="","Product Type, ","")&amp;IF(G80="","Category, ","")&amp;IF(H80="","HSN Code, ","")&amp;IF(Q80="","Qty, ","")&amp;IF(R80="","Purchase Rate, ","")&amp;IF(S80="","MRP, ",""))&lt;&gt;"","Missing: "&amp;LEFT(IF(B80="","PO Ref, ","")&amp;IF(C80="","Vendor, ","")&amp;IF(D80="","Store, ","")&amp;IF(F80="","Product Type, ","")&amp;IF(G80="","Category, ","")&amp;IF(H80="","HSN Code, ","")&amp;IF(Q80="","Qty, ","")&amp;IF(R80="","Purchase Rate, ","")&amp;IF(S80="","MRP, ",""),LEN(IF(B80="","PO Ref, ","")&amp;IF(C80="","Vendor, ","")&amp;IF(D80="","Store, ","")&amp;IF(F80="","Product Type, ","")&amp;IF(G80="","Category, ","")&amp;IF(H80="","HSN Code, ","")&amp;IF(Q80="","Qty, ","")&amp;IF(R80="","Purchase Rate, ","")&amp;IF(S80="","MRP, ",""))-2),IF(COUNTIF(Vendors!$B$3:$B$202,C80)=0,"Add vendor "&amp;C80&amp;" on the Vendors sheet",IF(ISNA(MATCH(H80,Codes!$A$2:$A$13,0)),"Pick the HSN Code from the list",IF(AND(E80&lt;&gt;"",COUNTIFS($C$3:$C$1002,C80,$E$3:$E$1002,E80,$F$3:$F$1002,"&lt;&gt;"&amp;F80)+COUNTIFS($C$3:$C$1002,C80,$E$3:$E$1002,E80,$G$3:$G$1002,"&lt;&gt;"&amp;G80)&gt;0),"Design "&amp;E80&amp;" has another Product Type or Category on another row",IF(COUNTIFS($F$3:$F$1002,F80,$G$3:$G$1002,G80,$H$3:$H$1002,"&lt;&gt;"&amp;H80)&gt;0,F80&amp;" + "&amp;G80&amp;" has another HSN Code on another row",IF(AND(V80&lt;&gt;"",U80=""),"Received Qty needs the Vendor Invoice No",IF(AND(U80&lt;&gt;"",COUNTIFS(Bills!$B$3:$B$302,U80,Bills!$C$3:$C$302,C80)=0),"Add bill "&amp;U80&amp;" of "&amp;C80&amp;" on the Bills sheet",IF(S80&lt;R80,"MRP is below the Purchase Rate","OK")))))))))</f>
        <v/>
      </c>
      <c r="B80" s="29"/>
      <c r="C80" s="22"/>
      <c r="D80" s="22"/>
      <c r="E80" s="24"/>
      <c r="F80" s="22"/>
      <c r="G80" s="22"/>
      <c r="H80" s="22"/>
      <c r="I80" s="30" t="str">
        <f>IF(H80="","",IFERROR(INDEX(Codes!$B$2:$B$13,MATCH(H80,Codes!$A$2:$A$13,0)),""))</f>
        <v/>
      </c>
      <c r="J80" s="23"/>
      <c r="K80" s="23"/>
      <c r="L80" s="23"/>
      <c r="M80" s="23"/>
      <c r="N80" s="23"/>
      <c r="O80" s="23"/>
      <c r="P80" s="23"/>
      <c r="Q80" s="31"/>
      <c r="R80" s="32"/>
      <c r="S80" s="32"/>
      <c r="T80" s="33" t="str">
        <f t="shared" si="2"/>
        <v/>
      </c>
      <c r="U80" s="34"/>
      <c r="V80" s="35"/>
      <c r="W80" s="33" t="str">
        <f t="shared" si="3"/>
        <v/>
      </c>
    </row>
    <row r="81" spans="1:23" x14ac:dyDescent="0.35">
      <c r="A81" s="21" t="str">
        <f>IF(COUNTA(B81:H81,J81:S81,U81:V81)=0,"",IF((IF(B81="","PO Ref, ","")&amp;IF(C81="","Vendor, ","")&amp;IF(D81="","Store, ","")&amp;IF(F81="","Product Type, ","")&amp;IF(G81="","Category, ","")&amp;IF(H81="","HSN Code, ","")&amp;IF(Q81="","Qty, ","")&amp;IF(R81="","Purchase Rate, ","")&amp;IF(S81="","MRP, ",""))&lt;&gt;"","Missing: "&amp;LEFT(IF(B81="","PO Ref, ","")&amp;IF(C81="","Vendor, ","")&amp;IF(D81="","Store, ","")&amp;IF(F81="","Product Type, ","")&amp;IF(G81="","Category, ","")&amp;IF(H81="","HSN Code, ","")&amp;IF(Q81="","Qty, ","")&amp;IF(R81="","Purchase Rate, ","")&amp;IF(S81="","MRP, ",""),LEN(IF(B81="","PO Ref, ","")&amp;IF(C81="","Vendor, ","")&amp;IF(D81="","Store, ","")&amp;IF(F81="","Product Type, ","")&amp;IF(G81="","Category, ","")&amp;IF(H81="","HSN Code, ","")&amp;IF(Q81="","Qty, ","")&amp;IF(R81="","Purchase Rate, ","")&amp;IF(S81="","MRP, ",""))-2),IF(COUNTIF(Vendors!$B$3:$B$202,C81)=0,"Add vendor "&amp;C81&amp;" on the Vendors sheet",IF(ISNA(MATCH(H81,Codes!$A$2:$A$13,0)),"Pick the HSN Code from the list",IF(AND(E81&lt;&gt;"",COUNTIFS($C$3:$C$1002,C81,$E$3:$E$1002,E81,$F$3:$F$1002,"&lt;&gt;"&amp;F81)+COUNTIFS($C$3:$C$1002,C81,$E$3:$E$1002,E81,$G$3:$G$1002,"&lt;&gt;"&amp;G81)&gt;0),"Design "&amp;E81&amp;" has another Product Type or Category on another row",IF(COUNTIFS($F$3:$F$1002,F81,$G$3:$G$1002,G81,$H$3:$H$1002,"&lt;&gt;"&amp;H81)&gt;0,F81&amp;" + "&amp;G81&amp;" has another HSN Code on another row",IF(AND(V81&lt;&gt;"",U81=""),"Received Qty needs the Vendor Invoice No",IF(AND(U81&lt;&gt;"",COUNTIFS(Bills!$B$3:$B$302,U81,Bills!$C$3:$C$302,C81)=0),"Add bill "&amp;U81&amp;" of "&amp;C81&amp;" on the Bills sheet",IF(S81&lt;R81,"MRP is below the Purchase Rate","OK")))))))))</f>
        <v/>
      </c>
      <c r="B81" s="29"/>
      <c r="C81" s="22"/>
      <c r="D81" s="22"/>
      <c r="E81" s="24"/>
      <c r="F81" s="22"/>
      <c r="G81" s="22"/>
      <c r="H81" s="22"/>
      <c r="I81" s="30" t="str">
        <f>IF(H81="","",IFERROR(INDEX(Codes!$B$2:$B$13,MATCH(H81,Codes!$A$2:$A$13,0)),""))</f>
        <v/>
      </c>
      <c r="J81" s="23"/>
      <c r="K81" s="23"/>
      <c r="L81" s="23"/>
      <c r="M81" s="23"/>
      <c r="N81" s="23"/>
      <c r="O81" s="23"/>
      <c r="P81" s="23"/>
      <c r="Q81" s="31"/>
      <c r="R81" s="32"/>
      <c r="S81" s="32"/>
      <c r="T81" s="33" t="str">
        <f t="shared" si="2"/>
        <v/>
      </c>
      <c r="U81" s="34"/>
      <c r="V81" s="35"/>
      <c r="W81" s="33" t="str">
        <f t="shared" si="3"/>
        <v/>
      </c>
    </row>
    <row r="82" spans="1:23" x14ac:dyDescent="0.35">
      <c r="A82" s="21" t="str">
        <f>IF(COUNTA(B82:H82,J82:S82,U82:V82)=0,"",IF((IF(B82="","PO Ref, ","")&amp;IF(C82="","Vendor, ","")&amp;IF(D82="","Store, ","")&amp;IF(F82="","Product Type, ","")&amp;IF(G82="","Category, ","")&amp;IF(H82="","HSN Code, ","")&amp;IF(Q82="","Qty, ","")&amp;IF(R82="","Purchase Rate, ","")&amp;IF(S82="","MRP, ",""))&lt;&gt;"","Missing: "&amp;LEFT(IF(B82="","PO Ref, ","")&amp;IF(C82="","Vendor, ","")&amp;IF(D82="","Store, ","")&amp;IF(F82="","Product Type, ","")&amp;IF(G82="","Category, ","")&amp;IF(H82="","HSN Code, ","")&amp;IF(Q82="","Qty, ","")&amp;IF(R82="","Purchase Rate, ","")&amp;IF(S82="","MRP, ",""),LEN(IF(B82="","PO Ref, ","")&amp;IF(C82="","Vendor, ","")&amp;IF(D82="","Store, ","")&amp;IF(F82="","Product Type, ","")&amp;IF(G82="","Category, ","")&amp;IF(H82="","HSN Code, ","")&amp;IF(Q82="","Qty, ","")&amp;IF(R82="","Purchase Rate, ","")&amp;IF(S82="","MRP, ",""))-2),IF(COUNTIF(Vendors!$B$3:$B$202,C82)=0,"Add vendor "&amp;C82&amp;" on the Vendors sheet",IF(ISNA(MATCH(H82,Codes!$A$2:$A$13,0)),"Pick the HSN Code from the list",IF(AND(E82&lt;&gt;"",COUNTIFS($C$3:$C$1002,C82,$E$3:$E$1002,E82,$F$3:$F$1002,"&lt;&gt;"&amp;F82)+COUNTIFS($C$3:$C$1002,C82,$E$3:$E$1002,E82,$G$3:$G$1002,"&lt;&gt;"&amp;G82)&gt;0),"Design "&amp;E82&amp;" has another Product Type or Category on another row",IF(COUNTIFS($F$3:$F$1002,F82,$G$3:$G$1002,G82,$H$3:$H$1002,"&lt;&gt;"&amp;H82)&gt;0,F82&amp;" + "&amp;G82&amp;" has another HSN Code on another row",IF(AND(V82&lt;&gt;"",U82=""),"Received Qty needs the Vendor Invoice No",IF(AND(U82&lt;&gt;"",COUNTIFS(Bills!$B$3:$B$302,U82,Bills!$C$3:$C$302,C82)=0),"Add bill "&amp;U82&amp;" of "&amp;C82&amp;" on the Bills sheet",IF(S82&lt;R82,"MRP is below the Purchase Rate","OK")))))))))</f>
        <v/>
      </c>
      <c r="B82" s="29"/>
      <c r="C82" s="22"/>
      <c r="D82" s="22"/>
      <c r="E82" s="24"/>
      <c r="F82" s="22"/>
      <c r="G82" s="22"/>
      <c r="H82" s="22"/>
      <c r="I82" s="30" t="str">
        <f>IF(H82="","",IFERROR(INDEX(Codes!$B$2:$B$13,MATCH(H82,Codes!$A$2:$A$13,0)),""))</f>
        <v/>
      </c>
      <c r="J82" s="23"/>
      <c r="K82" s="23"/>
      <c r="L82" s="23"/>
      <c r="M82" s="23"/>
      <c r="N82" s="23"/>
      <c r="O82" s="23"/>
      <c r="P82" s="23"/>
      <c r="Q82" s="31"/>
      <c r="R82" s="32"/>
      <c r="S82" s="32"/>
      <c r="T82" s="33" t="str">
        <f t="shared" si="2"/>
        <v/>
      </c>
      <c r="U82" s="34"/>
      <c r="V82" s="35"/>
      <c r="W82" s="33" t="str">
        <f t="shared" si="3"/>
        <v/>
      </c>
    </row>
    <row r="83" spans="1:23" x14ac:dyDescent="0.35">
      <c r="A83" s="21" t="str">
        <f>IF(COUNTA(B83:H83,J83:S83,U83:V83)=0,"",IF((IF(B83="","PO Ref, ","")&amp;IF(C83="","Vendor, ","")&amp;IF(D83="","Store, ","")&amp;IF(F83="","Product Type, ","")&amp;IF(G83="","Category, ","")&amp;IF(H83="","HSN Code, ","")&amp;IF(Q83="","Qty, ","")&amp;IF(R83="","Purchase Rate, ","")&amp;IF(S83="","MRP, ",""))&lt;&gt;"","Missing: "&amp;LEFT(IF(B83="","PO Ref, ","")&amp;IF(C83="","Vendor, ","")&amp;IF(D83="","Store, ","")&amp;IF(F83="","Product Type, ","")&amp;IF(G83="","Category, ","")&amp;IF(H83="","HSN Code, ","")&amp;IF(Q83="","Qty, ","")&amp;IF(R83="","Purchase Rate, ","")&amp;IF(S83="","MRP, ",""),LEN(IF(B83="","PO Ref, ","")&amp;IF(C83="","Vendor, ","")&amp;IF(D83="","Store, ","")&amp;IF(F83="","Product Type, ","")&amp;IF(G83="","Category, ","")&amp;IF(H83="","HSN Code, ","")&amp;IF(Q83="","Qty, ","")&amp;IF(R83="","Purchase Rate, ","")&amp;IF(S83="","MRP, ",""))-2),IF(COUNTIF(Vendors!$B$3:$B$202,C83)=0,"Add vendor "&amp;C83&amp;" on the Vendors sheet",IF(ISNA(MATCH(H83,Codes!$A$2:$A$13,0)),"Pick the HSN Code from the list",IF(AND(E83&lt;&gt;"",COUNTIFS($C$3:$C$1002,C83,$E$3:$E$1002,E83,$F$3:$F$1002,"&lt;&gt;"&amp;F83)+COUNTIFS($C$3:$C$1002,C83,$E$3:$E$1002,E83,$G$3:$G$1002,"&lt;&gt;"&amp;G83)&gt;0),"Design "&amp;E83&amp;" has another Product Type or Category on another row",IF(COUNTIFS($F$3:$F$1002,F83,$G$3:$G$1002,G83,$H$3:$H$1002,"&lt;&gt;"&amp;H83)&gt;0,F83&amp;" + "&amp;G83&amp;" has another HSN Code on another row",IF(AND(V83&lt;&gt;"",U83=""),"Received Qty needs the Vendor Invoice No",IF(AND(U83&lt;&gt;"",COUNTIFS(Bills!$B$3:$B$302,U83,Bills!$C$3:$C$302,C83)=0),"Add bill "&amp;U83&amp;" of "&amp;C83&amp;" on the Bills sheet",IF(S83&lt;R83,"MRP is below the Purchase Rate","OK")))))))))</f>
        <v/>
      </c>
      <c r="B83" s="29"/>
      <c r="C83" s="22"/>
      <c r="D83" s="22"/>
      <c r="E83" s="24"/>
      <c r="F83" s="22"/>
      <c r="G83" s="22"/>
      <c r="H83" s="22"/>
      <c r="I83" s="30" t="str">
        <f>IF(H83="","",IFERROR(INDEX(Codes!$B$2:$B$13,MATCH(H83,Codes!$A$2:$A$13,0)),""))</f>
        <v/>
      </c>
      <c r="J83" s="23"/>
      <c r="K83" s="23"/>
      <c r="L83" s="23"/>
      <c r="M83" s="23"/>
      <c r="N83" s="23"/>
      <c r="O83" s="23"/>
      <c r="P83" s="23"/>
      <c r="Q83" s="31"/>
      <c r="R83" s="32"/>
      <c r="S83" s="32"/>
      <c r="T83" s="33" t="str">
        <f t="shared" si="2"/>
        <v/>
      </c>
      <c r="U83" s="34"/>
      <c r="V83" s="35"/>
      <c r="W83" s="33" t="str">
        <f t="shared" si="3"/>
        <v/>
      </c>
    </row>
    <row r="84" spans="1:23" x14ac:dyDescent="0.35">
      <c r="A84" s="21" t="str">
        <f>IF(COUNTA(B84:H84,J84:S84,U84:V84)=0,"",IF((IF(B84="","PO Ref, ","")&amp;IF(C84="","Vendor, ","")&amp;IF(D84="","Store, ","")&amp;IF(F84="","Product Type, ","")&amp;IF(G84="","Category, ","")&amp;IF(H84="","HSN Code, ","")&amp;IF(Q84="","Qty, ","")&amp;IF(R84="","Purchase Rate, ","")&amp;IF(S84="","MRP, ",""))&lt;&gt;"","Missing: "&amp;LEFT(IF(B84="","PO Ref, ","")&amp;IF(C84="","Vendor, ","")&amp;IF(D84="","Store, ","")&amp;IF(F84="","Product Type, ","")&amp;IF(G84="","Category, ","")&amp;IF(H84="","HSN Code, ","")&amp;IF(Q84="","Qty, ","")&amp;IF(R84="","Purchase Rate, ","")&amp;IF(S84="","MRP, ",""),LEN(IF(B84="","PO Ref, ","")&amp;IF(C84="","Vendor, ","")&amp;IF(D84="","Store, ","")&amp;IF(F84="","Product Type, ","")&amp;IF(G84="","Category, ","")&amp;IF(H84="","HSN Code, ","")&amp;IF(Q84="","Qty, ","")&amp;IF(R84="","Purchase Rate, ","")&amp;IF(S84="","MRP, ",""))-2),IF(COUNTIF(Vendors!$B$3:$B$202,C84)=0,"Add vendor "&amp;C84&amp;" on the Vendors sheet",IF(ISNA(MATCH(H84,Codes!$A$2:$A$13,0)),"Pick the HSN Code from the list",IF(AND(E84&lt;&gt;"",COUNTIFS($C$3:$C$1002,C84,$E$3:$E$1002,E84,$F$3:$F$1002,"&lt;&gt;"&amp;F84)+COUNTIFS($C$3:$C$1002,C84,$E$3:$E$1002,E84,$G$3:$G$1002,"&lt;&gt;"&amp;G84)&gt;0),"Design "&amp;E84&amp;" has another Product Type or Category on another row",IF(COUNTIFS($F$3:$F$1002,F84,$G$3:$G$1002,G84,$H$3:$H$1002,"&lt;&gt;"&amp;H84)&gt;0,F84&amp;" + "&amp;G84&amp;" has another HSN Code on another row",IF(AND(V84&lt;&gt;"",U84=""),"Received Qty needs the Vendor Invoice No",IF(AND(U84&lt;&gt;"",COUNTIFS(Bills!$B$3:$B$302,U84,Bills!$C$3:$C$302,C84)=0),"Add bill "&amp;U84&amp;" of "&amp;C84&amp;" on the Bills sheet",IF(S84&lt;R84,"MRP is below the Purchase Rate","OK")))))))))</f>
        <v/>
      </c>
      <c r="B84" s="29"/>
      <c r="C84" s="22"/>
      <c r="D84" s="22"/>
      <c r="E84" s="24"/>
      <c r="F84" s="22"/>
      <c r="G84" s="22"/>
      <c r="H84" s="22"/>
      <c r="I84" s="30" t="str">
        <f>IF(H84="","",IFERROR(INDEX(Codes!$B$2:$B$13,MATCH(H84,Codes!$A$2:$A$13,0)),""))</f>
        <v/>
      </c>
      <c r="J84" s="23"/>
      <c r="K84" s="23"/>
      <c r="L84" s="23"/>
      <c r="M84" s="23"/>
      <c r="N84" s="23"/>
      <c r="O84" s="23"/>
      <c r="P84" s="23"/>
      <c r="Q84" s="31"/>
      <c r="R84" s="32"/>
      <c r="S84" s="32"/>
      <c r="T84" s="33" t="str">
        <f t="shared" si="2"/>
        <v/>
      </c>
      <c r="U84" s="34"/>
      <c r="V84" s="35"/>
      <c r="W84" s="33" t="str">
        <f t="shared" si="3"/>
        <v/>
      </c>
    </row>
    <row r="85" spans="1:23" x14ac:dyDescent="0.35">
      <c r="A85" s="21" t="str">
        <f>IF(COUNTA(B85:H85,J85:S85,U85:V85)=0,"",IF((IF(B85="","PO Ref, ","")&amp;IF(C85="","Vendor, ","")&amp;IF(D85="","Store, ","")&amp;IF(F85="","Product Type, ","")&amp;IF(G85="","Category, ","")&amp;IF(H85="","HSN Code, ","")&amp;IF(Q85="","Qty, ","")&amp;IF(R85="","Purchase Rate, ","")&amp;IF(S85="","MRP, ",""))&lt;&gt;"","Missing: "&amp;LEFT(IF(B85="","PO Ref, ","")&amp;IF(C85="","Vendor, ","")&amp;IF(D85="","Store, ","")&amp;IF(F85="","Product Type, ","")&amp;IF(G85="","Category, ","")&amp;IF(H85="","HSN Code, ","")&amp;IF(Q85="","Qty, ","")&amp;IF(R85="","Purchase Rate, ","")&amp;IF(S85="","MRP, ",""),LEN(IF(B85="","PO Ref, ","")&amp;IF(C85="","Vendor, ","")&amp;IF(D85="","Store, ","")&amp;IF(F85="","Product Type, ","")&amp;IF(G85="","Category, ","")&amp;IF(H85="","HSN Code, ","")&amp;IF(Q85="","Qty, ","")&amp;IF(R85="","Purchase Rate, ","")&amp;IF(S85="","MRP, ",""))-2),IF(COUNTIF(Vendors!$B$3:$B$202,C85)=0,"Add vendor "&amp;C85&amp;" on the Vendors sheet",IF(ISNA(MATCH(H85,Codes!$A$2:$A$13,0)),"Pick the HSN Code from the list",IF(AND(E85&lt;&gt;"",COUNTIFS($C$3:$C$1002,C85,$E$3:$E$1002,E85,$F$3:$F$1002,"&lt;&gt;"&amp;F85)+COUNTIFS($C$3:$C$1002,C85,$E$3:$E$1002,E85,$G$3:$G$1002,"&lt;&gt;"&amp;G85)&gt;0),"Design "&amp;E85&amp;" has another Product Type or Category on another row",IF(COUNTIFS($F$3:$F$1002,F85,$G$3:$G$1002,G85,$H$3:$H$1002,"&lt;&gt;"&amp;H85)&gt;0,F85&amp;" + "&amp;G85&amp;" has another HSN Code on another row",IF(AND(V85&lt;&gt;"",U85=""),"Received Qty needs the Vendor Invoice No",IF(AND(U85&lt;&gt;"",COUNTIFS(Bills!$B$3:$B$302,U85,Bills!$C$3:$C$302,C85)=0),"Add bill "&amp;U85&amp;" of "&amp;C85&amp;" on the Bills sheet",IF(S85&lt;R85,"MRP is below the Purchase Rate","OK")))))))))</f>
        <v/>
      </c>
      <c r="B85" s="29"/>
      <c r="C85" s="22"/>
      <c r="D85" s="22"/>
      <c r="E85" s="24"/>
      <c r="F85" s="22"/>
      <c r="G85" s="22"/>
      <c r="H85" s="22"/>
      <c r="I85" s="30" t="str">
        <f>IF(H85="","",IFERROR(INDEX(Codes!$B$2:$B$13,MATCH(H85,Codes!$A$2:$A$13,0)),""))</f>
        <v/>
      </c>
      <c r="J85" s="23"/>
      <c r="K85" s="23"/>
      <c r="L85" s="23"/>
      <c r="M85" s="23"/>
      <c r="N85" s="23"/>
      <c r="O85" s="23"/>
      <c r="P85" s="23"/>
      <c r="Q85" s="31"/>
      <c r="R85" s="32"/>
      <c r="S85" s="32"/>
      <c r="T85" s="33" t="str">
        <f t="shared" si="2"/>
        <v/>
      </c>
      <c r="U85" s="34"/>
      <c r="V85" s="35"/>
      <c r="W85" s="33" t="str">
        <f t="shared" si="3"/>
        <v/>
      </c>
    </row>
    <row r="86" spans="1:23" x14ac:dyDescent="0.35">
      <c r="A86" s="21" t="str">
        <f>IF(COUNTA(B86:H86,J86:S86,U86:V86)=0,"",IF((IF(B86="","PO Ref, ","")&amp;IF(C86="","Vendor, ","")&amp;IF(D86="","Store, ","")&amp;IF(F86="","Product Type, ","")&amp;IF(G86="","Category, ","")&amp;IF(H86="","HSN Code, ","")&amp;IF(Q86="","Qty, ","")&amp;IF(R86="","Purchase Rate, ","")&amp;IF(S86="","MRP, ",""))&lt;&gt;"","Missing: "&amp;LEFT(IF(B86="","PO Ref, ","")&amp;IF(C86="","Vendor, ","")&amp;IF(D86="","Store, ","")&amp;IF(F86="","Product Type, ","")&amp;IF(G86="","Category, ","")&amp;IF(H86="","HSN Code, ","")&amp;IF(Q86="","Qty, ","")&amp;IF(R86="","Purchase Rate, ","")&amp;IF(S86="","MRP, ",""),LEN(IF(B86="","PO Ref, ","")&amp;IF(C86="","Vendor, ","")&amp;IF(D86="","Store, ","")&amp;IF(F86="","Product Type, ","")&amp;IF(G86="","Category, ","")&amp;IF(H86="","HSN Code, ","")&amp;IF(Q86="","Qty, ","")&amp;IF(R86="","Purchase Rate, ","")&amp;IF(S86="","MRP, ",""))-2),IF(COUNTIF(Vendors!$B$3:$B$202,C86)=0,"Add vendor "&amp;C86&amp;" on the Vendors sheet",IF(ISNA(MATCH(H86,Codes!$A$2:$A$13,0)),"Pick the HSN Code from the list",IF(AND(E86&lt;&gt;"",COUNTIFS($C$3:$C$1002,C86,$E$3:$E$1002,E86,$F$3:$F$1002,"&lt;&gt;"&amp;F86)+COUNTIFS($C$3:$C$1002,C86,$E$3:$E$1002,E86,$G$3:$G$1002,"&lt;&gt;"&amp;G86)&gt;0),"Design "&amp;E86&amp;" has another Product Type or Category on another row",IF(COUNTIFS($F$3:$F$1002,F86,$G$3:$G$1002,G86,$H$3:$H$1002,"&lt;&gt;"&amp;H86)&gt;0,F86&amp;" + "&amp;G86&amp;" has another HSN Code on another row",IF(AND(V86&lt;&gt;"",U86=""),"Received Qty needs the Vendor Invoice No",IF(AND(U86&lt;&gt;"",COUNTIFS(Bills!$B$3:$B$302,U86,Bills!$C$3:$C$302,C86)=0),"Add bill "&amp;U86&amp;" of "&amp;C86&amp;" on the Bills sheet",IF(S86&lt;R86,"MRP is below the Purchase Rate","OK")))))))))</f>
        <v/>
      </c>
      <c r="B86" s="29"/>
      <c r="C86" s="22"/>
      <c r="D86" s="22"/>
      <c r="E86" s="24"/>
      <c r="F86" s="22"/>
      <c r="G86" s="22"/>
      <c r="H86" s="22"/>
      <c r="I86" s="30" t="str">
        <f>IF(H86="","",IFERROR(INDEX(Codes!$B$2:$B$13,MATCH(H86,Codes!$A$2:$A$13,0)),""))</f>
        <v/>
      </c>
      <c r="J86" s="23"/>
      <c r="K86" s="23"/>
      <c r="L86" s="23"/>
      <c r="M86" s="23"/>
      <c r="N86" s="23"/>
      <c r="O86" s="23"/>
      <c r="P86" s="23"/>
      <c r="Q86" s="31"/>
      <c r="R86" s="32"/>
      <c r="S86" s="32"/>
      <c r="T86" s="33" t="str">
        <f t="shared" si="2"/>
        <v/>
      </c>
      <c r="U86" s="34"/>
      <c r="V86" s="35"/>
      <c r="W86" s="33" t="str">
        <f t="shared" si="3"/>
        <v/>
      </c>
    </row>
    <row r="87" spans="1:23" x14ac:dyDescent="0.35">
      <c r="A87" s="21" t="str">
        <f>IF(COUNTA(B87:H87,J87:S87,U87:V87)=0,"",IF((IF(B87="","PO Ref, ","")&amp;IF(C87="","Vendor, ","")&amp;IF(D87="","Store, ","")&amp;IF(F87="","Product Type, ","")&amp;IF(G87="","Category, ","")&amp;IF(H87="","HSN Code, ","")&amp;IF(Q87="","Qty, ","")&amp;IF(R87="","Purchase Rate, ","")&amp;IF(S87="","MRP, ",""))&lt;&gt;"","Missing: "&amp;LEFT(IF(B87="","PO Ref, ","")&amp;IF(C87="","Vendor, ","")&amp;IF(D87="","Store, ","")&amp;IF(F87="","Product Type, ","")&amp;IF(G87="","Category, ","")&amp;IF(H87="","HSN Code, ","")&amp;IF(Q87="","Qty, ","")&amp;IF(R87="","Purchase Rate, ","")&amp;IF(S87="","MRP, ",""),LEN(IF(B87="","PO Ref, ","")&amp;IF(C87="","Vendor, ","")&amp;IF(D87="","Store, ","")&amp;IF(F87="","Product Type, ","")&amp;IF(G87="","Category, ","")&amp;IF(H87="","HSN Code, ","")&amp;IF(Q87="","Qty, ","")&amp;IF(R87="","Purchase Rate, ","")&amp;IF(S87="","MRP, ",""))-2),IF(COUNTIF(Vendors!$B$3:$B$202,C87)=0,"Add vendor "&amp;C87&amp;" on the Vendors sheet",IF(ISNA(MATCH(H87,Codes!$A$2:$A$13,0)),"Pick the HSN Code from the list",IF(AND(E87&lt;&gt;"",COUNTIFS($C$3:$C$1002,C87,$E$3:$E$1002,E87,$F$3:$F$1002,"&lt;&gt;"&amp;F87)+COUNTIFS($C$3:$C$1002,C87,$E$3:$E$1002,E87,$G$3:$G$1002,"&lt;&gt;"&amp;G87)&gt;0),"Design "&amp;E87&amp;" has another Product Type or Category on another row",IF(COUNTIFS($F$3:$F$1002,F87,$G$3:$G$1002,G87,$H$3:$H$1002,"&lt;&gt;"&amp;H87)&gt;0,F87&amp;" + "&amp;G87&amp;" has another HSN Code on another row",IF(AND(V87&lt;&gt;"",U87=""),"Received Qty needs the Vendor Invoice No",IF(AND(U87&lt;&gt;"",COUNTIFS(Bills!$B$3:$B$302,U87,Bills!$C$3:$C$302,C87)=0),"Add bill "&amp;U87&amp;" of "&amp;C87&amp;" on the Bills sheet",IF(S87&lt;R87,"MRP is below the Purchase Rate","OK")))))))))</f>
        <v/>
      </c>
      <c r="B87" s="29"/>
      <c r="C87" s="22"/>
      <c r="D87" s="22"/>
      <c r="E87" s="24"/>
      <c r="F87" s="22"/>
      <c r="G87" s="22"/>
      <c r="H87" s="22"/>
      <c r="I87" s="30" t="str">
        <f>IF(H87="","",IFERROR(INDEX(Codes!$B$2:$B$13,MATCH(H87,Codes!$A$2:$A$13,0)),""))</f>
        <v/>
      </c>
      <c r="J87" s="23"/>
      <c r="K87" s="23"/>
      <c r="L87" s="23"/>
      <c r="M87" s="23"/>
      <c r="N87" s="23"/>
      <c r="O87" s="23"/>
      <c r="P87" s="23"/>
      <c r="Q87" s="31"/>
      <c r="R87" s="32"/>
      <c r="S87" s="32"/>
      <c r="T87" s="33" t="str">
        <f t="shared" si="2"/>
        <v/>
      </c>
      <c r="U87" s="34"/>
      <c r="V87" s="35"/>
      <c r="W87" s="33" t="str">
        <f t="shared" si="3"/>
        <v/>
      </c>
    </row>
    <row r="88" spans="1:23" x14ac:dyDescent="0.35">
      <c r="A88" s="21" t="str">
        <f>IF(COUNTA(B88:H88,J88:S88,U88:V88)=0,"",IF((IF(B88="","PO Ref, ","")&amp;IF(C88="","Vendor, ","")&amp;IF(D88="","Store, ","")&amp;IF(F88="","Product Type, ","")&amp;IF(G88="","Category, ","")&amp;IF(H88="","HSN Code, ","")&amp;IF(Q88="","Qty, ","")&amp;IF(R88="","Purchase Rate, ","")&amp;IF(S88="","MRP, ",""))&lt;&gt;"","Missing: "&amp;LEFT(IF(B88="","PO Ref, ","")&amp;IF(C88="","Vendor, ","")&amp;IF(D88="","Store, ","")&amp;IF(F88="","Product Type, ","")&amp;IF(G88="","Category, ","")&amp;IF(H88="","HSN Code, ","")&amp;IF(Q88="","Qty, ","")&amp;IF(R88="","Purchase Rate, ","")&amp;IF(S88="","MRP, ",""),LEN(IF(B88="","PO Ref, ","")&amp;IF(C88="","Vendor, ","")&amp;IF(D88="","Store, ","")&amp;IF(F88="","Product Type, ","")&amp;IF(G88="","Category, ","")&amp;IF(H88="","HSN Code, ","")&amp;IF(Q88="","Qty, ","")&amp;IF(R88="","Purchase Rate, ","")&amp;IF(S88="","MRP, ",""))-2),IF(COUNTIF(Vendors!$B$3:$B$202,C88)=0,"Add vendor "&amp;C88&amp;" on the Vendors sheet",IF(ISNA(MATCH(H88,Codes!$A$2:$A$13,0)),"Pick the HSN Code from the list",IF(AND(E88&lt;&gt;"",COUNTIFS($C$3:$C$1002,C88,$E$3:$E$1002,E88,$F$3:$F$1002,"&lt;&gt;"&amp;F88)+COUNTIFS($C$3:$C$1002,C88,$E$3:$E$1002,E88,$G$3:$G$1002,"&lt;&gt;"&amp;G88)&gt;0),"Design "&amp;E88&amp;" has another Product Type or Category on another row",IF(COUNTIFS($F$3:$F$1002,F88,$G$3:$G$1002,G88,$H$3:$H$1002,"&lt;&gt;"&amp;H88)&gt;0,F88&amp;" + "&amp;G88&amp;" has another HSN Code on another row",IF(AND(V88&lt;&gt;"",U88=""),"Received Qty needs the Vendor Invoice No",IF(AND(U88&lt;&gt;"",COUNTIFS(Bills!$B$3:$B$302,U88,Bills!$C$3:$C$302,C88)=0),"Add bill "&amp;U88&amp;" of "&amp;C88&amp;" on the Bills sheet",IF(S88&lt;R88,"MRP is below the Purchase Rate","OK")))))))))</f>
        <v/>
      </c>
      <c r="B88" s="29"/>
      <c r="C88" s="22"/>
      <c r="D88" s="22"/>
      <c r="E88" s="24"/>
      <c r="F88" s="22"/>
      <c r="G88" s="22"/>
      <c r="H88" s="22"/>
      <c r="I88" s="30" t="str">
        <f>IF(H88="","",IFERROR(INDEX(Codes!$B$2:$B$13,MATCH(H88,Codes!$A$2:$A$13,0)),""))</f>
        <v/>
      </c>
      <c r="J88" s="23"/>
      <c r="K88" s="23"/>
      <c r="L88" s="23"/>
      <c r="M88" s="23"/>
      <c r="N88" s="23"/>
      <c r="O88" s="23"/>
      <c r="P88" s="23"/>
      <c r="Q88" s="31"/>
      <c r="R88" s="32"/>
      <c r="S88" s="32"/>
      <c r="T88" s="33" t="str">
        <f t="shared" si="2"/>
        <v/>
      </c>
      <c r="U88" s="34"/>
      <c r="V88" s="35"/>
      <c r="W88" s="33" t="str">
        <f t="shared" si="3"/>
        <v/>
      </c>
    </row>
    <row r="89" spans="1:23" x14ac:dyDescent="0.35">
      <c r="A89" s="21" t="str">
        <f>IF(COUNTA(B89:H89,J89:S89,U89:V89)=0,"",IF((IF(B89="","PO Ref, ","")&amp;IF(C89="","Vendor, ","")&amp;IF(D89="","Store, ","")&amp;IF(F89="","Product Type, ","")&amp;IF(G89="","Category, ","")&amp;IF(H89="","HSN Code, ","")&amp;IF(Q89="","Qty, ","")&amp;IF(R89="","Purchase Rate, ","")&amp;IF(S89="","MRP, ",""))&lt;&gt;"","Missing: "&amp;LEFT(IF(B89="","PO Ref, ","")&amp;IF(C89="","Vendor, ","")&amp;IF(D89="","Store, ","")&amp;IF(F89="","Product Type, ","")&amp;IF(G89="","Category, ","")&amp;IF(H89="","HSN Code, ","")&amp;IF(Q89="","Qty, ","")&amp;IF(R89="","Purchase Rate, ","")&amp;IF(S89="","MRP, ",""),LEN(IF(B89="","PO Ref, ","")&amp;IF(C89="","Vendor, ","")&amp;IF(D89="","Store, ","")&amp;IF(F89="","Product Type, ","")&amp;IF(G89="","Category, ","")&amp;IF(H89="","HSN Code, ","")&amp;IF(Q89="","Qty, ","")&amp;IF(R89="","Purchase Rate, ","")&amp;IF(S89="","MRP, ",""))-2),IF(COUNTIF(Vendors!$B$3:$B$202,C89)=0,"Add vendor "&amp;C89&amp;" on the Vendors sheet",IF(ISNA(MATCH(H89,Codes!$A$2:$A$13,0)),"Pick the HSN Code from the list",IF(AND(E89&lt;&gt;"",COUNTIFS($C$3:$C$1002,C89,$E$3:$E$1002,E89,$F$3:$F$1002,"&lt;&gt;"&amp;F89)+COUNTIFS($C$3:$C$1002,C89,$E$3:$E$1002,E89,$G$3:$G$1002,"&lt;&gt;"&amp;G89)&gt;0),"Design "&amp;E89&amp;" has another Product Type or Category on another row",IF(COUNTIFS($F$3:$F$1002,F89,$G$3:$G$1002,G89,$H$3:$H$1002,"&lt;&gt;"&amp;H89)&gt;0,F89&amp;" + "&amp;G89&amp;" has another HSN Code on another row",IF(AND(V89&lt;&gt;"",U89=""),"Received Qty needs the Vendor Invoice No",IF(AND(U89&lt;&gt;"",COUNTIFS(Bills!$B$3:$B$302,U89,Bills!$C$3:$C$302,C89)=0),"Add bill "&amp;U89&amp;" of "&amp;C89&amp;" on the Bills sheet",IF(S89&lt;R89,"MRP is below the Purchase Rate","OK")))))))))</f>
        <v/>
      </c>
      <c r="B89" s="29"/>
      <c r="C89" s="22"/>
      <c r="D89" s="22"/>
      <c r="E89" s="24"/>
      <c r="F89" s="22"/>
      <c r="G89" s="22"/>
      <c r="H89" s="22"/>
      <c r="I89" s="30" t="str">
        <f>IF(H89="","",IFERROR(INDEX(Codes!$B$2:$B$13,MATCH(H89,Codes!$A$2:$A$13,0)),""))</f>
        <v/>
      </c>
      <c r="J89" s="23"/>
      <c r="K89" s="23"/>
      <c r="L89" s="23"/>
      <c r="M89" s="23"/>
      <c r="N89" s="23"/>
      <c r="O89" s="23"/>
      <c r="P89" s="23"/>
      <c r="Q89" s="31"/>
      <c r="R89" s="32"/>
      <c r="S89" s="32"/>
      <c r="T89" s="33" t="str">
        <f t="shared" si="2"/>
        <v/>
      </c>
      <c r="U89" s="34"/>
      <c r="V89" s="35"/>
      <c r="W89" s="33" t="str">
        <f t="shared" si="3"/>
        <v/>
      </c>
    </row>
    <row r="90" spans="1:23" x14ac:dyDescent="0.35">
      <c r="A90" s="21" t="str">
        <f>IF(COUNTA(B90:H90,J90:S90,U90:V90)=0,"",IF((IF(B90="","PO Ref, ","")&amp;IF(C90="","Vendor, ","")&amp;IF(D90="","Store, ","")&amp;IF(F90="","Product Type, ","")&amp;IF(G90="","Category, ","")&amp;IF(H90="","HSN Code, ","")&amp;IF(Q90="","Qty, ","")&amp;IF(R90="","Purchase Rate, ","")&amp;IF(S90="","MRP, ",""))&lt;&gt;"","Missing: "&amp;LEFT(IF(B90="","PO Ref, ","")&amp;IF(C90="","Vendor, ","")&amp;IF(D90="","Store, ","")&amp;IF(F90="","Product Type, ","")&amp;IF(G90="","Category, ","")&amp;IF(H90="","HSN Code, ","")&amp;IF(Q90="","Qty, ","")&amp;IF(R90="","Purchase Rate, ","")&amp;IF(S90="","MRP, ",""),LEN(IF(B90="","PO Ref, ","")&amp;IF(C90="","Vendor, ","")&amp;IF(D90="","Store, ","")&amp;IF(F90="","Product Type, ","")&amp;IF(G90="","Category, ","")&amp;IF(H90="","HSN Code, ","")&amp;IF(Q90="","Qty, ","")&amp;IF(R90="","Purchase Rate, ","")&amp;IF(S90="","MRP, ",""))-2),IF(COUNTIF(Vendors!$B$3:$B$202,C90)=0,"Add vendor "&amp;C90&amp;" on the Vendors sheet",IF(ISNA(MATCH(H90,Codes!$A$2:$A$13,0)),"Pick the HSN Code from the list",IF(AND(E90&lt;&gt;"",COUNTIFS($C$3:$C$1002,C90,$E$3:$E$1002,E90,$F$3:$F$1002,"&lt;&gt;"&amp;F90)+COUNTIFS($C$3:$C$1002,C90,$E$3:$E$1002,E90,$G$3:$G$1002,"&lt;&gt;"&amp;G90)&gt;0),"Design "&amp;E90&amp;" has another Product Type or Category on another row",IF(COUNTIFS($F$3:$F$1002,F90,$G$3:$G$1002,G90,$H$3:$H$1002,"&lt;&gt;"&amp;H90)&gt;0,F90&amp;" + "&amp;G90&amp;" has another HSN Code on another row",IF(AND(V90&lt;&gt;"",U90=""),"Received Qty needs the Vendor Invoice No",IF(AND(U90&lt;&gt;"",COUNTIFS(Bills!$B$3:$B$302,U90,Bills!$C$3:$C$302,C90)=0),"Add bill "&amp;U90&amp;" of "&amp;C90&amp;" on the Bills sheet",IF(S90&lt;R90,"MRP is below the Purchase Rate","OK")))))))))</f>
        <v/>
      </c>
      <c r="B90" s="29"/>
      <c r="C90" s="22"/>
      <c r="D90" s="22"/>
      <c r="E90" s="24"/>
      <c r="F90" s="22"/>
      <c r="G90" s="22"/>
      <c r="H90" s="22"/>
      <c r="I90" s="30" t="str">
        <f>IF(H90="","",IFERROR(INDEX(Codes!$B$2:$B$13,MATCH(H90,Codes!$A$2:$A$13,0)),""))</f>
        <v/>
      </c>
      <c r="J90" s="23"/>
      <c r="K90" s="23"/>
      <c r="L90" s="23"/>
      <c r="M90" s="23"/>
      <c r="N90" s="23"/>
      <c r="O90" s="23"/>
      <c r="P90" s="23"/>
      <c r="Q90" s="31"/>
      <c r="R90" s="32"/>
      <c r="S90" s="32"/>
      <c r="T90" s="33" t="str">
        <f t="shared" si="2"/>
        <v/>
      </c>
      <c r="U90" s="34"/>
      <c r="V90" s="35"/>
      <c r="W90" s="33" t="str">
        <f t="shared" si="3"/>
        <v/>
      </c>
    </row>
    <row r="91" spans="1:23" x14ac:dyDescent="0.35">
      <c r="A91" s="21" t="str">
        <f>IF(COUNTA(B91:H91,J91:S91,U91:V91)=0,"",IF((IF(B91="","PO Ref, ","")&amp;IF(C91="","Vendor, ","")&amp;IF(D91="","Store, ","")&amp;IF(F91="","Product Type, ","")&amp;IF(G91="","Category, ","")&amp;IF(H91="","HSN Code, ","")&amp;IF(Q91="","Qty, ","")&amp;IF(R91="","Purchase Rate, ","")&amp;IF(S91="","MRP, ",""))&lt;&gt;"","Missing: "&amp;LEFT(IF(B91="","PO Ref, ","")&amp;IF(C91="","Vendor, ","")&amp;IF(D91="","Store, ","")&amp;IF(F91="","Product Type, ","")&amp;IF(G91="","Category, ","")&amp;IF(H91="","HSN Code, ","")&amp;IF(Q91="","Qty, ","")&amp;IF(R91="","Purchase Rate, ","")&amp;IF(S91="","MRP, ",""),LEN(IF(B91="","PO Ref, ","")&amp;IF(C91="","Vendor, ","")&amp;IF(D91="","Store, ","")&amp;IF(F91="","Product Type, ","")&amp;IF(G91="","Category, ","")&amp;IF(H91="","HSN Code, ","")&amp;IF(Q91="","Qty, ","")&amp;IF(R91="","Purchase Rate, ","")&amp;IF(S91="","MRP, ",""))-2),IF(COUNTIF(Vendors!$B$3:$B$202,C91)=0,"Add vendor "&amp;C91&amp;" on the Vendors sheet",IF(ISNA(MATCH(H91,Codes!$A$2:$A$13,0)),"Pick the HSN Code from the list",IF(AND(E91&lt;&gt;"",COUNTIFS($C$3:$C$1002,C91,$E$3:$E$1002,E91,$F$3:$F$1002,"&lt;&gt;"&amp;F91)+COUNTIFS($C$3:$C$1002,C91,$E$3:$E$1002,E91,$G$3:$G$1002,"&lt;&gt;"&amp;G91)&gt;0),"Design "&amp;E91&amp;" has another Product Type or Category on another row",IF(COUNTIFS($F$3:$F$1002,F91,$G$3:$G$1002,G91,$H$3:$H$1002,"&lt;&gt;"&amp;H91)&gt;0,F91&amp;" + "&amp;G91&amp;" has another HSN Code on another row",IF(AND(V91&lt;&gt;"",U91=""),"Received Qty needs the Vendor Invoice No",IF(AND(U91&lt;&gt;"",COUNTIFS(Bills!$B$3:$B$302,U91,Bills!$C$3:$C$302,C91)=0),"Add bill "&amp;U91&amp;" of "&amp;C91&amp;" on the Bills sheet",IF(S91&lt;R91,"MRP is below the Purchase Rate","OK")))))))))</f>
        <v/>
      </c>
      <c r="B91" s="29"/>
      <c r="C91" s="22"/>
      <c r="D91" s="22"/>
      <c r="E91" s="24"/>
      <c r="F91" s="22"/>
      <c r="G91" s="22"/>
      <c r="H91" s="22"/>
      <c r="I91" s="30" t="str">
        <f>IF(H91="","",IFERROR(INDEX(Codes!$B$2:$B$13,MATCH(H91,Codes!$A$2:$A$13,0)),""))</f>
        <v/>
      </c>
      <c r="J91" s="23"/>
      <c r="K91" s="23"/>
      <c r="L91" s="23"/>
      <c r="M91" s="23"/>
      <c r="N91" s="23"/>
      <c r="O91" s="23"/>
      <c r="P91" s="23"/>
      <c r="Q91" s="31"/>
      <c r="R91" s="32"/>
      <c r="S91" s="32"/>
      <c r="T91" s="33" t="str">
        <f t="shared" si="2"/>
        <v/>
      </c>
      <c r="U91" s="34"/>
      <c r="V91" s="35"/>
      <c r="W91" s="33" t="str">
        <f t="shared" si="3"/>
        <v/>
      </c>
    </row>
    <row r="92" spans="1:23" x14ac:dyDescent="0.35">
      <c r="A92" s="21" t="str">
        <f>IF(COUNTA(B92:H92,J92:S92,U92:V92)=0,"",IF((IF(B92="","PO Ref, ","")&amp;IF(C92="","Vendor, ","")&amp;IF(D92="","Store, ","")&amp;IF(F92="","Product Type, ","")&amp;IF(G92="","Category, ","")&amp;IF(H92="","HSN Code, ","")&amp;IF(Q92="","Qty, ","")&amp;IF(R92="","Purchase Rate, ","")&amp;IF(S92="","MRP, ",""))&lt;&gt;"","Missing: "&amp;LEFT(IF(B92="","PO Ref, ","")&amp;IF(C92="","Vendor, ","")&amp;IF(D92="","Store, ","")&amp;IF(F92="","Product Type, ","")&amp;IF(G92="","Category, ","")&amp;IF(H92="","HSN Code, ","")&amp;IF(Q92="","Qty, ","")&amp;IF(R92="","Purchase Rate, ","")&amp;IF(S92="","MRP, ",""),LEN(IF(B92="","PO Ref, ","")&amp;IF(C92="","Vendor, ","")&amp;IF(D92="","Store, ","")&amp;IF(F92="","Product Type, ","")&amp;IF(G92="","Category, ","")&amp;IF(H92="","HSN Code, ","")&amp;IF(Q92="","Qty, ","")&amp;IF(R92="","Purchase Rate, ","")&amp;IF(S92="","MRP, ",""))-2),IF(COUNTIF(Vendors!$B$3:$B$202,C92)=0,"Add vendor "&amp;C92&amp;" on the Vendors sheet",IF(ISNA(MATCH(H92,Codes!$A$2:$A$13,0)),"Pick the HSN Code from the list",IF(AND(E92&lt;&gt;"",COUNTIFS($C$3:$C$1002,C92,$E$3:$E$1002,E92,$F$3:$F$1002,"&lt;&gt;"&amp;F92)+COUNTIFS($C$3:$C$1002,C92,$E$3:$E$1002,E92,$G$3:$G$1002,"&lt;&gt;"&amp;G92)&gt;0),"Design "&amp;E92&amp;" has another Product Type or Category on another row",IF(COUNTIFS($F$3:$F$1002,F92,$G$3:$G$1002,G92,$H$3:$H$1002,"&lt;&gt;"&amp;H92)&gt;0,F92&amp;" + "&amp;G92&amp;" has another HSN Code on another row",IF(AND(V92&lt;&gt;"",U92=""),"Received Qty needs the Vendor Invoice No",IF(AND(U92&lt;&gt;"",COUNTIFS(Bills!$B$3:$B$302,U92,Bills!$C$3:$C$302,C92)=0),"Add bill "&amp;U92&amp;" of "&amp;C92&amp;" on the Bills sheet",IF(S92&lt;R92,"MRP is below the Purchase Rate","OK")))))))))</f>
        <v/>
      </c>
      <c r="B92" s="29"/>
      <c r="C92" s="22"/>
      <c r="D92" s="22"/>
      <c r="E92" s="24"/>
      <c r="F92" s="22"/>
      <c r="G92" s="22"/>
      <c r="H92" s="22"/>
      <c r="I92" s="30" t="str">
        <f>IF(H92="","",IFERROR(INDEX(Codes!$B$2:$B$13,MATCH(H92,Codes!$A$2:$A$13,0)),""))</f>
        <v/>
      </c>
      <c r="J92" s="23"/>
      <c r="K92" s="23"/>
      <c r="L92" s="23"/>
      <c r="M92" s="23"/>
      <c r="N92" s="23"/>
      <c r="O92" s="23"/>
      <c r="P92" s="23"/>
      <c r="Q92" s="31"/>
      <c r="R92" s="32"/>
      <c r="S92" s="32"/>
      <c r="T92" s="33" t="str">
        <f t="shared" si="2"/>
        <v/>
      </c>
      <c r="U92" s="34"/>
      <c r="V92" s="35"/>
      <c r="W92" s="33" t="str">
        <f t="shared" si="3"/>
        <v/>
      </c>
    </row>
    <row r="93" spans="1:23" x14ac:dyDescent="0.35">
      <c r="A93" s="21" t="str">
        <f>IF(COUNTA(B93:H93,J93:S93,U93:V93)=0,"",IF((IF(B93="","PO Ref, ","")&amp;IF(C93="","Vendor, ","")&amp;IF(D93="","Store, ","")&amp;IF(F93="","Product Type, ","")&amp;IF(G93="","Category, ","")&amp;IF(H93="","HSN Code, ","")&amp;IF(Q93="","Qty, ","")&amp;IF(R93="","Purchase Rate, ","")&amp;IF(S93="","MRP, ",""))&lt;&gt;"","Missing: "&amp;LEFT(IF(B93="","PO Ref, ","")&amp;IF(C93="","Vendor, ","")&amp;IF(D93="","Store, ","")&amp;IF(F93="","Product Type, ","")&amp;IF(G93="","Category, ","")&amp;IF(H93="","HSN Code, ","")&amp;IF(Q93="","Qty, ","")&amp;IF(R93="","Purchase Rate, ","")&amp;IF(S93="","MRP, ",""),LEN(IF(B93="","PO Ref, ","")&amp;IF(C93="","Vendor, ","")&amp;IF(D93="","Store, ","")&amp;IF(F93="","Product Type, ","")&amp;IF(G93="","Category, ","")&amp;IF(H93="","HSN Code, ","")&amp;IF(Q93="","Qty, ","")&amp;IF(R93="","Purchase Rate, ","")&amp;IF(S93="","MRP, ",""))-2),IF(COUNTIF(Vendors!$B$3:$B$202,C93)=0,"Add vendor "&amp;C93&amp;" on the Vendors sheet",IF(ISNA(MATCH(H93,Codes!$A$2:$A$13,0)),"Pick the HSN Code from the list",IF(AND(E93&lt;&gt;"",COUNTIFS($C$3:$C$1002,C93,$E$3:$E$1002,E93,$F$3:$F$1002,"&lt;&gt;"&amp;F93)+COUNTIFS($C$3:$C$1002,C93,$E$3:$E$1002,E93,$G$3:$G$1002,"&lt;&gt;"&amp;G93)&gt;0),"Design "&amp;E93&amp;" has another Product Type or Category on another row",IF(COUNTIFS($F$3:$F$1002,F93,$G$3:$G$1002,G93,$H$3:$H$1002,"&lt;&gt;"&amp;H93)&gt;0,F93&amp;" + "&amp;G93&amp;" has another HSN Code on another row",IF(AND(V93&lt;&gt;"",U93=""),"Received Qty needs the Vendor Invoice No",IF(AND(U93&lt;&gt;"",COUNTIFS(Bills!$B$3:$B$302,U93,Bills!$C$3:$C$302,C93)=0),"Add bill "&amp;U93&amp;" of "&amp;C93&amp;" on the Bills sheet",IF(S93&lt;R93,"MRP is below the Purchase Rate","OK")))))))))</f>
        <v/>
      </c>
      <c r="B93" s="29"/>
      <c r="C93" s="22"/>
      <c r="D93" s="22"/>
      <c r="E93" s="24"/>
      <c r="F93" s="22"/>
      <c r="G93" s="22"/>
      <c r="H93" s="22"/>
      <c r="I93" s="30" t="str">
        <f>IF(H93="","",IFERROR(INDEX(Codes!$B$2:$B$13,MATCH(H93,Codes!$A$2:$A$13,0)),""))</f>
        <v/>
      </c>
      <c r="J93" s="23"/>
      <c r="K93" s="23"/>
      <c r="L93" s="23"/>
      <c r="M93" s="23"/>
      <c r="N93" s="23"/>
      <c r="O93" s="23"/>
      <c r="P93" s="23"/>
      <c r="Q93" s="31"/>
      <c r="R93" s="32"/>
      <c r="S93" s="32"/>
      <c r="T93" s="33" t="str">
        <f t="shared" si="2"/>
        <v/>
      </c>
      <c r="U93" s="34"/>
      <c r="V93" s="35"/>
      <c r="W93" s="33" t="str">
        <f t="shared" si="3"/>
        <v/>
      </c>
    </row>
    <row r="94" spans="1:23" x14ac:dyDescent="0.35">
      <c r="A94" s="21" t="str">
        <f>IF(COUNTA(B94:H94,J94:S94,U94:V94)=0,"",IF((IF(B94="","PO Ref, ","")&amp;IF(C94="","Vendor, ","")&amp;IF(D94="","Store, ","")&amp;IF(F94="","Product Type, ","")&amp;IF(G94="","Category, ","")&amp;IF(H94="","HSN Code, ","")&amp;IF(Q94="","Qty, ","")&amp;IF(R94="","Purchase Rate, ","")&amp;IF(S94="","MRP, ",""))&lt;&gt;"","Missing: "&amp;LEFT(IF(B94="","PO Ref, ","")&amp;IF(C94="","Vendor, ","")&amp;IF(D94="","Store, ","")&amp;IF(F94="","Product Type, ","")&amp;IF(G94="","Category, ","")&amp;IF(H94="","HSN Code, ","")&amp;IF(Q94="","Qty, ","")&amp;IF(R94="","Purchase Rate, ","")&amp;IF(S94="","MRP, ",""),LEN(IF(B94="","PO Ref, ","")&amp;IF(C94="","Vendor, ","")&amp;IF(D94="","Store, ","")&amp;IF(F94="","Product Type, ","")&amp;IF(G94="","Category, ","")&amp;IF(H94="","HSN Code, ","")&amp;IF(Q94="","Qty, ","")&amp;IF(R94="","Purchase Rate, ","")&amp;IF(S94="","MRP, ",""))-2),IF(COUNTIF(Vendors!$B$3:$B$202,C94)=0,"Add vendor "&amp;C94&amp;" on the Vendors sheet",IF(ISNA(MATCH(H94,Codes!$A$2:$A$13,0)),"Pick the HSN Code from the list",IF(AND(E94&lt;&gt;"",COUNTIFS($C$3:$C$1002,C94,$E$3:$E$1002,E94,$F$3:$F$1002,"&lt;&gt;"&amp;F94)+COUNTIFS($C$3:$C$1002,C94,$E$3:$E$1002,E94,$G$3:$G$1002,"&lt;&gt;"&amp;G94)&gt;0),"Design "&amp;E94&amp;" has another Product Type or Category on another row",IF(COUNTIFS($F$3:$F$1002,F94,$G$3:$G$1002,G94,$H$3:$H$1002,"&lt;&gt;"&amp;H94)&gt;0,F94&amp;" + "&amp;G94&amp;" has another HSN Code on another row",IF(AND(V94&lt;&gt;"",U94=""),"Received Qty needs the Vendor Invoice No",IF(AND(U94&lt;&gt;"",COUNTIFS(Bills!$B$3:$B$302,U94,Bills!$C$3:$C$302,C94)=0),"Add bill "&amp;U94&amp;" of "&amp;C94&amp;" on the Bills sheet",IF(S94&lt;R94,"MRP is below the Purchase Rate","OK")))))))))</f>
        <v/>
      </c>
      <c r="B94" s="29"/>
      <c r="C94" s="22"/>
      <c r="D94" s="22"/>
      <c r="E94" s="24"/>
      <c r="F94" s="22"/>
      <c r="G94" s="22"/>
      <c r="H94" s="22"/>
      <c r="I94" s="30" t="str">
        <f>IF(H94="","",IFERROR(INDEX(Codes!$B$2:$B$13,MATCH(H94,Codes!$A$2:$A$13,0)),""))</f>
        <v/>
      </c>
      <c r="J94" s="23"/>
      <c r="K94" s="23"/>
      <c r="L94" s="23"/>
      <c r="M94" s="23"/>
      <c r="N94" s="23"/>
      <c r="O94" s="23"/>
      <c r="P94" s="23"/>
      <c r="Q94" s="31"/>
      <c r="R94" s="32"/>
      <c r="S94" s="32"/>
      <c r="T94" s="33" t="str">
        <f t="shared" si="2"/>
        <v/>
      </c>
      <c r="U94" s="34"/>
      <c r="V94" s="35"/>
      <c r="W94" s="33" t="str">
        <f t="shared" si="3"/>
        <v/>
      </c>
    </row>
    <row r="95" spans="1:23" x14ac:dyDescent="0.35">
      <c r="A95" s="21" t="str">
        <f>IF(COUNTA(B95:H95,J95:S95,U95:V95)=0,"",IF((IF(B95="","PO Ref, ","")&amp;IF(C95="","Vendor, ","")&amp;IF(D95="","Store, ","")&amp;IF(F95="","Product Type, ","")&amp;IF(G95="","Category, ","")&amp;IF(H95="","HSN Code, ","")&amp;IF(Q95="","Qty, ","")&amp;IF(R95="","Purchase Rate, ","")&amp;IF(S95="","MRP, ",""))&lt;&gt;"","Missing: "&amp;LEFT(IF(B95="","PO Ref, ","")&amp;IF(C95="","Vendor, ","")&amp;IF(D95="","Store, ","")&amp;IF(F95="","Product Type, ","")&amp;IF(G95="","Category, ","")&amp;IF(H95="","HSN Code, ","")&amp;IF(Q95="","Qty, ","")&amp;IF(R95="","Purchase Rate, ","")&amp;IF(S95="","MRP, ",""),LEN(IF(B95="","PO Ref, ","")&amp;IF(C95="","Vendor, ","")&amp;IF(D95="","Store, ","")&amp;IF(F95="","Product Type, ","")&amp;IF(G95="","Category, ","")&amp;IF(H95="","HSN Code, ","")&amp;IF(Q95="","Qty, ","")&amp;IF(R95="","Purchase Rate, ","")&amp;IF(S95="","MRP, ",""))-2),IF(COUNTIF(Vendors!$B$3:$B$202,C95)=0,"Add vendor "&amp;C95&amp;" on the Vendors sheet",IF(ISNA(MATCH(H95,Codes!$A$2:$A$13,0)),"Pick the HSN Code from the list",IF(AND(E95&lt;&gt;"",COUNTIFS($C$3:$C$1002,C95,$E$3:$E$1002,E95,$F$3:$F$1002,"&lt;&gt;"&amp;F95)+COUNTIFS($C$3:$C$1002,C95,$E$3:$E$1002,E95,$G$3:$G$1002,"&lt;&gt;"&amp;G95)&gt;0),"Design "&amp;E95&amp;" has another Product Type or Category on another row",IF(COUNTIFS($F$3:$F$1002,F95,$G$3:$G$1002,G95,$H$3:$H$1002,"&lt;&gt;"&amp;H95)&gt;0,F95&amp;" + "&amp;G95&amp;" has another HSN Code on another row",IF(AND(V95&lt;&gt;"",U95=""),"Received Qty needs the Vendor Invoice No",IF(AND(U95&lt;&gt;"",COUNTIFS(Bills!$B$3:$B$302,U95,Bills!$C$3:$C$302,C95)=0),"Add bill "&amp;U95&amp;" of "&amp;C95&amp;" on the Bills sheet",IF(S95&lt;R95,"MRP is below the Purchase Rate","OK")))))))))</f>
        <v/>
      </c>
      <c r="B95" s="29"/>
      <c r="C95" s="22"/>
      <c r="D95" s="22"/>
      <c r="E95" s="24"/>
      <c r="F95" s="22"/>
      <c r="G95" s="22"/>
      <c r="H95" s="22"/>
      <c r="I95" s="30" t="str">
        <f>IF(H95="","",IFERROR(INDEX(Codes!$B$2:$B$13,MATCH(H95,Codes!$A$2:$A$13,0)),""))</f>
        <v/>
      </c>
      <c r="J95" s="23"/>
      <c r="K95" s="23"/>
      <c r="L95" s="23"/>
      <c r="M95" s="23"/>
      <c r="N95" s="23"/>
      <c r="O95" s="23"/>
      <c r="P95" s="23"/>
      <c r="Q95" s="31"/>
      <c r="R95" s="32"/>
      <c r="S95" s="32"/>
      <c r="T95" s="33" t="str">
        <f t="shared" si="2"/>
        <v/>
      </c>
      <c r="U95" s="34"/>
      <c r="V95" s="35"/>
      <c r="W95" s="33" t="str">
        <f t="shared" si="3"/>
        <v/>
      </c>
    </row>
    <row r="96" spans="1:23" x14ac:dyDescent="0.35">
      <c r="A96" s="21" t="str">
        <f>IF(COUNTA(B96:H96,J96:S96,U96:V96)=0,"",IF((IF(B96="","PO Ref, ","")&amp;IF(C96="","Vendor, ","")&amp;IF(D96="","Store, ","")&amp;IF(F96="","Product Type, ","")&amp;IF(G96="","Category, ","")&amp;IF(H96="","HSN Code, ","")&amp;IF(Q96="","Qty, ","")&amp;IF(R96="","Purchase Rate, ","")&amp;IF(S96="","MRP, ",""))&lt;&gt;"","Missing: "&amp;LEFT(IF(B96="","PO Ref, ","")&amp;IF(C96="","Vendor, ","")&amp;IF(D96="","Store, ","")&amp;IF(F96="","Product Type, ","")&amp;IF(G96="","Category, ","")&amp;IF(H96="","HSN Code, ","")&amp;IF(Q96="","Qty, ","")&amp;IF(R96="","Purchase Rate, ","")&amp;IF(S96="","MRP, ",""),LEN(IF(B96="","PO Ref, ","")&amp;IF(C96="","Vendor, ","")&amp;IF(D96="","Store, ","")&amp;IF(F96="","Product Type, ","")&amp;IF(G96="","Category, ","")&amp;IF(H96="","HSN Code, ","")&amp;IF(Q96="","Qty, ","")&amp;IF(R96="","Purchase Rate, ","")&amp;IF(S96="","MRP, ",""))-2),IF(COUNTIF(Vendors!$B$3:$B$202,C96)=0,"Add vendor "&amp;C96&amp;" on the Vendors sheet",IF(ISNA(MATCH(H96,Codes!$A$2:$A$13,0)),"Pick the HSN Code from the list",IF(AND(E96&lt;&gt;"",COUNTIFS($C$3:$C$1002,C96,$E$3:$E$1002,E96,$F$3:$F$1002,"&lt;&gt;"&amp;F96)+COUNTIFS($C$3:$C$1002,C96,$E$3:$E$1002,E96,$G$3:$G$1002,"&lt;&gt;"&amp;G96)&gt;0),"Design "&amp;E96&amp;" has another Product Type or Category on another row",IF(COUNTIFS($F$3:$F$1002,F96,$G$3:$G$1002,G96,$H$3:$H$1002,"&lt;&gt;"&amp;H96)&gt;0,F96&amp;" + "&amp;G96&amp;" has another HSN Code on another row",IF(AND(V96&lt;&gt;"",U96=""),"Received Qty needs the Vendor Invoice No",IF(AND(U96&lt;&gt;"",COUNTIFS(Bills!$B$3:$B$302,U96,Bills!$C$3:$C$302,C96)=0),"Add bill "&amp;U96&amp;" of "&amp;C96&amp;" on the Bills sheet",IF(S96&lt;R96,"MRP is below the Purchase Rate","OK")))))))))</f>
        <v/>
      </c>
      <c r="B96" s="29"/>
      <c r="C96" s="22"/>
      <c r="D96" s="22"/>
      <c r="E96" s="24"/>
      <c r="F96" s="22"/>
      <c r="G96" s="22"/>
      <c r="H96" s="22"/>
      <c r="I96" s="30" t="str">
        <f>IF(H96="","",IFERROR(INDEX(Codes!$B$2:$B$13,MATCH(H96,Codes!$A$2:$A$13,0)),""))</f>
        <v/>
      </c>
      <c r="J96" s="23"/>
      <c r="K96" s="23"/>
      <c r="L96" s="23"/>
      <c r="M96" s="23"/>
      <c r="N96" s="23"/>
      <c r="O96" s="23"/>
      <c r="P96" s="23"/>
      <c r="Q96" s="31"/>
      <c r="R96" s="32"/>
      <c r="S96" s="32"/>
      <c r="T96" s="33" t="str">
        <f t="shared" si="2"/>
        <v/>
      </c>
      <c r="U96" s="34"/>
      <c r="V96" s="35"/>
      <c r="W96" s="33" t="str">
        <f t="shared" si="3"/>
        <v/>
      </c>
    </row>
    <row r="97" spans="1:23" x14ac:dyDescent="0.35">
      <c r="A97" s="21" t="str">
        <f>IF(COUNTA(B97:H97,J97:S97,U97:V97)=0,"",IF((IF(B97="","PO Ref, ","")&amp;IF(C97="","Vendor, ","")&amp;IF(D97="","Store, ","")&amp;IF(F97="","Product Type, ","")&amp;IF(G97="","Category, ","")&amp;IF(H97="","HSN Code, ","")&amp;IF(Q97="","Qty, ","")&amp;IF(R97="","Purchase Rate, ","")&amp;IF(S97="","MRP, ",""))&lt;&gt;"","Missing: "&amp;LEFT(IF(B97="","PO Ref, ","")&amp;IF(C97="","Vendor, ","")&amp;IF(D97="","Store, ","")&amp;IF(F97="","Product Type, ","")&amp;IF(G97="","Category, ","")&amp;IF(H97="","HSN Code, ","")&amp;IF(Q97="","Qty, ","")&amp;IF(R97="","Purchase Rate, ","")&amp;IF(S97="","MRP, ",""),LEN(IF(B97="","PO Ref, ","")&amp;IF(C97="","Vendor, ","")&amp;IF(D97="","Store, ","")&amp;IF(F97="","Product Type, ","")&amp;IF(G97="","Category, ","")&amp;IF(H97="","HSN Code, ","")&amp;IF(Q97="","Qty, ","")&amp;IF(R97="","Purchase Rate, ","")&amp;IF(S97="","MRP, ",""))-2),IF(COUNTIF(Vendors!$B$3:$B$202,C97)=0,"Add vendor "&amp;C97&amp;" on the Vendors sheet",IF(ISNA(MATCH(H97,Codes!$A$2:$A$13,0)),"Pick the HSN Code from the list",IF(AND(E97&lt;&gt;"",COUNTIFS($C$3:$C$1002,C97,$E$3:$E$1002,E97,$F$3:$F$1002,"&lt;&gt;"&amp;F97)+COUNTIFS($C$3:$C$1002,C97,$E$3:$E$1002,E97,$G$3:$G$1002,"&lt;&gt;"&amp;G97)&gt;0),"Design "&amp;E97&amp;" has another Product Type or Category on another row",IF(COUNTIFS($F$3:$F$1002,F97,$G$3:$G$1002,G97,$H$3:$H$1002,"&lt;&gt;"&amp;H97)&gt;0,F97&amp;" + "&amp;G97&amp;" has another HSN Code on another row",IF(AND(V97&lt;&gt;"",U97=""),"Received Qty needs the Vendor Invoice No",IF(AND(U97&lt;&gt;"",COUNTIFS(Bills!$B$3:$B$302,U97,Bills!$C$3:$C$302,C97)=0),"Add bill "&amp;U97&amp;" of "&amp;C97&amp;" on the Bills sheet",IF(S97&lt;R97,"MRP is below the Purchase Rate","OK")))))))))</f>
        <v/>
      </c>
      <c r="B97" s="29"/>
      <c r="C97" s="22"/>
      <c r="D97" s="22"/>
      <c r="E97" s="24"/>
      <c r="F97" s="22"/>
      <c r="G97" s="22"/>
      <c r="H97" s="22"/>
      <c r="I97" s="30" t="str">
        <f>IF(H97="","",IFERROR(INDEX(Codes!$B$2:$B$13,MATCH(H97,Codes!$A$2:$A$13,0)),""))</f>
        <v/>
      </c>
      <c r="J97" s="23"/>
      <c r="K97" s="23"/>
      <c r="L97" s="23"/>
      <c r="M97" s="23"/>
      <c r="N97" s="23"/>
      <c r="O97" s="23"/>
      <c r="P97" s="23"/>
      <c r="Q97" s="31"/>
      <c r="R97" s="32"/>
      <c r="S97" s="32"/>
      <c r="T97" s="33" t="str">
        <f t="shared" si="2"/>
        <v/>
      </c>
      <c r="U97" s="34"/>
      <c r="V97" s="35"/>
      <c r="W97" s="33" t="str">
        <f t="shared" si="3"/>
        <v/>
      </c>
    </row>
    <row r="98" spans="1:23" x14ac:dyDescent="0.35">
      <c r="A98" s="21" t="str">
        <f>IF(COUNTA(B98:H98,J98:S98,U98:V98)=0,"",IF((IF(B98="","PO Ref, ","")&amp;IF(C98="","Vendor, ","")&amp;IF(D98="","Store, ","")&amp;IF(F98="","Product Type, ","")&amp;IF(G98="","Category, ","")&amp;IF(H98="","HSN Code, ","")&amp;IF(Q98="","Qty, ","")&amp;IF(R98="","Purchase Rate, ","")&amp;IF(S98="","MRP, ",""))&lt;&gt;"","Missing: "&amp;LEFT(IF(B98="","PO Ref, ","")&amp;IF(C98="","Vendor, ","")&amp;IF(D98="","Store, ","")&amp;IF(F98="","Product Type, ","")&amp;IF(G98="","Category, ","")&amp;IF(H98="","HSN Code, ","")&amp;IF(Q98="","Qty, ","")&amp;IF(R98="","Purchase Rate, ","")&amp;IF(S98="","MRP, ",""),LEN(IF(B98="","PO Ref, ","")&amp;IF(C98="","Vendor, ","")&amp;IF(D98="","Store, ","")&amp;IF(F98="","Product Type, ","")&amp;IF(G98="","Category, ","")&amp;IF(H98="","HSN Code, ","")&amp;IF(Q98="","Qty, ","")&amp;IF(R98="","Purchase Rate, ","")&amp;IF(S98="","MRP, ",""))-2),IF(COUNTIF(Vendors!$B$3:$B$202,C98)=0,"Add vendor "&amp;C98&amp;" on the Vendors sheet",IF(ISNA(MATCH(H98,Codes!$A$2:$A$13,0)),"Pick the HSN Code from the list",IF(AND(E98&lt;&gt;"",COUNTIFS($C$3:$C$1002,C98,$E$3:$E$1002,E98,$F$3:$F$1002,"&lt;&gt;"&amp;F98)+COUNTIFS($C$3:$C$1002,C98,$E$3:$E$1002,E98,$G$3:$G$1002,"&lt;&gt;"&amp;G98)&gt;0),"Design "&amp;E98&amp;" has another Product Type or Category on another row",IF(COUNTIFS($F$3:$F$1002,F98,$G$3:$G$1002,G98,$H$3:$H$1002,"&lt;&gt;"&amp;H98)&gt;0,F98&amp;" + "&amp;G98&amp;" has another HSN Code on another row",IF(AND(V98&lt;&gt;"",U98=""),"Received Qty needs the Vendor Invoice No",IF(AND(U98&lt;&gt;"",COUNTIFS(Bills!$B$3:$B$302,U98,Bills!$C$3:$C$302,C98)=0),"Add bill "&amp;U98&amp;" of "&amp;C98&amp;" on the Bills sheet",IF(S98&lt;R98,"MRP is below the Purchase Rate","OK")))))))))</f>
        <v/>
      </c>
      <c r="B98" s="29"/>
      <c r="C98" s="22"/>
      <c r="D98" s="22"/>
      <c r="E98" s="24"/>
      <c r="F98" s="22"/>
      <c r="G98" s="22"/>
      <c r="H98" s="22"/>
      <c r="I98" s="30" t="str">
        <f>IF(H98="","",IFERROR(INDEX(Codes!$B$2:$B$13,MATCH(H98,Codes!$A$2:$A$13,0)),""))</f>
        <v/>
      </c>
      <c r="J98" s="23"/>
      <c r="K98" s="23"/>
      <c r="L98" s="23"/>
      <c r="M98" s="23"/>
      <c r="N98" s="23"/>
      <c r="O98" s="23"/>
      <c r="P98" s="23"/>
      <c r="Q98" s="31"/>
      <c r="R98" s="32"/>
      <c r="S98" s="32"/>
      <c r="T98" s="33" t="str">
        <f t="shared" si="2"/>
        <v/>
      </c>
      <c r="U98" s="34"/>
      <c r="V98" s="35"/>
      <c r="W98" s="33" t="str">
        <f t="shared" si="3"/>
        <v/>
      </c>
    </row>
    <row r="99" spans="1:23" x14ac:dyDescent="0.35">
      <c r="A99" s="21" t="str">
        <f>IF(COUNTA(B99:H99,J99:S99,U99:V99)=0,"",IF((IF(B99="","PO Ref, ","")&amp;IF(C99="","Vendor, ","")&amp;IF(D99="","Store, ","")&amp;IF(F99="","Product Type, ","")&amp;IF(G99="","Category, ","")&amp;IF(H99="","HSN Code, ","")&amp;IF(Q99="","Qty, ","")&amp;IF(R99="","Purchase Rate, ","")&amp;IF(S99="","MRP, ",""))&lt;&gt;"","Missing: "&amp;LEFT(IF(B99="","PO Ref, ","")&amp;IF(C99="","Vendor, ","")&amp;IF(D99="","Store, ","")&amp;IF(F99="","Product Type, ","")&amp;IF(G99="","Category, ","")&amp;IF(H99="","HSN Code, ","")&amp;IF(Q99="","Qty, ","")&amp;IF(R99="","Purchase Rate, ","")&amp;IF(S99="","MRP, ",""),LEN(IF(B99="","PO Ref, ","")&amp;IF(C99="","Vendor, ","")&amp;IF(D99="","Store, ","")&amp;IF(F99="","Product Type, ","")&amp;IF(G99="","Category, ","")&amp;IF(H99="","HSN Code, ","")&amp;IF(Q99="","Qty, ","")&amp;IF(R99="","Purchase Rate, ","")&amp;IF(S99="","MRP, ",""))-2),IF(COUNTIF(Vendors!$B$3:$B$202,C99)=0,"Add vendor "&amp;C99&amp;" on the Vendors sheet",IF(ISNA(MATCH(H99,Codes!$A$2:$A$13,0)),"Pick the HSN Code from the list",IF(AND(E99&lt;&gt;"",COUNTIFS($C$3:$C$1002,C99,$E$3:$E$1002,E99,$F$3:$F$1002,"&lt;&gt;"&amp;F99)+COUNTIFS($C$3:$C$1002,C99,$E$3:$E$1002,E99,$G$3:$G$1002,"&lt;&gt;"&amp;G99)&gt;0),"Design "&amp;E99&amp;" has another Product Type or Category on another row",IF(COUNTIFS($F$3:$F$1002,F99,$G$3:$G$1002,G99,$H$3:$H$1002,"&lt;&gt;"&amp;H99)&gt;0,F99&amp;" + "&amp;G99&amp;" has another HSN Code on another row",IF(AND(V99&lt;&gt;"",U99=""),"Received Qty needs the Vendor Invoice No",IF(AND(U99&lt;&gt;"",COUNTIFS(Bills!$B$3:$B$302,U99,Bills!$C$3:$C$302,C99)=0),"Add bill "&amp;U99&amp;" of "&amp;C99&amp;" on the Bills sheet",IF(S99&lt;R99,"MRP is below the Purchase Rate","OK")))))))))</f>
        <v/>
      </c>
      <c r="B99" s="29"/>
      <c r="C99" s="22"/>
      <c r="D99" s="22"/>
      <c r="E99" s="24"/>
      <c r="F99" s="22"/>
      <c r="G99" s="22"/>
      <c r="H99" s="22"/>
      <c r="I99" s="30" t="str">
        <f>IF(H99="","",IFERROR(INDEX(Codes!$B$2:$B$13,MATCH(H99,Codes!$A$2:$A$13,0)),""))</f>
        <v/>
      </c>
      <c r="J99" s="23"/>
      <c r="K99" s="23"/>
      <c r="L99" s="23"/>
      <c r="M99" s="23"/>
      <c r="N99" s="23"/>
      <c r="O99" s="23"/>
      <c r="P99" s="23"/>
      <c r="Q99" s="31"/>
      <c r="R99" s="32"/>
      <c r="S99" s="32"/>
      <c r="T99" s="33" t="str">
        <f t="shared" si="2"/>
        <v/>
      </c>
      <c r="U99" s="34"/>
      <c r="V99" s="35"/>
      <c r="W99" s="33" t="str">
        <f t="shared" si="3"/>
        <v/>
      </c>
    </row>
    <row r="100" spans="1:23" x14ac:dyDescent="0.35">
      <c r="A100" s="21" t="str">
        <f>IF(COUNTA(B100:H100,J100:S100,U100:V100)=0,"",IF((IF(B100="","PO Ref, ","")&amp;IF(C100="","Vendor, ","")&amp;IF(D100="","Store, ","")&amp;IF(F100="","Product Type, ","")&amp;IF(G100="","Category, ","")&amp;IF(H100="","HSN Code, ","")&amp;IF(Q100="","Qty, ","")&amp;IF(R100="","Purchase Rate, ","")&amp;IF(S100="","MRP, ",""))&lt;&gt;"","Missing: "&amp;LEFT(IF(B100="","PO Ref, ","")&amp;IF(C100="","Vendor, ","")&amp;IF(D100="","Store, ","")&amp;IF(F100="","Product Type, ","")&amp;IF(G100="","Category, ","")&amp;IF(H100="","HSN Code, ","")&amp;IF(Q100="","Qty, ","")&amp;IF(R100="","Purchase Rate, ","")&amp;IF(S100="","MRP, ",""),LEN(IF(B100="","PO Ref, ","")&amp;IF(C100="","Vendor, ","")&amp;IF(D100="","Store, ","")&amp;IF(F100="","Product Type, ","")&amp;IF(G100="","Category, ","")&amp;IF(H100="","HSN Code, ","")&amp;IF(Q100="","Qty, ","")&amp;IF(R100="","Purchase Rate, ","")&amp;IF(S100="","MRP, ",""))-2),IF(COUNTIF(Vendors!$B$3:$B$202,C100)=0,"Add vendor "&amp;C100&amp;" on the Vendors sheet",IF(ISNA(MATCH(H100,Codes!$A$2:$A$13,0)),"Pick the HSN Code from the list",IF(AND(E100&lt;&gt;"",COUNTIFS($C$3:$C$1002,C100,$E$3:$E$1002,E100,$F$3:$F$1002,"&lt;&gt;"&amp;F100)+COUNTIFS($C$3:$C$1002,C100,$E$3:$E$1002,E100,$G$3:$G$1002,"&lt;&gt;"&amp;G100)&gt;0),"Design "&amp;E100&amp;" has another Product Type or Category on another row",IF(COUNTIFS($F$3:$F$1002,F100,$G$3:$G$1002,G100,$H$3:$H$1002,"&lt;&gt;"&amp;H100)&gt;0,F100&amp;" + "&amp;G100&amp;" has another HSN Code on another row",IF(AND(V100&lt;&gt;"",U100=""),"Received Qty needs the Vendor Invoice No",IF(AND(U100&lt;&gt;"",COUNTIFS(Bills!$B$3:$B$302,U100,Bills!$C$3:$C$302,C100)=0),"Add bill "&amp;U100&amp;" of "&amp;C100&amp;" on the Bills sheet",IF(S100&lt;R100,"MRP is below the Purchase Rate","OK")))))))))</f>
        <v/>
      </c>
      <c r="B100" s="29"/>
      <c r="C100" s="22"/>
      <c r="D100" s="22"/>
      <c r="E100" s="24"/>
      <c r="F100" s="22"/>
      <c r="G100" s="22"/>
      <c r="H100" s="22"/>
      <c r="I100" s="30" t="str">
        <f>IF(H100="","",IFERROR(INDEX(Codes!$B$2:$B$13,MATCH(H100,Codes!$A$2:$A$13,0)),""))</f>
        <v/>
      </c>
      <c r="J100" s="23"/>
      <c r="K100" s="23"/>
      <c r="L100" s="23"/>
      <c r="M100" s="23"/>
      <c r="N100" s="23"/>
      <c r="O100" s="23"/>
      <c r="P100" s="23"/>
      <c r="Q100" s="31"/>
      <c r="R100" s="32"/>
      <c r="S100" s="32"/>
      <c r="T100" s="33" t="str">
        <f t="shared" si="2"/>
        <v/>
      </c>
      <c r="U100" s="34"/>
      <c r="V100" s="35"/>
      <c r="W100" s="33" t="str">
        <f t="shared" si="3"/>
        <v/>
      </c>
    </row>
    <row r="101" spans="1:23" x14ac:dyDescent="0.35">
      <c r="A101" s="21" t="str">
        <f>IF(COUNTA(B101:H101,J101:S101,U101:V101)=0,"",IF((IF(B101="","PO Ref, ","")&amp;IF(C101="","Vendor, ","")&amp;IF(D101="","Store, ","")&amp;IF(F101="","Product Type, ","")&amp;IF(G101="","Category, ","")&amp;IF(H101="","HSN Code, ","")&amp;IF(Q101="","Qty, ","")&amp;IF(R101="","Purchase Rate, ","")&amp;IF(S101="","MRP, ",""))&lt;&gt;"","Missing: "&amp;LEFT(IF(B101="","PO Ref, ","")&amp;IF(C101="","Vendor, ","")&amp;IF(D101="","Store, ","")&amp;IF(F101="","Product Type, ","")&amp;IF(G101="","Category, ","")&amp;IF(H101="","HSN Code, ","")&amp;IF(Q101="","Qty, ","")&amp;IF(R101="","Purchase Rate, ","")&amp;IF(S101="","MRP, ",""),LEN(IF(B101="","PO Ref, ","")&amp;IF(C101="","Vendor, ","")&amp;IF(D101="","Store, ","")&amp;IF(F101="","Product Type, ","")&amp;IF(G101="","Category, ","")&amp;IF(H101="","HSN Code, ","")&amp;IF(Q101="","Qty, ","")&amp;IF(R101="","Purchase Rate, ","")&amp;IF(S101="","MRP, ",""))-2),IF(COUNTIF(Vendors!$B$3:$B$202,C101)=0,"Add vendor "&amp;C101&amp;" on the Vendors sheet",IF(ISNA(MATCH(H101,Codes!$A$2:$A$13,0)),"Pick the HSN Code from the list",IF(AND(E101&lt;&gt;"",COUNTIFS($C$3:$C$1002,C101,$E$3:$E$1002,E101,$F$3:$F$1002,"&lt;&gt;"&amp;F101)+COUNTIFS($C$3:$C$1002,C101,$E$3:$E$1002,E101,$G$3:$G$1002,"&lt;&gt;"&amp;G101)&gt;0),"Design "&amp;E101&amp;" has another Product Type or Category on another row",IF(COUNTIFS($F$3:$F$1002,F101,$G$3:$G$1002,G101,$H$3:$H$1002,"&lt;&gt;"&amp;H101)&gt;0,F101&amp;" + "&amp;G101&amp;" has another HSN Code on another row",IF(AND(V101&lt;&gt;"",U101=""),"Received Qty needs the Vendor Invoice No",IF(AND(U101&lt;&gt;"",COUNTIFS(Bills!$B$3:$B$302,U101,Bills!$C$3:$C$302,C101)=0),"Add bill "&amp;U101&amp;" of "&amp;C101&amp;" on the Bills sheet",IF(S101&lt;R101,"MRP is below the Purchase Rate","OK")))))))))</f>
        <v/>
      </c>
      <c r="B101" s="29"/>
      <c r="C101" s="22"/>
      <c r="D101" s="22"/>
      <c r="E101" s="24"/>
      <c r="F101" s="22"/>
      <c r="G101" s="22"/>
      <c r="H101" s="22"/>
      <c r="I101" s="30" t="str">
        <f>IF(H101="","",IFERROR(INDEX(Codes!$B$2:$B$13,MATCH(H101,Codes!$A$2:$A$13,0)),""))</f>
        <v/>
      </c>
      <c r="J101" s="23"/>
      <c r="K101" s="23"/>
      <c r="L101" s="23"/>
      <c r="M101" s="23"/>
      <c r="N101" s="23"/>
      <c r="O101" s="23"/>
      <c r="P101" s="23"/>
      <c r="Q101" s="31"/>
      <c r="R101" s="32"/>
      <c r="S101" s="32"/>
      <c r="T101" s="33" t="str">
        <f t="shared" si="2"/>
        <v/>
      </c>
      <c r="U101" s="34"/>
      <c r="V101" s="35"/>
      <c r="W101" s="33" t="str">
        <f t="shared" si="3"/>
        <v/>
      </c>
    </row>
    <row r="102" spans="1:23" x14ac:dyDescent="0.35">
      <c r="A102" s="21" t="str">
        <f>IF(COUNTA(B102:H102,J102:S102,U102:V102)=0,"",IF((IF(B102="","PO Ref, ","")&amp;IF(C102="","Vendor, ","")&amp;IF(D102="","Store, ","")&amp;IF(F102="","Product Type, ","")&amp;IF(G102="","Category, ","")&amp;IF(H102="","HSN Code, ","")&amp;IF(Q102="","Qty, ","")&amp;IF(R102="","Purchase Rate, ","")&amp;IF(S102="","MRP, ",""))&lt;&gt;"","Missing: "&amp;LEFT(IF(B102="","PO Ref, ","")&amp;IF(C102="","Vendor, ","")&amp;IF(D102="","Store, ","")&amp;IF(F102="","Product Type, ","")&amp;IF(G102="","Category, ","")&amp;IF(H102="","HSN Code, ","")&amp;IF(Q102="","Qty, ","")&amp;IF(R102="","Purchase Rate, ","")&amp;IF(S102="","MRP, ",""),LEN(IF(B102="","PO Ref, ","")&amp;IF(C102="","Vendor, ","")&amp;IF(D102="","Store, ","")&amp;IF(F102="","Product Type, ","")&amp;IF(G102="","Category, ","")&amp;IF(H102="","HSN Code, ","")&amp;IF(Q102="","Qty, ","")&amp;IF(R102="","Purchase Rate, ","")&amp;IF(S102="","MRP, ",""))-2),IF(COUNTIF(Vendors!$B$3:$B$202,C102)=0,"Add vendor "&amp;C102&amp;" on the Vendors sheet",IF(ISNA(MATCH(H102,Codes!$A$2:$A$13,0)),"Pick the HSN Code from the list",IF(AND(E102&lt;&gt;"",COUNTIFS($C$3:$C$1002,C102,$E$3:$E$1002,E102,$F$3:$F$1002,"&lt;&gt;"&amp;F102)+COUNTIFS($C$3:$C$1002,C102,$E$3:$E$1002,E102,$G$3:$G$1002,"&lt;&gt;"&amp;G102)&gt;0),"Design "&amp;E102&amp;" has another Product Type or Category on another row",IF(COUNTIFS($F$3:$F$1002,F102,$G$3:$G$1002,G102,$H$3:$H$1002,"&lt;&gt;"&amp;H102)&gt;0,F102&amp;" + "&amp;G102&amp;" has another HSN Code on another row",IF(AND(V102&lt;&gt;"",U102=""),"Received Qty needs the Vendor Invoice No",IF(AND(U102&lt;&gt;"",COUNTIFS(Bills!$B$3:$B$302,U102,Bills!$C$3:$C$302,C102)=0),"Add bill "&amp;U102&amp;" of "&amp;C102&amp;" on the Bills sheet",IF(S102&lt;R102,"MRP is below the Purchase Rate","OK")))))))))</f>
        <v/>
      </c>
      <c r="B102" s="29"/>
      <c r="C102" s="22"/>
      <c r="D102" s="22"/>
      <c r="E102" s="24"/>
      <c r="F102" s="22"/>
      <c r="G102" s="22"/>
      <c r="H102" s="22"/>
      <c r="I102" s="30" t="str">
        <f>IF(H102="","",IFERROR(INDEX(Codes!$B$2:$B$13,MATCH(H102,Codes!$A$2:$A$13,0)),""))</f>
        <v/>
      </c>
      <c r="J102" s="23"/>
      <c r="K102" s="23"/>
      <c r="L102" s="23"/>
      <c r="M102" s="23"/>
      <c r="N102" s="23"/>
      <c r="O102" s="23"/>
      <c r="P102" s="23"/>
      <c r="Q102" s="31"/>
      <c r="R102" s="32"/>
      <c r="S102" s="32"/>
      <c r="T102" s="33" t="str">
        <f t="shared" si="2"/>
        <v/>
      </c>
      <c r="U102" s="34"/>
      <c r="V102" s="35"/>
      <c r="W102" s="33" t="str">
        <f t="shared" si="3"/>
        <v/>
      </c>
    </row>
    <row r="103" spans="1:23" x14ac:dyDescent="0.35">
      <c r="A103" s="21" t="str">
        <f>IF(COUNTA(B103:H103,J103:S103,U103:V103)=0,"",IF((IF(B103="","PO Ref, ","")&amp;IF(C103="","Vendor, ","")&amp;IF(D103="","Store, ","")&amp;IF(F103="","Product Type, ","")&amp;IF(G103="","Category, ","")&amp;IF(H103="","HSN Code, ","")&amp;IF(Q103="","Qty, ","")&amp;IF(R103="","Purchase Rate, ","")&amp;IF(S103="","MRP, ",""))&lt;&gt;"","Missing: "&amp;LEFT(IF(B103="","PO Ref, ","")&amp;IF(C103="","Vendor, ","")&amp;IF(D103="","Store, ","")&amp;IF(F103="","Product Type, ","")&amp;IF(G103="","Category, ","")&amp;IF(H103="","HSN Code, ","")&amp;IF(Q103="","Qty, ","")&amp;IF(R103="","Purchase Rate, ","")&amp;IF(S103="","MRP, ",""),LEN(IF(B103="","PO Ref, ","")&amp;IF(C103="","Vendor, ","")&amp;IF(D103="","Store, ","")&amp;IF(F103="","Product Type, ","")&amp;IF(G103="","Category, ","")&amp;IF(H103="","HSN Code, ","")&amp;IF(Q103="","Qty, ","")&amp;IF(R103="","Purchase Rate, ","")&amp;IF(S103="","MRP, ",""))-2),IF(COUNTIF(Vendors!$B$3:$B$202,C103)=0,"Add vendor "&amp;C103&amp;" on the Vendors sheet",IF(ISNA(MATCH(H103,Codes!$A$2:$A$13,0)),"Pick the HSN Code from the list",IF(AND(E103&lt;&gt;"",COUNTIFS($C$3:$C$1002,C103,$E$3:$E$1002,E103,$F$3:$F$1002,"&lt;&gt;"&amp;F103)+COUNTIFS($C$3:$C$1002,C103,$E$3:$E$1002,E103,$G$3:$G$1002,"&lt;&gt;"&amp;G103)&gt;0),"Design "&amp;E103&amp;" has another Product Type or Category on another row",IF(COUNTIFS($F$3:$F$1002,F103,$G$3:$G$1002,G103,$H$3:$H$1002,"&lt;&gt;"&amp;H103)&gt;0,F103&amp;" + "&amp;G103&amp;" has another HSN Code on another row",IF(AND(V103&lt;&gt;"",U103=""),"Received Qty needs the Vendor Invoice No",IF(AND(U103&lt;&gt;"",COUNTIFS(Bills!$B$3:$B$302,U103,Bills!$C$3:$C$302,C103)=0),"Add bill "&amp;U103&amp;" of "&amp;C103&amp;" on the Bills sheet",IF(S103&lt;R103,"MRP is below the Purchase Rate","OK")))))))))</f>
        <v/>
      </c>
      <c r="B103" s="29"/>
      <c r="C103" s="22"/>
      <c r="D103" s="22"/>
      <c r="E103" s="24"/>
      <c r="F103" s="22"/>
      <c r="G103" s="22"/>
      <c r="H103" s="22"/>
      <c r="I103" s="30" t="str">
        <f>IF(H103="","",IFERROR(INDEX(Codes!$B$2:$B$13,MATCH(H103,Codes!$A$2:$A$13,0)),""))</f>
        <v/>
      </c>
      <c r="J103" s="23"/>
      <c r="K103" s="23"/>
      <c r="L103" s="23"/>
      <c r="M103" s="23"/>
      <c r="N103" s="23"/>
      <c r="O103" s="23"/>
      <c r="P103" s="23"/>
      <c r="Q103" s="31"/>
      <c r="R103" s="32"/>
      <c r="S103" s="32"/>
      <c r="T103" s="33" t="str">
        <f t="shared" si="2"/>
        <v/>
      </c>
      <c r="U103" s="34"/>
      <c r="V103" s="35"/>
      <c r="W103" s="33" t="str">
        <f t="shared" si="3"/>
        <v/>
      </c>
    </row>
    <row r="104" spans="1:23" x14ac:dyDescent="0.35">
      <c r="A104" s="21" t="str">
        <f>IF(COUNTA(B104:H104,J104:S104,U104:V104)=0,"",IF((IF(B104="","PO Ref, ","")&amp;IF(C104="","Vendor, ","")&amp;IF(D104="","Store, ","")&amp;IF(F104="","Product Type, ","")&amp;IF(G104="","Category, ","")&amp;IF(H104="","HSN Code, ","")&amp;IF(Q104="","Qty, ","")&amp;IF(R104="","Purchase Rate, ","")&amp;IF(S104="","MRP, ",""))&lt;&gt;"","Missing: "&amp;LEFT(IF(B104="","PO Ref, ","")&amp;IF(C104="","Vendor, ","")&amp;IF(D104="","Store, ","")&amp;IF(F104="","Product Type, ","")&amp;IF(G104="","Category, ","")&amp;IF(H104="","HSN Code, ","")&amp;IF(Q104="","Qty, ","")&amp;IF(R104="","Purchase Rate, ","")&amp;IF(S104="","MRP, ",""),LEN(IF(B104="","PO Ref, ","")&amp;IF(C104="","Vendor, ","")&amp;IF(D104="","Store, ","")&amp;IF(F104="","Product Type, ","")&amp;IF(G104="","Category, ","")&amp;IF(H104="","HSN Code, ","")&amp;IF(Q104="","Qty, ","")&amp;IF(R104="","Purchase Rate, ","")&amp;IF(S104="","MRP, ",""))-2),IF(COUNTIF(Vendors!$B$3:$B$202,C104)=0,"Add vendor "&amp;C104&amp;" on the Vendors sheet",IF(ISNA(MATCH(H104,Codes!$A$2:$A$13,0)),"Pick the HSN Code from the list",IF(AND(E104&lt;&gt;"",COUNTIFS($C$3:$C$1002,C104,$E$3:$E$1002,E104,$F$3:$F$1002,"&lt;&gt;"&amp;F104)+COUNTIFS($C$3:$C$1002,C104,$E$3:$E$1002,E104,$G$3:$G$1002,"&lt;&gt;"&amp;G104)&gt;0),"Design "&amp;E104&amp;" has another Product Type or Category on another row",IF(COUNTIFS($F$3:$F$1002,F104,$G$3:$G$1002,G104,$H$3:$H$1002,"&lt;&gt;"&amp;H104)&gt;0,F104&amp;" + "&amp;G104&amp;" has another HSN Code on another row",IF(AND(V104&lt;&gt;"",U104=""),"Received Qty needs the Vendor Invoice No",IF(AND(U104&lt;&gt;"",COUNTIFS(Bills!$B$3:$B$302,U104,Bills!$C$3:$C$302,C104)=0),"Add bill "&amp;U104&amp;" of "&amp;C104&amp;" on the Bills sheet",IF(S104&lt;R104,"MRP is below the Purchase Rate","OK")))))))))</f>
        <v/>
      </c>
      <c r="B104" s="29"/>
      <c r="C104" s="22"/>
      <c r="D104" s="22"/>
      <c r="E104" s="24"/>
      <c r="F104" s="22"/>
      <c r="G104" s="22"/>
      <c r="H104" s="22"/>
      <c r="I104" s="30" t="str">
        <f>IF(H104="","",IFERROR(INDEX(Codes!$B$2:$B$13,MATCH(H104,Codes!$A$2:$A$13,0)),""))</f>
        <v/>
      </c>
      <c r="J104" s="23"/>
      <c r="K104" s="23"/>
      <c r="L104" s="23"/>
      <c r="M104" s="23"/>
      <c r="N104" s="23"/>
      <c r="O104" s="23"/>
      <c r="P104" s="23"/>
      <c r="Q104" s="31"/>
      <c r="R104" s="32"/>
      <c r="S104" s="32"/>
      <c r="T104" s="33" t="str">
        <f t="shared" si="2"/>
        <v/>
      </c>
      <c r="U104" s="34"/>
      <c r="V104" s="35"/>
      <c r="W104" s="33" t="str">
        <f t="shared" si="3"/>
        <v/>
      </c>
    </row>
    <row r="105" spans="1:23" x14ac:dyDescent="0.35">
      <c r="A105" s="21" t="str">
        <f>IF(COUNTA(B105:H105,J105:S105,U105:V105)=0,"",IF((IF(B105="","PO Ref, ","")&amp;IF(C105="","Vendor, ","")&amp;IF(D105="","Store, ","")&amp;IF(F105="","Product Type, ","")&amp;IF(G105="","Category, ","")&amp;IF(H105="","HSN Code, ","")&amp;IF(Q105="","Qty, ","")&amp;IF(R105="","Purchase Rate, ","")&amp;IF(S105="","MRP, ",""))&lt;&gt;"","Missing: "&amp;LEFT(IF(B105="","PO Ref, ","")&amp;IF(C105="","Vendor, ","")&amp;IF(D105="","Store, ","")&amp;IF(F105="","Product Type, ","")&amp;IF(G105="","Category, ","")&amp;IF(H105="","HSN Code, ","")&amp;IF(Q105="","Qty, ","")&amp;IF(R105="","Purchase Rate, ","")&amp;IF(S105="","MRP, ",""),LEN(IF(B105="","PO Ref, ","")&amp;IF(C105="","Vendor, ","")&amp;IF(D105="","Store, ","")&amp;IF(F105="","Product Type, ","")&amp;IF(G105="","Category, ","")&amp;IF(H105="","HSN Code, ","")&amp;IF(Q105="","Qty, ","")&amp;IF(R105="","Purchase Rate, ","")&amp;IF(S105="","MRP, ",""))-2),IF(COUNTIF(Vendors!$B$3:$B$202,C105)=0,"Add vendor "&amp;C105&amp;" on the Vendors sheet",IF(ISNA(MATCH(H105,Codes!$A$2:$A$13,0)),"Pick the HSN Code from the list",IF(AND(E105&lt;&gt;"",COUNTIFS($C$3:$C$1002,C105,$E$3:$E$1002,E105,$F$3:$F$1002,"&lt;&gt;"&amp;F105)+COUNTIFS($C$3:$C$1002,C105,$E$3:$E$1002,E105,$G$3:$G$1002,"&lt;&gt;"&amp;G105)&gt;0),"Design "&amp;E105&amp;" has another Product Type or Category on another row",IF(COUNTIFS($F$3:$F$1002,F105,$G$3:$G$1002,G105,$H$3:$H$1002,"&lt;&gt;"&amp;H105)&gt;0,F105&amp;" + "&amp;G105&amp;" has another HSN Code on another row",IF(AND(V105&lt;&gt;"",U105=""),"Received Qty needs the Vendor Invoice No",IF(AND(U105&lt;&gt;"",COUNTIFS(Bills!$B$3:$B$302,U105,Bills!$C$3:$C$302,C105)=0),"Add bill "&amp;U105&amp;" of "&amp;C105&amp;" on the Bills sheet",IF(S105&lt;R105,"MRP is below the Purchase Rate","OK")))))))))</f>
        <v/>
      </c>
      <c r="B105" s="29"/>
      <c r="C105" s="22"/>
      <c r="D105" s="22"/>
      <c r="E105" s="24"/>
      <c r="F105" s="22"/>
      <c r="G105" s="22"/>
      <c r="H105" s="22"/>
      <c r="I105" s="30" t="str">
        <f>IF(H105="","",IFERROR(INDEX(Codes!$B$2:$B$13,MATCH(H105,Codes!$A$2:$A$13,0)),""))</f>
        <v/>
      </c>
      <c r="J105" s="23"/>
      <c r="K105" s="23"/>
      <c r="L105" s="23"/>
      <c r="M105" s="23"/>
      <c r="N105" s="23"/>
      <c r="O105" s="23"/>
      <c r="P105" s="23"/>
      <c r="Q105" s="31"/>
      <c r="R105" s="32"/>
      <c r="S105" s="32"/>
      <c r="T105" s="33" t="str">
        <f t="shared" si="2"/>
        <v/>
      </c>
      <c r="U105" s="34"/>
      <c r="V105" s="35"/>
      <c r="W105" s="33" t="str">
        <f t="shared" si="3"/>
        <v/>
      </c>
    </row>
    <row r="106" spans="1:23" x14ac:dyDescent="0.35">
      <c r="A106" s="21" t="str">
        <f>IF(COUNTA(B106:H106,J106:S106,U106:V106)=0,"",IF((IF(B106="","PO Ref, ","")&amp;IF(C106="","Vendor, ","")&amp;IF(D106="","Store, ","")&amp;IF(F106="","Product Type, ","")&amp;IF(G106="","Category, ","")&amp;IF(H106="","HSN Code, ","")&amp;IF(Q106="","Qty, ","")&amp;IF(R106="","Purchase Rate, ","")&amp;IF(S106="","MRP, ",""))&lt;&gt;"","Missing: "&amp;LEFT(IF(B106="","PO Ref, ","")&amp;IF(C106="","Vendor, ","")&amp;IF(D106="","Store, ","")&amp;IF(F106="","Product Type, ","")&amp;IF(G106="","Category, ","")&amp;IF(H106="","HSN Code, ","")&amp;IF(Q106="","Qty, ","")&amp;IF(R106="","Purchase Rate, ","")&amp;IF(S106="","MRP, ",""),LEN(IF(B106="","PO Ref, ","")&amp;IF(C106="","Vendor, ","")&amp;IF(D106="","Store, ","")&amp;IF(F106="","Product Type, ","")&amp;IF(G106="","Category, ","")&amp;IF(H106="","HSN Code, ","")&amp;IF(Q106="","Qty, ","")&amp;IF(R106="","Purchase Rate, ","")&amp;IF(S106="","MRP, ",""))-2),IF(COUNTIF(Vendors!$B$3:$B$202,C106)=0,"Add vendor "&amp;C106&amp;" on the Vendors sheet",IF(ISNA(MATCH(H106,Codes!$A$2:$A$13,0)),"Pick the HSN Code from the list",IF(AND(E106&lt;&gt;"",COUNTIFS($C$3:$C$1002,C106,$E$3:$E$1002,E106,$F$3:$F$1002,"&lt;&gt;"&amp;F106)+COUNTIFS($C$3:$C$1002,C106,$E$3:$E$1002,E106,$G$3:$G$1002,"&lt;&gt;"&amp;G106)&gt;0),"Design "&amp;E106&amp;" has another Product Type or Category on another row",IF(COUNTIFS($F$3:$F$1002,F106,$G$3:$G$1002,G106,$H$3:$H$1002,"&lt;&gt;"&amp;H106)&gt;0,F106&amp;" + "&amp;G106&amp;" has another HSN Code on another row",IF(AND(V106&lt;&gt;"",U106=""),"Received Qty needs the Vendor Invoice No",IF(AND(U106&lt;&gt;"",COUNTIFS(Bills!$B$3:$B$302,U106,Bills!$C$3:$C$302,C106)=0),"Add bill "&amp;U106&amp;" of "&amp;C106&amp;" on the Bills sheet",IF(S106&lt;R106,"MRP is below the Purchase Rate","OK")))))))))</f>
        <v/>
      </c>
      <c r="B106" s="29"/>
      <c r="C106" s="22"/>
      <c r="D106" s="22"/>
      <c r="E106" s="24"/>
      <c r="F106" s="22"/>
      <c r="G106" s="22"/>
      <c r="H106" s="22"/>
      <c r="I106" s="30" t="str">
        <f>IF(H106="","",IFERROR(INDEX(Codes!$B$2:$B$13,MATCH(H106,Codes!$A$2:$A$13,0)),""))</f>
        <v/>
      </c>
      <c r="J106" s="23"/>
      <c r="K106" s="23"/>
      <c r="L106" s="23"/>
      <c r="M106" s="23"/>
      <c r="N106" s="23"/>
      <c r="O106" s="23"/>
      <c r="P106" s="23"/>
      <c r="Q106" s="31"/>
      <c r="R106" s="32"/>
      <c r="S106" s="32"/>
      <c r="T106" s="33" t="str">
        <f t="shared" si="2"/>
        <v/>
      </c>
      <c r="U106" s="34"/>
      <c r="V106" s="35"/>
      <c r="W106" s="33" t="str">
        <f t="shared" si="3"/>
        <v/>
      </c>
    </row>
    <row r="107" spans="1:23" x14ac:dyDescent="0.35">
      <c r="A107" s="21" t="str">
        <f>IF(COUNTA(B107:H107,J107:S107,U107:V107)=0,"",IF((IF(B107="","PO Ref, ","")&amp;IF(C107="","Vendor, ","")&amp;IF(D107="","Store, ","")&amp;IF(F107="","Product Type, ","")&amp;IF(G107="","Category, ","")&amp;IF(H107="","HSN Code, ","")&amp;IF(Q107="","Qty, ","")&amp;IF(R107="","Purchase Rate, ","")&amp;IF(S107="","MRP, ",""))&lt;&gt;"","Missing: "&amp;LEFT(IF(B107="","PO Ref, ","")&amp;IF(C107="","Vendor, ","")&amp;IF(D107="","Store, ","")&amp;IF(F107="","Product Type, ","")&amp;IF(G107="","Category, ","")&amp;IF(H107="","HSN Code, ","")&amp;IF(Q107="","Qty, ","")&amp;IF(R107="","Purchase Rate, ","")&amp;IF(S107="","MRP, ",""),LEN(IF(B107="","PO Ref, ","")&amp;IF(C107="","Vendor, ","")&amp;IF(D107="","Store, ","")&amp;IF(F107="","Product Type, ","")&amp;IF(G107="","Category, ","")&amp;IF(H107="","HSN Code, ","")&amp;IF(Q107="","Qty, ","")&amp;IF(R107="","Purchase Rate, ","")&amp;IF(S107="","MRP, ",""))-2),IF(COUNTIF(Vendors!$B$3:$B$202,C107)=0,"Add vendor "&amp;C107&amp;" on the Vendors sheet",IF(ISNA(MATCH(H107,Codes!$A$2:$A$13,0)),"Pick the HSN Code from the list",IF(AND(E107&lt;&gt;"",COUNTIFS($C$3:$C$1002,C107,$E$3:$E$1002,E107,$F$3:$F$1002,"&lt;&gt;"&amp;F107)+COUNTIFS($C$3:$C$1002,C107,$E$3:$E$1002,E107,$G$3:$G$1002,"&lt;&gt;"&amp;G107)&gt;0),"Design "&amp;E107&amp;" has another Product Type or Category on another row",IF(COUNTIFS($F$3:$F$1002,F107,$G$3:$G$1002,G107,$H$3:$H$1002,"&lt;&gt;"&amp;H107)&gt;0,F107&amp;" + "&amp;G107&amp;" has another HSN Code on another row",IF(AND(V107&lt;&gt;"",U107=""),"Received Qty needs the Vendor Invoice No",IF(AND(U107&lt;&gt;"",COUNTIFS(Bills!$B$3:$B$302,U107,Bills!$C$3:$C$302,C107)=0),"Add bill "&amp;U107&amp;" of "&amp;C107&amp;" on the Bills sheet",IF(S107&lt;R107,"MRP is below the Purchase Rate","OK")))))))))</f>
        <v/>
      </c>
      <c r="B107" s="29"/>
      <c r="C107" s="22"/>
      <c r="D107" s="22"/>
      <c r="E107" s="24"/>
      <c r="F107" s="22"/>
      <c r="G107" s="22"/>
      <c r="H107" s="22"/>
      <c r="I107" s="30" t="str">
        <f>IF(H107="","",IFERROR(INDEX(Codes!$B$2:$B$13,MATCH(H107,Codes!$A$2:$A$13,0)),""))</f>
        <v/>
      </c>
      <c r="J107" s="23"/>
      <c r="K107" s="23"/>
      <c r="L107" s="23"/>
      <c r="M107" s="23"/>
      <c r="N107" s="23"/>
      <c r="O107" s="23"/>
      <c r="P107" s="23"/>
      <c r="Q107" s="31"/>
      <c r="R107" s="32"/>
      <c r="S107" s="32"/>
      <c r="T107" s="33" t="str">
        <f t="shared" si="2"/>
        <v/>
      </c>
      <c r="U107" s="34"/>
      <c r="V107" s="35"/>
      <c r="W107" s="33" t="str">
        <f t="shared" si="3"/>
        <v/>
      </c>
    </row>
    <row r="108" spans="1:23" x14ac:dyDescent="0.35">
      <c r="A108" s="21" t="str">
        <f>IF(COUNTA(B108:H108,J108:S108,U108:V108)=0,"",IF((IF(B108="","PO Ref, ","")&amp;IF(C108="","Vendor, ","")&amp;IF(D108="","Store, ","")&amp;IF(F108="","Product Type, ","")&amp;IF(G108="","Category, ","")&amp;IF(H108="","HSN Code, ","")&amp;IF(Q108="","Qty, ","")&amp;IF(R108="","Purchase Rate, ","")&amp;IF(S108="","MRP, ",""))&lt;&gt;"","Missing: "&amp;LEFT(IF(B108="","PO Ref, ","")&amp;IF(C108="","Vendor, ","")&amp;IF(D108="","Store, ","")&amp;IF(F108="","Product Type, ","")&amp;IF(G108="","Category, ","")&amp;IF(H108="","HSN Code, ","")&amp;IF(Q108="","Qty, ","")&amp;IF(R108="","Purchase Rate, ","")&amp;IF(S108="","MRP, ",""),LEN(IF(B108="","PO Ref, ","")&amp;IF(C108="","Vendor, ","")&amp;IF(D108="","Store, ","")&amp;IF(F108="","Product Type, ","")&amp;IF(G108="","Category, ","")&amp;IF(H108="","HSN Code, ","")&amp;IF(Q108="","Qty, ","")&amp;IF(R108="","Purchase Rate, ","")&amp;IF(S108="","MRP, ",""))-2),IF(COUNTIF(Vendors!$B$3:$B$202,C108)=0,"Add vendor "&amp;C108&amp;" on the Vendors sheet",IF(ISNA(MATCH(H108,Codes!$A$2:$A$13,0)),"Pick the HSN Code from the list",IF(AND(E108&lt;&gt;"",COUNTIFS($C$3:$C$1002,C108,$E$3:$E$1002,E108,$F$3:$F$1002,"&lt;&gt;"&amp;F108)+COUNTIFS($C$3:$C$1002,C108,$E$3:$E$1002,E108,$G$3:$G$1002,"&lt;&gt;"&amp;G108)&gt;0),"Design "&amp;E108&amp;" has another Product Type or Category on another row",IF(COUNTIFS($F$3:$F$1002,F108,$G$3:$G$1002,G108,$H$3:$H$1002,"&lt;&gt;"&amp;H108)&gt;0,F108&amp;" + "&amp;G108&amp;" has another HSN Code on another row",IF(AND(V108&lt;&gt;"",U108=""),"Received Qty needs the Vendor Invoice No",IF(AND(U108&lt;&gt;"",COUNTIFS(Bills!$B$3:$B$302,U108,Bills!$C$3:$C$302,C108)=0),"Add bill "&amp;U108&amp;" of "&amp;C108&amp;" on the Bills sheet",IF(S108&lt;R108,"MRP is below the Purchase Rate","OK")))))))))</f>
        <v/>
      </c>
      <c r="B108" s="29"/>
      <c r="C108" s="22"/>
      <c r="D108" s="22"/>
      <c r="E108" s="24"/>
      <c r="F108" s="22"/>
      <c r="G108" s="22"/>
      <c r="H108" s="22"/>
      <c r="I108" s="30" t="str">
        <f>IF(H108="","",IFERROR(INDEX(Codes!$B$2:$B$13,MATCH(H108,Codes!$A$2:$A$13,0)),""))</f>
        <v/>
      </c>
      <c r="J108" s="23"/>
      <c r="K108" s="23"/>
      <c r="L108" s="23"/>
      <c r="M108" s="23"/>
      <c r="N108" s="23"/>
      <c r="O108" s="23"/>
      <c r="P108" s="23"/>
      <c r="Q108" s="31"/>
      <c r="R108" s="32"/>
      <c r="S108" s="32"/>
      <c r="T108" s="33" t="str">
        <f t="shared" si="2"/>
        <v/>
      </c>
      <c r="U108" s="34"/>
      <c r="V108" s="35"/>
      <c r="W108" s="33" t="str">
        <f t="shared" si="3"/>
        <v/>
      </c>
    </row>
    <row r="109" spans="1:23" x14ac:dyDescent="0.35">
      <c r="A109" s="21" t="str">
        <f>IF(COUNTA(B109:H109,J109:S109,U109:V109)=0,"",IF((IF(B109="","PO Ref, ","")&amp;IF(C109="","Vendor, ","")&amp;IF(D109="","Store, ","")&amp;IF(F109="","Product Type, ","")&amp;IF(G109="","Category, ","")&amp;IF(H109="","HSN Code, ","")&amp;IF(Q109="","Qty, ","")&amp;IF(R109="","Purchase Rate, ","")&amp;IF(S109="","MRP, ",""))&lt;&gt;"","Missing: "&amp;LEFT(IF(B109="","PO Ref, ","")&amp;IF(C109="","Vendor, ","")&amp;IF(D109="","Store, ","")&amp;IF(F109="","Product Type, ","")&amp;IF(G109="","Category, ","")&amp;IF(H109="","HSN Code, ","")&amp;IF(Q109="","Qty, ","")&amp;IF(R109="","Purchase Rate, ","")&amp;IF(S109="","MRP, ",""),LEN(IF(B109="","PO Ref, ","")&amp;IF(C109="","Vendor, ","")&amp;IF(D109="","Store, ","")&amp;IF(F109="","Product Type, ","")&amp;IF(G109="","Category, ","")&amp;IF(H109="","HSN Code, ","")&amp;IF(Q109="","Qty, ","")&amp;IF(R109="","Purchase Rate, ","")&amp;IF(S109="","MRP, ",""))-2),IF(COUNTIF(Vendors!$B$3:$B$202,C109)=0,"Add vendor "&amp;C109&amp;" on the Vendors sheet",IF(ISNA(MATCH(H109,Codes!$A$2:$A$13,0)),"Pick the HSN Code from the list",IF(AND(E109&lt;&gt;"",COUNTIFS($C$3:$C$1002,C109,$E$3:$E$1002,E109,$F$3:$F$1002,"&lt;&gt;"&amp;F109)+COUNTIFS($C$3:$C$1002,C109,$E$3:$E$1002,E109,$G$3:$G$1002,"&lt;&gt;"&amp;G109)&gt;0),"Design "&amp;E109&amp;" has another Product Type or Category on another row",IF(COUNTIFS($F$3:$F$1002,F109,$G$3:$G$1002,G109,$H$3:$H$1002,"&lt;&gt;"&amp;H109)&gt;0,F109&amp;" + "&amp;G109&amp;" has another HSN Code on another row",IF(AND(V109&lt;&gt;"",U109=""),"Received Qty needs the Vendor Invoice No",IF(AND(U109&lt;&gt;"",COUNTIFS(Bills!$B$3:$B$302,U109,Bills!$C$3:$C$302,C109)=0),"Add bill "&amp;U109&amp;" of "&amp;C109&amp;" on the Bills sheet",IF(S109&lt;R109,"MRP is below the Purchase Rate","OK")))))))))</f>
        <v/>
      </c>
      <c r="B109" s="29"/>
      <c r="C109" s="22"/>
      <c r="D109" s="22"/>
      <c r="E109" s="24"/>
      <c r="F109" s="22"/>
      <c r="G109" s="22"/>
      <c r="H109" s="22"/>
      <c r="I109" s="30" t="str">
        <f>IF(H109="","",IFERROR(INDEX(Codes!$B$2:$B$13,MATCH(H109,Codes!$A$2:$A$13,0)),""))</f>
        <v/>
      </c>
      <c r="J109" s="23"/>
      <c r="K109" s="23"/>
      <c r="L109" s="23"/>
      <c r="M109" s="23"/>
      <c r="N109" s="23"/>
      <c r="O109" s="23"/>
      <c r="P109" s="23"/>
      <c r="Q109" s="31"/>
      <c r="R109" s="32"/>
      <c r="S109" s="32"/>
      <c r="T109" s="33" t="str">
        <f t="shared" si="2"/>
        <v/>
      </c>
      <c r="U109" s="34"/>
      <c r="V109" s="35"/>
      <c r="W109" s="33" t="str">
        <f t="shared" si="3"/>
        <v/>
      </c>
    </row>
    <row r="110" spans="1:23" x14ac:dyDescent="0.35">
      <c r="A110" s="21" t="str">
        <f>IF(COUNTA(B110:H110,J110:S110,U110:V110)=0,"",IF((IF(B110="","PO Ref, ","")&amp;IF(C110="","Vendor, ","")&amp;IF(D110="","Store, ","")&amp;IF(F110="","Product Type, ","")&amp;IF(G110="","Category, ","")&amp;IF(H110="","HSN Code, ","")&amp;IF(Q110="","Qty, ","")&amp;IF(R110="","Purchase Rate, ","")&amp;IF(S110="","MRP, ",""))&lt;&gt;"","Missing: "&amp;LEFT(IF(B110="","PO Ref, ","")&amp;IF(C110="","Vendor, ","")&amp;IF(D110="","Store, ","")&amp;IF(F110="","Product Type, ","")&amp;IF(G110="","Category, ","")&amp;IF(H110="","HSN Code, ","")&amp;IF(Q110="","Qty, ","")&amp;IF(R110="","Purchase Rate, ","")&amp;IF(S110="","MRP, ",""),LEN(IF(B110="","PO Ref, ","")&amp;IF(C110="","Vendor, ","")&amp;IF(D110="","Store, ","")&amp;IF(F110="","Product Type, ","")&amp;IF(G110="","Category, ","")&amp;IF(H110="","HSN Code, ","")&amp;IF(Q110="","Qty, ","")&amp;IF(R110="","Purchase Rate, ","")&amp;IF(S110="","MRP, ",""))-2),IF(COUNTIF(Vendors!$B$3:$B$202,C110)=0,"Add vendor "&amp;C110&amp;" on the Vendors sheet",IF(ISNA(MATCH(H110,Codes!$A$2:$A$13,0)),"Pick the HSN Code from the list",IF(AND(E110&lt;&gt;"",COUNTIFS($C$3:$C$1002,C110,$E$3:$E$1002,E110,$F$3:$F$1002,"&lt;&gt;"&amp;F110)+COUNTIFS($C$3:$C$1002,C110,$E$3:$E$1002,E110,$G$3:$G$1002,"&lt;&gt;"&amp;G110)&gt;0),"Design "&amp;E110&amp;" has another Product Type or Category on another row",IF(COUNTIFS($F$3:$F$1002,F110,$G$3:$G$1002,G110,$H$3:$H$1002,"&lt;&gt;"&amp;H110)&gt;0,F110&amp;" + "&amp;G110&amp;" has another HSN Code on another row",IF(AND(V110&lt;&gt;"",U110=""),"Received Qty needs the Vendor Invoice No",IF(AND(U110&lt;&gt;"",COUNTIFS(Bills!$B$3:$B$302,U110,Bills!$C$3:$C$302,C110)=0),"Add bill "&amp;U110&amp;" of "&amp;C110&amp;" on the Bills sheet",IF(S110&lt;R110,"MRP is below the Purchase Rate","OK")))))))))</f>
        <v/>
      </c>
      <c r="B110" s="29"/>
      <c r="C110" s="22"/>
      <c r="D110" s="22"/>
      <c r="E110" s="24"/>
      <c r="F110" s="22"/>
      <c r="G110" s="22"/>
      <c r="H110" s="22"/>
      <c r="I110" s="30" t="str">
        <f>IF(H110="","",IFERROR(INDEX(Codes!$B$2:$B$13,MATCH(H110,Codes!$A$2:$A$13,0)),""))</f>
        <v/>
      </c>
      <c r="J110" s="23"/>
      <c r="K110" s="23"/>
      <c r="L110" s="23"/>
      <c r="M110" s="23"/>
      <c r="N110" s="23"/>
      <c r="O110" s="23"/>
      <c r="P110" s="23"/>
      <c r="Q110" s="31"/>
      <c r="R110" s="32"/>
      <c r="S110" s="32"/>
      <c r="T110" s="33" t="str">
        <f t="shared" si="2"/>
        <v/>
      </c>
      <c r="U110" s="34"/>
      <c r="V110" s="35"/>
      <c r="W110" s="33" t="str">
        <f t="shared" si="3"/>
        <v/>
      </c>
    </row>
    <row r="111" spans="1:23" x14ac:dyDescent="0.35">
      <c r="A111" s="21" t="str">
        <f>IF(COUNTA(B111:H111,J111:S111,U111:V111)=0,"",IF((IF(B111="","PO Ref, ","")&amp;IF(C111="","Vendor, ","")&amp;IF(D111="","Store, ","")&amp;IF(F111="","Product Type, ","")&amp;IF(G111="","Category, ","")&amp;IF(H111="","HSN Code, ","")&amp;IF(Q111="","Qty, ","")&amp;IF(R111="","Purchase Rate, ","")&amp;IF(S111="","MRP, ",""))&lt;&gt;"","Missing: "&amp;LEFT(IF(B111="","PO Ref, ","")&amp;IF(C111="","Vendor, ","")&amp;IF(D111="","Store, ","")&amp;IF(F111="","Product Type, ","")&amp;IF(G111="","Category, ","")&amp;IF(H111="","HSN Code, ","")&amp;IF(Q111="","Qty, ","")&amp;IF(R111="","Purchase Rate, ","")&amp;IF(S111="","MRP, ",""),LEN(IF(B111="","PO Ref, ","")&amp;IF(C111="","Vendor, ","")&amp;IF(D111="","Store, ","")&amp;IF(F111="","Product Type, ","")&amp;IF(G111="","Category, ","")&amp;IF(H111="","HSN Code, ","")&amp;IF(Q111="","Qty, ","")&amp;IF(R111="","Purchase Rate, ","")&amp;IF(S111="","MRP, ",""))-2),IF(COUNTIF(Vendors!$B$3:$B$202,C111)=0,"Add vendor "&amp;C111&amp;" on the Vendors sheet",IF(ISNA(MATCH(H111,Codes!$A$2:$A$13,0)),"Pick the HSN Code from the list",IF(AND(E111&lt;&gt;"",COUNTIFS($C$3:$C$1002,C111,$E$3:$E$1002,E111,$F$3:$F$1002,"&lt;&gt;"&amp;F111)+COUNTIFS($C$3:$C$1002,C111,$E$3:$E$1002,E111,$G$3:$G$1002,"&lt;&gt;"&amp;G111)&gt;0),"Design "&amp;E111&amp;" has another Product Type or Category on another row",IF(COUNTIFS($F$3:$F$1002,F111,$G$3:$G$1002,G111,$H$3:$H$1002,"&lt;&gt;"&amp;H111)&gt;0,F111&amp;" + "&amp;G111&amp;" has another HSN Code on another row",IF(AND(V111&lt;&gt;"",U111=""),"Received Qty needs the Vendor Invoice No",IF(AND(U111&lt;&gt;"",COUNTIFS(Bills!$B$3:$B$302,U111,Bills!$C$3:$C$302,C111)=0),"Add bill "&amp;U111&amp;" of "&amp;C111&amp;" on the Bills sheet",IF(S111&lt;R111,"MRP is below the Purchase Rate","OK")))))))))</f>
        <v/>
      </c>
      <c r="B111" s="29"/>
      <c r="C111" s="22"/>
      <c r="D111" s="22"/>
      <c r="E111" s="24"/>
      <c r="F111" s="22"/>
      <c r="G111" s="22"/>
      <c r="H111" s="22"/>
      <c r="I111" s="30" t="str">
        <f>IF(H111="","",IFERROR(INDEX(Codes!$B$2:$B$13,MATCH(H111,Codes!$A$2:$A$13,0)),""))</f>
        <v/>
      </c>
      <c r="J111" s="23"/>
      <c r="K111" s="23"/>
      <c r="L111" s="23"/>
      <c r="M111" s="23"/>
      <c r="N111" s="23"/>
      <c r="O111" s="23"/>
      <c r="P111" s="23"/>
      <c r="Q111" s="31"/>
      <c r="R111" s="32"/>
      <c r="S111" s="32"/>
      <c r="T111" s="33" t="str">
        <f t="shared" si="2"/>
        <v/>
      </c>
      <c r="U111" s="34"/>
      <c r="V111" s="35"/>
      <c r="W111" s="33" t="str">
        <f t="shared" si="3"/>
        <v/>
      </c>
    </row>
    <row r="112" spans="1:23" x14ac:dyDescent="0.35">
      <c r="A112" s="21" t="str">
        <f>IF(COUNTA(B112:H112,J112:S112,U112:V112)=0,"",IF((IF(B112="","PO Ref, ","")&amp;IF(C112="","Vendor, ","")&amp;IF(D112="","Store, ","")&amp;IF(F112="","Product Type, ","")&amp;IF(G112="","Category, ","")&amp;IF(H112="","HSN Code, ","")&amp;IF(Q112="","Qty, ","")&amp;IF(R112="","Purchase Rate, ","")&amp;IF(S112="","MRP, ",""))&lt;&gt;"","Missing: "&amp;LEFT(IF(B112="","PO Ref, ","")&amp;IF(C112="","Vendor, ","")&amp;IF(D112="","Store, ","")&amp;IF(F112="","Product Type, ","")&amp;IF(G112="","Category, ","")&amp;IF(H112="","HSN Code, ","")&amp;IF(Q112="","Qty, ","")&amp;IF(R112="","Purchase Rate, ","")&amp;IF(S112="","MRP, ",""),LEN(IF(B112="","PO Ref, ","")&amp;IF(C112="","Vendor, ","")&amp;IF(D112="","Store, ","")&amp;IF(F112="","Product Type, ","")&amp;IF(G112="","Category, ","")&amp;IF(H112="","HSN Code, ","")&amp;IF(Q112="","Qty, ","")&amp;IF(R112="","Purchase Rate, ","")&amp;IF(S112="","MRP, ",""))-2),IF(COUNTIF(Vendors!$B$3:$B$202,C112)=0,"Add vendor "&amp;C112&amp;" on the Vendors sheet",IF(ISNA(MATCH(H112,Codes!$A$2:$A$13,0)),"Pick the HSN Code from the list",IF(AND(E112&lt;&gt;"",COUNTIFS($C$3:$C$1002,C112,$E$3:$E$1002,E112,$F$3:$F$1002,"&lt;&gt;"&amp;F112)+COUNTIFS($C$3:$C$1002,C112,$E$3:$E$1002,E112,$G$3:$G$1002,"&lt;&gt;"&amp;G112)&gt;0),"Design "&amp;E112&amp;" has another Product Type or Category on another row",IF(COUNTIFS($F$3:$F$1002,F112,$G$3:$G$1002,G112,$H$3:$H$1002,"&lt;&gt;"&amp;H112)&gt;0,F112&amp;" + "&amp;G112&amp;" has another HSN Code on another row",IF(AND(V112&lt;&gt;"",U112=""),"Received Qty needs the Vendor Invoice No",IF(AND(U112&lt;&gt;"",COUNTIFS(Bills!$B$3:$B$302,U112,Bills!$C$3:$C$302,C112)=0),"Add bill "&amp;U112&amp;" of "&amp;C112&amp;" on the Bills sheet",IF(S112&lt;R112,"MRP is below the Purchase Rate","OK")))))))))</f>
        <v/>
      </c>
      <c r="B112" s="29"/>
      <c r="C112" s="22"/>
      <c r="D112" s="22"/>
      <c r="E112" s="24"/>
      <c r="F112" s="22"/>
      <c r="G112" s="22"/>
      <c r="H112" s="22"/>
      <c r="I112" s="30" t="str">
        <f>IF(H112="","",IFERROR(INDEX(Codes!$B$2:$B$13,MATCH(H112,Codes!$A$2:$A$13,0)),""))</f>
        <v/>
      </c>
      <c r="J112" s="23"/>
      <c r="K112" s="23"/>
      <c r="L112" s="23"/>
      <c r="M112" s="23"/>
      <c r="N112" s="23"/>
      <c r="O112" s="23"/>
      <c r="P112" s="23"/>
      <c r="Q112" s="31"/>
      <c r="R112" s="32"/>
      <c r="S112" s="32"/>
      <c r="T112" s="33" t="str">
        <f t="shared" si="2"/>
        <v/>
      </c>
      <c r="U112" s="34"/>
      <c r="V112" s="35"/>
      <c r="W112" s="33" t="str">
        <f t="shared" si="3"/>
        <v/>
      </c>
    </row>
    <row r="113" spans="1:23" x14ac:dyDescent="0.35">
      <c r="A113" s="21" t="str">
        <f>IF(COUNTA(B113:H113,J113:S113,U113:V113)=0,"",IF((IF(B113="","PO Ref, ","")&amp;IF(C113="","Vendor, ","")&amp;IF(D113="","Store, ","")&amp;IF(F113="","Product Type, ","")&amp;IF(G113="","Category, ","")&amp;IF(H113="","HSN Code, ","")&amp;IF(Q113="","Qty, ","")&amp;IF(R113="","Purchase Rate, ","")&amp;IF(S113="","MRP, ",""))&lt;&gt;"","Missing: "&amp;LEFT(IF(B113="","PO Ref, ","")&amp;IF(C113="","Vendor, ","")&amp;IF(D113="","Store, ","")&amp;IF(F113="","Product Type, ","")&amp;IF(G113="","Category, ","")&amp;IF(H113="","HSN Code, ","")&amp;IF(Q113="","Qty, ","")&amp;IF(R113="","Purchase Rate, ","")&amp;IF(S113="","MRP, ",""),LEN(IF(B113="","PO Ref, ","")&amp;IF(C113="","Vendor, ","")&amp;IF(D113="","Store, ","")&amp;IF(F113="","Product Type, ","")&amp;IF(G113="","Category, ","")&amp;IF(H113="","HSN Code, ","")&amp;IF(Q113="","Qty, ","")&amp;IF(R113="","Purchase Rate, ","")&amp;IF(S113="","MRP, ",""))-2),IF(COUNTIF(Vendors!$B$3:$B$202,C113)=0,"Add vendor "&amp;C113&amp;" on the Vendors sheet",IF(ISNA(MATCH(H113,Codes!$A$2:$A$13,0)),"Pick the HSN Code from the list",IF(AND(E113&lt;&gt;"",COUNTIFS($C$3:$C$1002,C113,$E$3:$E$1002,E113,$F$3:$F$1002,"&lt;&gt;"&amp;F113)+COUNTIFS($C$3:$C$1002,C113,$E$3:$E$1002,E113,$G$3:$G$1002,"&lt;&gt;"&amp;G113)&gt;0),"Design "&amp;E113&amp;" has another Product Type or Category on another row",IF(COUNTIFS($F$3:$F$1002,F113,$G$3:$G$1002,G113,$H$3:$H$1002,"&lt;&gt;"&amp;H113)&gt;0,F113&amp;" + "&amp;G113&amp;" has another HSN Code on another row",IF(AND(V113&lt;&gt;"",U113=""),"Received Qty needs the Vendor Invoice No",IF(AND(U113&lt;&gt;"",COUNTIFS(Bills!$B$3:$B$302,U113,Bills!$C$3:$C$302,C113)=0),"Add bill "&amp;U113&amp;" of "&amp;C113&amp;" on the Bills sheet",IF(S113&lt;R113,"MRP is below the Purchase Rate","OK")))))))))</f>
        <v/>
      </c>
      <c r="B113" s="29"/>
      <c r="C113" s="22"/>
      <c r="D113" s="22"/>
      <c r="E113" s="24"/>
      <c r="F113" s="22"/>
      <c r="G113" s="22"/>
      <c r="H113" s="22"/>
      <c r="I113" s="30" t="str">
        <f>IF(H113="","",IFERROR(INDEX(Codes!$B$2:$B$13,MATCH(H113,Codes!$A$2:$A$13,0)),""))</f>
        <v/>
      </c>
      <c r="J113" s="23"/>
      <c r="K113" s="23"/>
      <c r="L113" s="23"/>
      <c r="M113" s="23"/>
      <c r="N113" s="23"/>
      <c r="O113" s="23"/>
      <c r="P113" s="23"/>
      <c r="Q113" s="31"/>
      <c r="R113" s="32"/>
      <c r="S113" s="32"/>
      <c r="T113" s="33" t="str">
        <f t="shared" si="2"/>
        <v/>
      </c>
      <c r="U113" s="34"/>
      <c r="V113" s="35"/>
      <c r="W113" s="33" t="str">
        <f t="shared" si="3"/>
        <v/>
      </c>
    </row>
    <row r="114" spans="1:23" x14ac:dyDescent="0.35">
      <c r="A114" s="21" t="str">
        <f>IF(COUNTA(B114:H114,J114:S114,U114:V114)=0,"",IF((IF(B114="","PO Ref, ","")&amp;IF(C114="","Vendor, ","")&amp;IF(D114="","Store, ","")&amp;IF(F114="","Product Type, ","")&amp;IF(G114="","Category, ","")&amp;IF(H114="","HSN Code, ","")&amp;IF(Q114="","Qty, ","")&amp;IF(R114="","Purchase Rate, ","")&amp;IF(S114="","MRP, ",""))&lt;&gt;"","Missing: "&amp;LEFT(IF(B114="","PO Ref, ","")&amp;IF(C114="","Vendor, ","")&amp;IF(D114="","Store, ","")&amp;IF(F114="","Product Type, ","")&amp;IF(G114="","Category, ","")&amp;IF(H114="","HSN Code, ","")&amp;IF(Q114="","Qty, ","")&amp;IF(R114="","Purchase Rate, ","")&amp;IF(S114="","MRP, ",""),LEN(IF(B114="","PO Ref, ","")&amp;IF(C114="","Vendor, ","")&amp;IF(D114="","Store, ","")&amp;IF(F114="","Product Type, ","")&amp;IF(G114="","Category, ","")&amp;IF(H114="","HSN Code, ","")&amp;IF(Q114="","Qty, ","")&amp;IF(R114="","Purchase Rate, ","")&amp;IF(S114="","MRP, ",""))-2),IF(COUNTIF(Vendors!$B$3:$B$202,C114)=0,"Add vendor "&amp;C114&amp;" on the Vendors sheet",IF(ISNA(MATCH(H114,Codes!$A$2:$A$13,0)),"Pick the HSN Code from the list",IF(AND(E114&lt;&gt;"",COUNTIFS($C$3:$C$1002,C114,$E$3:$E$1002,E114,$F$3:$F$1002,"&lt;&gt;"&amp;F114)+COUNTIFS($C$3:$C$1002,C114,$E$3:$E$1002,E114,$G$3:$G$1002,"&lt;&gt;"&amp;G114)&gt;0),"Design "&amp;E114&amp;" has another Product Type or Category on another row",IF(COUNTIFS($F$3:$F$1002,F114,$G$3:$G$1002,G114,$H$3:$H$1002,"&lt;&gt;"&amp;H114)&gt;0,F114&amp;" + "&amp;G114&amp;" has another HSN Code on another row",IF(AND(V114&lt;&gt;"",U114=""),"Received Qty needs the Vendor Invoice No",IF(AND(U114&lt;&gt;"",COUNTIFS(Bills!$B$3:$B$302,U114,Bills!$C$3:$C$302,C114)=0),"Add bill "&amp;U114&amp;" of "&amp;C114&amp;" on the Bills sheet",IF(S114&lt;R114,"MRP is below the Purchase Rate","OK")))))))))</f>
        <v/>
      </c>
      <c r="B114" s="29"/>
      <c r="C114" s="22"/>
      <c r="D114" s="22"/>
      <c r="E114" s="24"/>
      <c r="F114" s="22"/>
      <c r="G114" s="22"/>
      <c r="H114" s="22"/>
      <c r="I114" s="30" t="str">
        <f>IF(H114="","",IFERROR(INDEX(Codes!$B$2:$B$13,MATCH(H114,Codes!$A$2:$A$13,0)),""))</f>
        <v/>
      </c>
      <c r="J114" s="23"/>
      <c r="K114" s="23"/>
      <c r="L114" s="23"/>
      <c r="M114" s="23"/>
      <c r="N114" s="23"/>
      <c r="O114" s="23"/>
      <c r="P114" s="23"/>
      <c r="Q114" s="31"/>
      <c r="R114" s="32"/>
      <c r="S114" s="32"/>
      <c r="T114" s="33" t="str">
        <f t="shared" si="2"/>
        <v/>
      </c>
      <c r="U114" s="34"/>
      <c r="V114" s="35"/>
      <c r="W114" s="33" t="str">
        <f t="shared" si="3"/>
        <v/>
      </c>
    </row>
    <row r="115" spans="1:23" x14ac:dyDescent="0.35">
      <c r="A115" s="21" t="str">
        <f>IF(COUNTA(B115:H115,J115:S115,U115:V115)=0,"",IF((IF(B115="","PO Ref, ","")&amp;IF(C115="","Vendor, ","")&amp;IF(D115="","Store, ","")&amp;IF(F115="","Product Type, ","")&amp;IF(G115="","Category, ","")&amp;IF(H115="","HSN Code, ","")&amp;IF(Q115="","Qty, ","")&amp;IF(R115="","Purchase Rate, ","")&amp;IF(S115="","MRP, ",""))&lt;&gt;"","Missing: "&amp;LEFT(IF(B115="","PO Ref, ","")&amp;IF(C115="","Vendor, ","")&amp;IF(D115="","Store, ","")&amp;IF(F115="","Product Type, ","")&amp;IF(G115="","Category, ","")&amp;IF(H115="","HSN Code, ","")&amp;IF(Q115="","Qty, ","")&amp;IF(R115="","Purchase Rate, ","")&amp;IF(S115="","MRP, ",""),LEN(IF(B115="","PO Ref, ","")&amp;IF(C115="","Vendor, ","")&amp;IF(D115="","Store, ","")&amp;IF(F115="","Product Type, ","")&amp;IF(G115="","Category, ","")&amp;IF(H115="","HSN Code, ","")&amp;IF(Q115="","Qty, ","")&amp;IF(R115="","Purchase Rate, ","")&amp;IF(S115="","MRP, ",""))-2),IF(COUNTIF(Vendors!$B$3:$B$202,C115)=0,"Add vendor "&amp;C115&amp;" on the Vendors sheet",IF(ISNA(MATCH(H115,Codes!$A$2:$A$13,0)),"Pick the HSN Code from the list",IF(AND(E115&lt;&gt;"",COUNTIFS($C$3:$C$1002,C115,$E$3:$E$1002,E115,$F$3:$F$1002,"&lt;&gt;"&amp;F115)+COUNTIFS($C$3:$C$1002,C115,$E$3:$E$1002,E115,$G$3:$G$1002,"&lt;&gt;"&amp;G115)&gt;0),"Design "&amp;E115&amp;" has another Product Type or Category on another row",IF(COUNTIFS($F$3:$F$1002,F115,$G$3:$G$1002,G115,$H$3:$H$1002,"&lt;&gt;"&amp;H115)&gt;0,F115&amp;" + "&amp;G115&amp;" has another HSN Code on another row",IF(AND(V115&lt;&gt;"",U115=""),"Received Qty needs the Vendor Invoice No",IF(AND(U115&lt;&gt;"",COUNTIFS(Bills!$B$3:$B$302,U115,Bills!$C$3:$C$302,C115)=0),"Add bill "&amp;U115&amp;" of "&amp;C115&amp;" on the Bills sheet",IF(S115&lt;R115,"MRP is below the Purchase Rate","OK")))))))))</f>
        <v/>
      </c>
      <c r="B115" s="29"/>
      <c r="C115" s="22"/>
      <c r="D115" s="22"/>
      <c r="E115" s="24"/>
      <c r="F115" s="22"/>
      <c r="G115" s="22"/>
      <c r="H115" s="22"/>
      <c r="I115" s="30" t="str">
        <f>IF(H115="","",IFERROR(INDEX(Codes!$B$2:$B$13,MATCH(H115,Codes!$A$2:$A$13,0)),""))</f>
        <v/>
      </c>
      <c r="J115" s="23"/>
      <c r="K115" s="23"/>
      <c r="L115" s="23"/>
      <c r="M115" s="23"/>
      <c r="N115" s="23"/>
      <c r="O115" s="23"/>
      <c r="P115" s="23"/>
      <c r="Q115" s="31"/>
      <c r="R115" s="32"/>
      <c r="S115" s="32"/>
      <c r="T115" s="33" t="str">
        <f t="shared" si="2"/>
        <v/>
      </c>
      <c r="U115" s="34"/>
      <c r="V115" s="35"/>
      <c r="W115" s="33" t="str">
        <f t="shared" si="3"/>
        <v/>
      </c>
    </row>
    <row r="116" spans="1:23" x14ac:dyDescent="0.35">
      <c r="A116" s="21" t="str">
        <f>IF(COUNTA(B116:H116,J116:S116,U116:V116)=0,"",IF((IF(B116="","PO Ref, ","")&amp;IF(C116="","Vendor, ","")&amp;IF(D116="","Store, ","")&amp;IF(F116="","Product Type, ","")&amp;IF(G116="","Category, ","")&amp;IF(H116="","HSN Code, ","")&amp;IF(Q116="","Qty, ","")&amp;IF(R116="","Purchase Rate, ","")&amp;IF(S116="","MRP, ",""))&lt;&gt;"","Missing: "&amp;LEFT(IF(B116="","PO Ref, ","")&amp;IF(C116="","Vendor, ","")&amp;IF(D116="","Store, ","")&amp;IF(F116="","Product Type, ","")&amp;IF(G116="","Category, ","")&amp;IF(H116="","HSN Code, ","")&amp;IF(Q116="","Qty, ","")&amp;IF(R116="","Purchase Rate, ","")&amp;IF(S116="","MRP, ",""),LEN(IF(B116="","PO Ref, ","")&amp;IF(C116="","Vendor, ","")&amp;IF(D116="","Store, ","")&amp;IF(F116="","Product Type, ","")&amp;IF(G116="","Category, ","")&amp;IF(H116="","HSN Code, ","")&amp;IF(Q116="","Qty, ","")&amp;IF(R116="","Purchase Rate, ","")&amp;IF(S116="","MRP, ",""))-2),IF(COUNTIF(Vendors!$B$3:$B$202,C116)=0,"Add vendor "&amp;C116&amp;" on the Vendors sheet",IF(ISNA(MATCH(H116,Codes!$A$2:$A$13,0)),"Pick the HSN Code from the list",IF(AND(E116&lt;&gt;"",COUNTIFS($C$3:$C$1002,C116,$E$3:$E$1002,E116,$F$3:$F$1002,"&lt;&gt;"&amp;F116)+COUNTIFS($C$3:$C$1002,C116,$E$3:$E$1002,E116,$G$3:$G$1002,"&lt;&gt;"&amp;G116)&gt;0),"Design "&amp;E116&amp;" has another Product Type or Category on another row",IF(COUNTIFS($F$3:$F$1002,F116,$G$3:$G$1002,G116,$H$3:$H$1002,"&lt;&gt;"&amp;H116)&gt;0,F116&amp;" + "&amp;G116&amp;" has another HSN Code on another row",IF(AND(V116&lt;&gt;"",U116=""),"Received Qty needs the Vendor Invoice No",IF(AND(U116&lt;&gt;"",COUNTIFS(Bills!$B$3:$B$302,U116,Bills!$C$3:$C$302,C116)=0),"Add bill "&amp;U116&amp;" of "&amp;C116&amp;" on the Bills sheet",IF(S116&lt;R116,"MRP is below the Purchase Rate","OK")))))))))</f>
        <v/>
      </c>
      <c r="B116" s="29"/>
      <c r="C116" s="22"/>
      <c r="D116" s="22"/>
      <c r="E116" s="24"/>
      <c r="F116" s="22"/>
      <c r="G116" s="22"/>
      <c r="H116" s="22"/>
      <c r="I116" s="30" t="str">
        <f>IF(H116="","",IFERROR(INDEX(Codes!$B$2:$B$13,MATCH(H116,Codes!$A$2:$A$13,0)),""))</f>
        <v/>
      </c>
      <c r="J116" s="23"/>
      <c r="K116" s="23"/>
      <c r="L116" s="23"/>
      <c r="M116" s="23"/>
      <c r="N116" s="23"/>
      <c r="O116" s="23"/>
      <c r="P116" s="23"/>
      <c r="Q116" s="31"/>
      <c r="R116" s="32"/>
      <c r="S116" s="32"/>
      <c r="T116" s="33" t="str">
        <f t="shared" si="2"/>
        <v/>
      </c>
      <c r="U116" s="34"/>
      <c r="V116" s="35"/>
      <c r="W116" s="33" t="str">
        <f t="shared" si="3"/>
        <v/>
      </c>
    </row>
    <row r="117" spans="1:23" x14ac:dyDescent="0.35">
      <c r="A117" s="21" t="str">
        <f>IF(COUNTA(B117:H117,J117:S117,U117:V117)=0,"",IF((IF(B117="","PO Ref, ","")&amp;IF(C117="","Vendor, ","")&amp;IF(D117="","Store, ","")&amp;IF(F117="","Product Type, ","")&amp;IF(G117="","Category, ","")&amp;IF(H117="","HSN Code, ","")&amp;IF(Q117="","Qty, ","")&amp;IF(R117="","Purchase Rate, ","")&amp;IF(S117="","MRP, ",""))&lt;&gt;"","Missing: "&amp;LEFT(IF(B117="","PO Ref, ","")&amp;IF(C117="","Vendor, ","")&amp;IF(D117="","Store, ","")&amp;IF(F117="","Product Type, ","")&amp;IF(G117="","Category, ","")&amp;IF(H117="","HSN Code, ","")&amp;IF(Q117="","Qty, ","")&amp;IF(R117="","Purchase Rate, ","")&amp;IF(S117="","MRP, ",""),LEN(IF(B117="","PO Ref, ","")&amp;IF(C117="","Vendor, ","")&amp;IF(D117="","Store, ","")&amp;IF(F117="","Product Type, ","")&amp;IF(G117="","Category, ","")&amp;IF(H117="","HSN Code, ","")&amp;IF(Q117="","Qty, ","")&amp;IF(R117="","Purchase Rate, ","")&amp;IF(S117="","MRP, ",""))-2),IF(COUNTIF(Vendors!$B$3:$B$202,C117)=0,"Add vendor "&amp;C117&amp;" on the Vendors sheet",IF(ISNA(MATCH(H117,Codes!$A$2:$A$13,0)),"Pick the HSN Code from the list",IF(AND(E117&lt;&gt;"",COUNTIFS($C$3:$C$1002,C117,$E$3:$E$1002,E117,$F$3:$F$1002,"&lt;&gt;"&amp;F117)+COUNTIFS($C$3:$C$1002,C117,$E$3:$E$1002,E117,$G$3:$G$1002,"&lt;&gt;"&amp;G117)&gt;0),"Design "&amp;E117&amp;" has another Product Type or Category on another row",IF(COUNTIFS($F$3:$F$1002,F117,$G$3:$G$1002,G117,$H$3:$H$1002,"&lt;&gt;"&amp;H117)&gt;0,F117&amp;" + "&amp;G117&amp;" has another HSN Code on another row",IF(AND(V117&lt;&gt;"",U117=""),"Received Qty needs the Vendor Invoice No",IF(AND(U117&lt;&gt;"",COUNTIFS(Bills!$B$3:$B$302,U117,Bills!$C$3:$C$302,C117)=0),"Add bill "&amp;U117&amp;" of "&amp;C117&amp;" on the Bills sheet",IF(S117&lt;R117,"MRP is below the Purchase Rate","OK")))))))))</f>
        <v/>
      </c>
      <c r="B117" s="29"/>
      <c r="C117" s="22"/>
      <c r="D117" s="22"/>
      <c r="E117" s="24"/>
      <c r="F117" s="22"/>
      <c r="G117" s="22"/>
      <c r="H117" s="22"/>
      <c r="I117" s="30" t="str">
        <f>IF(H117="","",IFERROR(INDEX(Codes!$B$2:$B$13,MATCH(H117,Codes!$A$2:$A$13,0)),""))</f>
        <v/>
      </c>
      <c r="J117" s="23"/>
      <c r="K117" s="23"/>
      <c r="L117" s="23"/>
      <c r="M117" s="23"/>
      <c r="N117" s="23"/>
      <c r="O117" s="23"/>
      <c r="P117" s="23"/>
      <c r="Q117" s="31"/>
      <c r="R117" s="32"/>
      <c r="S117" s="32"/>
      <c r="T117" s="33" t="str">
        <f t="shared" si="2"/>
        <v/>
      </c>
      <c r="U117" s="34"/>
      <c r="V117" s="35"/>
      <c r="W117" s="33" t="str">
        <f t="shared" si="3"/>
        <v/>
      </c>
    </row>
    <row r="118" spans="1:23" x14ac:dyDescent="0.35">
      <c r="A118" s="21" t="str">
        <f>IF(COUNTA(B118:H118,J118:S118,U118:V118)=0,"",IF((IF(B118="","PO Ref, ","")&amp;IF(C118="","Vendor, ","")&amp;IF(D118="","Store, ","")&amp;IF(F118="","Product Type, ","")&amp;IF(G118="","Category, ","")&amp;IF(H118="","HSN Code, ","")&amp;IF(Q118="","Qty, ","")&amp;IF(R118="","Purchase Rate, ","")&amp;IF(S118="","MRP, ",""))&lt;&gt;"","Missing: "&amp;LEFT(IF(B118="","PO Ref, ","")&amp;IF(C118="","Vendor, ","")&amp;IF(D118="","Store, ","")&amp;IF(F118="","Product Type, ","")&amp;IF(G118="","Category, ","")&amp;IF(H118="","HSN Code, ","")&amp;IF(Q118="","Qty, ","")&amp;IF(R118="","Purchase Rate, ","")&amp;IF(S118="","MRP, ",""),LEN(IF(B118="","PO Ref, ","")&amp;IF(C118="","Vendor, ","")&amp;IF(D118="","Store, ","")&amp;IF(F118="","Product Type, ","")&amp;IF(G118="","Category, ","")&amp;IF(H118="","HSN Code, ","")&amp;IF(Q118="","Qty, ","")&amp;IF(R118="","Purchase Rate, ","")&amp;IF(S118="","MRP, ",""))-2),IF(COUNTIF(Vendors!$B$3:$B$202,C118)=0,"Add vendor "&amp;C118&amp;" on the Vendors sheet",IF(ISNA(MATCH(H118,Codes!$A$2:$A$13,0)),"Pick the HSN Code from the list",IF(AND(E118&lt;&gt;"",COUNTIFS($C$3:$C$1002,C118,$E$3:$E$1002,E118,$F$3:$F$1002,"&lt;&gt;"&amp;F118)+COUNTIFS($C$3:$C$1002,C118,$E$3:$E$1002,E118,$G$3:$G$1002,"&lt;&gt;"&amp;G118)&gt;0),"Design "&amp;E118&amp;" has another Product Type or Category on another row",IF(COUNTIFS($F$3:$F$1002,F118,$G$3:$G$1002,G118,$H$3:$H$1002,"&lt;&gt;"&amp;H118)&gt;0,F118&amp;" + "&amp;G118&amp;" has another HSN Code on another row",IF(AND(V118&lt;&gt;"",U118=""),"Received Qty needs the Vendor Invoice No",IF(AND(U118&lt;&gt;"",COUNTIFS(Bills!$B$3:$B$302,U118,Bills!$C$3:$C$302,C118)=0),"Add bill "&amp;U118&amp;" of "&amp;C118&amp;" on the Bills sheet",IF(S118&lt;R118,"MRP is below the Purchase Rate","OK")))))))))</f>
        <v/>
      </c>
      <c r="B118" s="29"/>
      <c r="C118" s="22"/>
      <c r="D118" s="22"/>
      <c r="E118" s="24"/>
      <c r="F118" s="22"/>
      <c r="G118" s="22"/>
      <c r="H118" s="22"/>
      <c r="I118" s="30" t="str">
        <f>IF(H118="","",IFERROR(INDEX(Codes!$B$2:$B$13,MATCH(H118,Codes!$A$2:$A$13,0)),""))</f>
        <v/>
      </c>
      <c r="J118" s="23"/>
      <c r="K118" s="23"/>
      <c r="L118" s="23"/>
      <c r="M118" s="23"/>
      <c r="N118" s="23"/>
      <c r="O118" s="23"/>
      <c r="P118" s="23"/>
      <c r="Q118" s="31"/>
      <c r="R118" s="32"/>
      <c r="S118" s="32"/>
      <c r="T118" s="33" t="str">
        <f t="shared" si="2"/>
        <v/>
      </c>
      <c r="U118" s="34"/>
      <c r="V118" s="35"/>
      <c r="W118" s="33" t="str">
        <f t="shared" si="3"/>
        <v/>
      </c>
    </row>
    <row r="119" spans="1:23" x14ac:dyDescent="0.35">
      <c r="A119" s="21" t="str">
        <f>IF(COUNTA(B119:H119,J119:S119,U119:V119)=0,"",IF((IF(B119="","PO Ref, ","")&amp;IF(C119="","Vendor, ","")&amp;IF(D119="","Store, ","")&amp;IF(F119="","Product Type, ","")&amp;IF(G119="","Category, ","")&amp;IF(H119="","HSN Code, ","")&amp;IF(Q119="","Qty, ","")&amp;IF(R119="","Purchase Rate, ","")&amp;IF(S119="","MRP, ",""))&lt;&gt;"","Missing: "&amp;LEFT(IF(B119="","PO Ref, ","")&amp;IF(C119="","Vendor, ","")&amp;IF(D119="","Store, ","")&amp;IF(F119="","Product Type, ","")&amp;IF(G119="","Category, ","")&amp;IF(H119="","HSN Code, ","")&amp;IF(Q119="","Qty, ","")&amp;IF(R119="","Purchase Rate, ","")&amp;IF(S119="","MRP, ",""),LEN(IF(B119="","PO Ref, ","")&amp;IF(C119="","Vendor, ","")&amp;IF(D119="","Store, ","")&amp;IF(F119="","Product Type, ","")&amp;IF(G119="","Category, ","")&amp;IF(H119="","HSN Code, ","")&amp;IF(Q119="","Qty, ","")&amp;IF(R119="","Purchase Rate, ","")&amp;IF(S119="","MRP, ",""))-2),IF(COUNTIF(Vendors!$B$3:$B$202,C119)=0,"Add vendor "&amp;C119&amp;" on the Vendors sheet",IF(ISNA(MATCH(H119,Codes!$A$2:$A$13,0)),"Pick the HSN Code from the list",IF(AND(E119&lt;&gt;"",COUNTIFS($C$3:$C$1002,C119,$E$3:$E$1002,E119,$F$3:$F$1002,"&lt;&gt;"&amp;F119)+COUNTIFS($C$3:$C$1002,C119,$E$3:$E$1002,E119,$G$3:$G$1002,"&lt;&gt;"&amp;G119)&gt;0),"Design "&amp;E119&amp;" has another Product Type or Category on another row",IF(COUNTIFS($F$3:$F$1002,F119,$G$3:$G$1002,G119,$H$3:$H$1002,"&lt;&gt;"&amp;H119)&gt;0,F119&amp;" + "&amp;G119&amp;" has another HSN Code on another row",IF(AND(V119&lt;&gt;"",U119=""),"Received Qty needs the Vendor Invoice No",IF(AND(U119&lt;&gt;"",COUNTIFS(Bills!$B$3:$B$302,U119,Bills!$C$3:$C$302,C119)=0),"Add bill "&amp;U119&amp;" of "&amp;C119&amp;" on the Bills sheet",IF(S119&lt;R119,"MRP is below the Purchase Rate","OK")))))))))</f>
        <v/>
      </c>
      <c r="B119" s="29"/>
      <c r="C119" s="22"/>
      <c r="D119" s="22"/>
      <c r="E119" s="24"/>
      <c r="F119" s="22"/>
      <c r="G119" s="22"/>
      <c r="H119" s="22"/>
      <c r="I119" s="30" t="str">
        <f>IF(H119="","",IFERROR(INDEX(Codes!$B$2:$B$13,MATCH(H119,Codes!$A$2:$A$13,0)),""))</f>
        <v/>
      </c>
      <c r="J119" s="23"/>
      <c r="K119" s="23"/>
      <c r="L119" s="23"/>
      <c r="M119" s="23"/>
      <c r="N119" s="23"/>
      <c r="O119" s="23"/>
      <c r="P119" s="23"/>
      <c r="Q119" s="31"/>
      <c r="R119" s="32"/>
      <c r="S119" s="32"/>
      <c r="T119" s="33" t="str">
        <f t="shared" si="2"/>
        <v/>
      </c>
      <c r="U119" s="34"/>
      <c r="V119" s="35"/>
      <c r="W119" s="33" t="str">
        <f t="shared" si="3"/>
        <v/>
      </c>
    </row>
    <row r="120" spans="1:23" x14ac:dyDescent="0.35">
      <c r="A120" s="21" t="str">
        <f>IF(COUNTA(B120:H120,J120:S120,U120:V120)=0,"",IF((IF(B120="","PO Ref, ","")&amp;IF(C120="","Vendor, ","")&amp;IF(D120="","Store, ","")&amp;IF(F120="","Product Type, ","")&amp;IF(G120="","Category, ","")&amp;IF(H120="","HSN Code, ","")&amp;IF(Q120="","Qty, ","")&amp;IF(R120="","Purchase Rate, ","")&amp;IF(S120="","MRP, ",""))&lt;&gt;"","Missing: "&amp;LEFT(IF(B120="","PO Ref, ","")&amp;IF(C120="","Vendor, ","")&amp;IF(D120="","Store, ","")&amp;IF(F120="","Product Type, ","")&amp;IF(G120="","Category, ","")&amp;IF(H120="","HSN Code, ","")&amp;IF(Q120="","Qty, ","")&amp;IF(R120="","Purchase Rate, ","")&amp;IF(S120="","MRP, ",""),LEN(IF(B120="","PO Ref, ","")&amp;IF(C120="","Vendor, ","")&amp;IF(D120="","Store, ","")&amp;IF(F120="","Product Type, ","")&amp;IF(G120="","Category, ","")&amp;IF(H120="","HSN Code, ","")&amp;IF(Q120="","Qty, ","")&amp;IF(R120="","Purchase Rate, ","")&amp;IF(S120="","MRP, ",""))-2),IF(COUNTIF(Vendors!$B$3:$B$202,C120)=0,"Add vendor "&amp;C120&amp;" on the Vendors sheet",IF(ISNA(MATCH(H120,Codes!$A$2:$A$13,0)),"Pick the HSN Code from the list",IF(AND(E120&lt;&gt;"",COUNTIFS($C$3:$C$1002,C120,$E$3:$E$1002,E120,$F$3:$F$1002,"&lt;&gt;"&amp;F120)+COUNTIFS($C$3:$C$1002,C120,$E$3:$E$1002,E120,$G$3:$G$1002,"&lt;&gt;"&amp;G120)&gt;0),"Design "&amp;E120&amp;" has another Product Type or Category on another row",IF(COUNTIFS($F$3:$F$1002,F120,$G$3:$G$1002,G120,$H$3:$H$1002,"&lt;&gt;"&amp;H120)&gt;0,F120&amp;" + "&amp;G120&amp;" has another HSN Code on another row",IF(AND(V120&lt;&gt;"",U120=""),"Received Qty needs the Vendor Invoice No",IF(AND(U120&lt;&gt;"",COUNTIFS(Bills!$B$3:$B$302,U120,Bills!$C$3:$C$302,C120)=0),"Add bill "&amp;U120&amp;" of "&amp;C120&amp;" on the Bills sheet",IF(S120&lt;R120,"MRP is below the Purchase Rate","OK")))))))))</f>
        <v/>
      </c>
      <c r="B120" s="29"/>
      <c r="C120" s="22"/>
      <c r="D120" s="22"/>
      <c r="E120" s="24"/>
      <c r="F120" s="22"/>
      <c r="G120" s="22"/>
      <c r="H120" s="22"/>
      <c r="I120" s="30" t="str">
        <f>IF(H120="","",IFERROR(INDEX(Codes!$B$2:$B$13,MATCH(H120,Codes!$A$2:$A$13,0)),""))</f>
        <v/>
      </c>
      <c r="J120" s="23"/>
      <c r="K120" s="23"/>
      <c r="L120" s="23"/>
      <c r="M120" s="23"/>
      <c r="N120" s="23"/>
      <c r="O120" s="23"/>
      <c r="P120" s="23"/>
      <c r="Q120" s="31"/>
      <c r="R120" s="32"/>
      <c r="S120" s="32"/>
      <c r="T120" s="33" t="str">
        <f t="shared" si="2"/>
        <v/>
      </c>
      <c r="U120" s="34"/>
      <c r="V120" s="35"/>
      <c r="W120" s="33" t="str">
        <f t="shared" si="3"/>
        <v/>
      </c>
    </row>
    <row r="121" spans="1:23" x14ac:dyDescent="0.35">
      <c r="A121" s="21" t="str">
        <f>IF(COUNTA(B121:H121,J121:S121,U121:V121)=0,"",IF((IF(B121="","PO Ref, ","")&amp;IF(C121="","Vendor, ","")&amp;IF(D121="","Store, ","")&amp;IF(F121="","Product Type, ","")&amp;IF(G121="","Category, ","")&amp;IF(H121="","HSN Code, ","")&amp;IF(Q121="","Qty, ","")&amp;IF(R121="","Purchase Rate, ","")&amp;IF(S121="","MRP, ",""))&lt;&gt;"","Missing: "&amp;LEFT(IF(B121="","PO Ref, ","")&amp;IF(C121="","Vendor, ","")&amp;IF(D121="","Store, ","")&amp;IF(F121="","Product Type, ","")&amp;IF(G121="","Category, ","")&amp;IF(H121="","HSN Code, ","")&amp;IF(Q121="","Qty, ","")&amp;IF(R121="","Purchase Rate, ","")&amp;IF(S121="","MRP, ",""),LEN(IF(B121="","PO Ref, ","")&amp;IF(C121="","Vendor, ","")&amp;IF(D121="","Store, ","")&amp;IF(F121="","Product Type, ","")&amp;IF(G121="","Category, ","")&amp;IF(H121="","HSN Code, ","")&amp;IF(Q121="","Qty, ","")&amp;IF(R121="","Purchase Rate, ","")&amp;IF(S121="","MRP, ",""))-2),IF(COUNTIF(Vendors!$B$3:$B$202,C121)=0,"Add vendor "&amp;C121&amp;" on the Vendors sheet",IF(ISNA(MATCH(H121,Codes!$A$2:$A$13,0)),"Pick the HSN Code from the list",IF(AND(E121&lt;&gt;"",COUNTIFS($C$3:$C$1002,C121,$E$3:$E$1002,E121,$F$3:$F$1002,"&lt;&gt;"&amp;F121)+COUNTIFS($C$3:$C$1002,C121,$E$3:$E$1002,E121,$G$3:$G$1002,"&lt;&gt;"&amp;G121)&gt;0),"Design "&amp;E121&amp;" has another Product Type or Category on another row",IF(COUNTIFS($F$3:$F$1002,F121,$G$3:$G$1002,G121,$H$3:$H$1002,"&lt;&gt;"&amp;H121)&gt;0,F121&amp;" + "&amp;G121&amp;" has another HSN Code on another row",IF(AND(V121&lt;&gt;"",U121=""),"Received Qty needs the Vendor Invoice No",IF(AND(U121&lt;&gt;"",COUNTIFS(Bills!$B$3:$B$302,U121,Bills!$C$3:$C$302,C121)=0),"Add bill "&amp;U121&amp;" of "&amp;C121&amp;" on the Bills sheet",IF(S121&lt;R121,"MRP is below the Purchase Rate","OK")))))))))</f>
        <v/>
      </c>
      <c r="B121" s="29"/>
      <c r="C121" s="22"/>
      <c r="D121" s="22"/>
      <c r="E121" s="24"/>
      <c r="F121" s="22"/>
      <c r="G121" s="22"/>
      <c r="H121" s="22"/>
      <c r="I121" s="30" t="str">
        <f>IF(H121="","",IFERROR(INDEX(Codes!$B$2:$B$13,MATCH(H121,Codes!$A$2:$A$13,0)),""))</f>
        <v/>
      </c>
      <c r="J121" s="23"/>
      <c r="K121" s="23"/>
      <c r="L121" s="23"/>
      <c r="M121" s="23"/>
      <c r="N121" s="23"/>
      <c r="O121" s="23"/>
      <c r="P121" s="23"/>
      <c r="Q121" s="31"/>
      <c r="R121" s="32"/>
      <c r="S121" s="32"/>
      <c r="T121" s="33" t="str">
        <f t="shared" si="2"/>
        <v/>
      </c>
      <c r="U121" s="34"/>
      <c r="V121" s="35"/>
      <c r="W121" s="33" t="str">
        <f t="shared" si="3"/>
        <v/>
      </c>
    </row>
    <row r="122" spans="1:23" x14ac:dyDescent="0.35">
      <c r="A122" s="21" t="str">
        <f>IF(COUNTA(B122:H122,J122:S122,U122:V122)=0,"",IF((IF(B122="","PO Ref, ","")&amp;IF(C122="","Vendor, ","")&amp;IF(D122="","Store, ","")&amp;IF(F122="","Product Type, ","")&amp;IF(G122="","Category, ","")&amp;IF(H122="","HSN Code, ","")&amp;IF(Q122="","Qty, ","")&amp;IF(R122="","Purchase Rate, ","")&amp;IF(S122="","MRP, ",""))&lt;&gt;"","Missing: "&amp;LEFT(IF(B122="","PO Ref, ","")&amp;IF(C122="","Vendor, ","")&amp;IF(D122="","Store, ","")&amp;IF(F122="","Product Type, ","")&amp;IF(G122="","Category, ","")&amp;IF(H122="","HSN Code, ","")&amp;IF(Q122="","Qty, ","")&amp;IF(R122="","Purchase Rate, ","")&amp;IF(S122="","MRP, ",""),LEN(IF(B122="","PO Ref, ","")&amp;IF(C122="","Vendor, ","")&amp;IF(D122="","Store, ","")&amp;IF(F122="","Product Type, ","")&amp;IF(G122="","Category, ","")&amp;IF(H122="","HSN Code, ","")&amp;IF(Q122="","Qty, ","")&amp;IF(R122="","Purchase Rate, ","")&amp;IF(S122="","MRP, ",""))-2),IF(COUNTIF(Vendors!$B$3:$B$202,C122)=0,"Add vendor "&amp;C122&amp;" on the Vendors sheet",IF(ISNA(MATCH(H122,Codes!$A$2:$A$13,0)),"Pick the HSN Code from the list",IF(AND(E122&lt;&gt;"",COUNTIFS($C$3:$C$1002,C122,$E$3:$E$1002,E122,$F$3:$F$1002,"&lt;&gt;"&amp;F122)+COUNTIFS($C$3:$C$1002,C122,$E$3:$E$1002,E122,$G$3:$G$1002,"&lt;&gt;"&amp;G122)&gt;0),"Design "&amp;E122&amp;" has another Product Type or Category on another row",IF(COUNTIFS($F$3:$F$1002,F122,$G$3:$G$1002,G122,$H$3:$H$1002,"&lt;&gt;"&amp;H122)&gt;0,F122&amp;" + "&amp;G122&amp;" has another HSN Code on another row",IF(AND(V122&lt;&gt;"",U122=""),"Received Qty needs the Vendor Invoice No",IF(AND(U122&lt;&gt;"",COUNTIFS(Bills!$B$3:$B$302,U122,Bills!$C$3:$C$302,C122)=0),"Add bill "&amp;U122&amp;" of "&amp;C122&amp;" on the Bills sheet",IF(S122&lt;R122,"MRP is below the Purchase Rate","OK")))))))))</f>
        <v/>
      </c>
      <c r="B122" s="29"/>
      <c r="C122" s="22"/>
      <c r="D122" s="22"/>
      <c r="E122" s="24"/>
      <c r="F122" s="22"/>
      <c r="G122" s="22"/>
      <c r="H122" s="22"/>
      <c r="I122" s="30" t="str">
        <f>IF(H122="","",IFERROR(INDEX(Codes!$B$2:$B$13,MATCH(H122,Codes!$A$2:$A$13,0)),""))</f>
        <v/>
      </c>
      <c r="J122" s="23"/>
      <c r="K122" s="23"/>
      <c r="L122" s="23"/>
      <c r="M122" s="23"/>
      <c r="N122" s="23"/>
      <c r="O122" s="23"/>
      <c r="P122" s="23"/>
      <c r="Q122" s="31"/>
      <c r="R122" s="32"/>
      <c r="S122" s="32"/>
      <c r="T122" s="33" t="str">
        <f t="shared" si="2"/>
        <v/>
      </c>
      <c r="U122" s="34"/>
      <c r="V122" s="35"/>
      <c r="W122" s="33" t="str">
        <f t="shared" si="3"/>
        <v/>
      </c>
    </row>
    <row r="123" spans="1:23" x14ac:dyDescent="0.35">
      <c r="A123" s="21" t="str">
        <f>IF(COUNTA(B123:H123,J123:S123,U123:V123)=0,"",IF((IF(B123="","PO Ref, ","")&amp;IF(C123="","Vendor, ","")&amp;IF(D123="","Store, ","")&amp;IF(F123="","Product Type, ","")&amp;IF(G123="","Category, ","")&amp;IF(H123="","HSN Code, ","")&amp;IF(Q123="","Qty, ","")&amp;IF(R123="","Purchase Rate, ","")&amp;IF(S123="","MRP, ",""))&lt;&gt;"","Missing: "&amp;LEFT(IF(B123="","PO Ref, ","")&amp;IF(C123="","Vendor, ","")&amp;IF(D123="","Store, ","")&amp;IF(F123="","Product Type, ","")&amp;IF(G123="","Category, ","")&amp;IF(H123="","HSN Code, ","")&amp;IF(Q123="","Qty, ","")&amp;IF(R123="","Purchase Rate, ","")&amp;IF(S123="","MRP, ",""),LEN(IF(B123="","PO Ref, ","")&amp;IF(C123="","Vendor, ","")&amp;IF(D123="","Store, ","")&amp;IF(F123="","Product Type, ","")&amp;IF(G123="","Category, ","")&amp;IF(H123="","HSN Code, ","")&amp;IF(Q123="","Qty, ","")&amp;IF(R123="","Purchase Rate, ","")&amp;IF(S123="","MRP, ",""))-2),IF(COUNTIF(Vendors!$B$3:$B$202,C123)=0,"Add vendor "&amp;C123&amp;" on the Vendors sheet",IF(ISNA(MATCH(H123,Codes!$A$2:$A$13,0)),"Pick the HSN Code from the list",IF(AND(E123&lt;&gt;"",COUNTIFS($C$3:$C$1002,C123,$E$3:$E$1002,E123,$F$3:$F$1002,"&lt;&gt;"&amp;F123)+COUNTIFS($C$3:$C$1002,C123,$E$3:$E$1002,E123,$G$3:$G$1002,"&lt;&gt;"&amp;G123)&gt;0),"Design "&amp;E123&amp;" has another Product Type or Category on another row",IF(COUNTIFS($F$3:$F$1002,F123,$G$3:$G$1002,G123,$H$3:$H$1002,"&lt;&gt;"&amp;H123)&gt;0,F123&amp;" + "&amp;G123&amp;" has another HSN Code on another row",IF(AND(V123&lt;&gt;"",U123=""),"Received Qty needs the Vendor Invoice No",IF(AND(U123&lt;&gt;"",COUNTIFS(Bills!$B$3:$B$302,U123,Bills!$C$3:$C$302,C123)=0),"Add bill "&amp;U123&amp;" of "&amp;C123&amp;" on the Bills sheet",IF(S123&lt;R123,"MRP is below the Purchase Rate","OK")))))))))</f>
        <v/>
      </c>
      <c r="B123" s="29"/>
      <c r="C123" s="22"/>
      <c r="D123" s="22"/>
      <c r="E123" s="24"/>
      <c r="F123" s="22"/>
      <c r="G123" s="22"/>
      <c r="H123" s="22"/>
      <c r="I123" s="30" t="str">
        <f>IF(H123="","",IFERROR(INDEX(Codes!$B$2:$B$13,MATCH(H123,Codes!$A$2:$A$13,0)),""))</f>
        <v/>
      </c>
      <c r="J123" s="23"/>
      <c r="K123" s="23"/>
      <c r="L123" s="23"/>
      <c r="M123" s="23"/>
      <c r="N123" s="23"/>
      <c r="O123" s="23"/>
      <c r="P123" s="23"/>
      <c r="Q123" s="31"/>
      <c r="R123" s="32"/>
      <c r="S123" s="32"/>
      <c r="T123" s="33" t="str">
        <f t="shared" si="2"/>
        <v/>
      </c>
      <c r="U123" s="34"/>
      <c r="V123" s="35"/>
      <c r="W123" s="33" t="str">
        <f t="shared" si="3"/>
        <v/>
      </c>
    </row>
    <row r="124" spans="1:23" x14ac:dyDescent="0.35">
      <c r="A124" s="21" t="str">
        <f>IF(COUNTA(B124:H124,J124:S124,U124:V124)=0,"",IF((IF(B124="","PO Ref, ","")&amp;IF(C124="","Vendor, ","")&amp;IF(D124="","Store, ","")&amp;IF(F124="","Product Type, ","")&amp;IF(G124="","Category, ","")&amp;IF(H124="","HSN Code, ","")&amp;IF(Q124="","Qty, ","")&amp;IF(R124="","Purchase Rate, ","")&amp;IF(S124="","MRP, ",""))&lt;&gt;"","Missing: "&amp;LEFT(IF(B124="","PO Ref, ","")&amp;IF(C124="","Vendor, ","")&amp;IF(D124="","Store, ","")&amp;IF(F124="","Product Type, ","")&amp;IF(G124="","Category, ","")&amp;IF(H124="","HSN Code, ","")&amp;IF(Q124="","Qty, ","")&amp;IF(R124="","Purchase Rate, ","")&amp;IF(S124="","MRP, ",""),LEN(IF(B124="","PO Ref, ","")&amp;IF(C124="","Vendor, ","")&amp;IF(D124="","Store, ","")&amp;IF(F124="","Product Type, ","")&amp;IF(G124="","Category, ","")&amp;IF(H124="","HSN Code, ","")&amp;IF(Q124="","Qty, ","")&amp;IF(R124="","Purchase Rate, ","")&amp;IF(S124="","MRP, ",""))-2),IF(COUNTIF(Vendors!$B$3:$B$202,C124)=0,"Add vendor "&amp;C124&amp;" on the Vendors sheet",IF(ISNA(MATCH(H124,Codes!$A$2:$A$13,0)),"Pick the HSN Code from the list",IF(AND(E124&lt;&gt;"",COUNTIFS($C$3:$C$1002,C124,$E$3:$E$1002,E124,$F$3:$F$1002,"&lt;&gt;"&amp;F124)+COUNTIFS($C$3:$C$1002,C124,$E$3:$E$1002,E124,$G$3:$G$1002,"&lt;&gt;"&amp;G124)&gt;0),"Design "&amp;E124&amp;" has another Product Type or Category on another row",IF(COUNTIFS($F$3:$F$1002,F124,$G$3:$G$1002,G124,$H$3:$H$1002,"&lt;&gt;"&amp;H124)&gt;0,F124&amp;" + "&amp;G124&amp;" has another HSN Code on another row",IF(AND(V124&lt;&gt;"",U124=""),"Received Qty needs the Vendor Invoice No",IF(AND(U124&lt;&gt;"",COUNTIFS(Bills!$B$3:$B$302,U124,Bills!$C$3:$C$302,C124)=0),"Add bill "&amp;U124&amp;" of "&amp;C124&amp;" on the Bills sheet",IF(S124&lt;R124,"MRP is below the Purchase Rate","OK")))))))))</f>
        <v/>
      </c>
      <c r="B124" s="29"/>
      <c r="C124" s="22"/>
      <c r="D124" s="22"/>
      <c r="E124" s="24"/>
      <c r="F124" s="22"/>
      <c r="G124" s="22"/>
      <c r="H124" s="22"/>
      <c r="I124" s="30" t="str">
        <f>IF(H124="","",IFERROR(INDEX(Codes!$B$2:$B$13,MATCH(H124,Codes!$A$2:$A$13,0)),""))</f>
        <v/>
      </c>
      <c r="J124" s="23"/>
      <c r="K124" s="23"/>
      <c r="L124" s="23"/>
      <c r="M124" s="23"/>
      <c r="N124" s="23"/>
      <c r="O124" s="23"/>
      <c r="P124" s="23"/>
      <c r="Q124" s="31"/>
      <c r="R124" s="32"/>
      <c r="S124" s="32"/>
      <c r="T124" s="33" t="str">
        <f t="shared" si="2"/>
        <v/>
      </c>
      <c r="U124" s="34"/>
      <c r="V124" s="35"/>
      <c r="W124" s="33" t="str">
        <f t="shared" si="3"/>
        <v/>
      </c>
    </row>
    <row r="125" spans="1:23" x14ac:dyDescent="0.35">
      <c r="A125" s="21" t="str">
        <f>IF(COUNTA(B125:H125,J125:S125,U125:V125)=0,"",IF((IF(B125="","PO Ref, ","")&amp;IF(C125="","Vendor, ","")&amp;IF(D125="","Store, ","")&amp;IF(F125="","Product Type, ","")&amp;IF(G125="","Category, ","")&amp;IF(H125="","HSN Code, ","")&amp;IF(Q125="","Qty, ","")&amp;IF(R125="","Purchase Rate, ","")&amp;IF(S125="","MRP, ",""))&lt;&gt;"","Missing: "&amp;LEFT(IF(B125="","PO Ref, ","")&amp;IF(C125="","Vendor, ","")&amp;IF(D125="","Store, ","")&amp;IF(F125="","Product Type, ","")&amp;IF(G125="","Category, ","")&amp;IF(H125="","HSN Code, ","")&amp;IF(Q125="","Qty, ","")&amp;IF(R125="","Purchase Rate, ","")&amp;IF(S125="","MRP, ",""),LEN(IF(B125="","PO Ref, ","")&amp;IF(C125="","Vendor, ","")&amp;IF(D125="","Store, ","")&amp;IF(F125="","Product Type, ","")&amp;IF(G125="","Category, ","")&amp;IF(H125="","HSN Code, ","")&amp;IF(Q125="","Qty, ","")&amp;IF(R125="","Purchase Rate, ","")&amp;IF(S125="","MRP, ",""))-2),IF(COUNTIF(Vendors!$B$3:$B$202,C125)=0,"Add vendor "&amp;C125&amp;" on the Vendors sheet",IF(ISNA(MATCH(H125,Codes!$A$2:$A$13,0)),"Pick the HSN Code from the list",IF(AND(E125&lt;&gt;"",COUNTIFS($C$3:$C$1002,C125,$E$3:$E$1002,E125,$F$3:$F$1002,"&lt;&gt;"&amp;F125)+COUNTIFS($C$3:$C$1002,C125,$E$3:$E$1002,E125,$G$3:$G$1002,"&lt;&gt;"&amp;G125)&gt;0),"Design "&amp;E125&amp;" has another Product Type or Category on another row",IF(COUNTIFS($F$3:$F$1002,F125,$G$3:$G$1002,G125,$H$3:$H$1002,"&lt;&gt;"&amp;H125)&gt;0,F125&amp;" + "&amp;G125&amp;" has another HSN Code on another row",IF(AND(V125&lt;&gt;"",U125=""),"Received Qty needs the Vendor Invoice No",IF(AND(U125&lt;&gt;"",COUNTIFS(Bills!$B$3:$B$302,U125,Bills!$C$3:$C$302,C125)=0),"Add bill "&amp;U125&amp;" of "&amp;C125&amp;" on the Bills sheet",IF(S125&lt;R125,"MRP is below the Purchase Rate","OK")))))))))</f>
        <v/>
      </c>
      <c r="B125" s="29"/>
      <c r="C125" s="22"/>
      <c r="D125" s="22"/>
      <c r="E125" s="24"/>
      <c r="F125" s="22"/>
      <c r="G125" s="22"/>
      <c r="H125" s="22"/>
      <c r="I125" s="30" t="str">
        <f>IF(H125="","",IFERROR(INDEX(Codes!$B$2:$B$13,MATCH(H125,Codes!$A$2:$A$13,0)),""))</f>
        <v/>
      </c>
      <c r="J125" s="23"/>
      <c r="K125" s="23"/>
      <c r="L125" s="23"/>
      <c r="M125" s="23"/>
      <c r="N125" s="23"/>
      <c r="O125" s="23"/>
      <c r="P125" s="23"/>
      <c r="Q125" s="31"/>
      <c r="R125" s="32"/>
      <c r="S125" s="32"/>
      <c r="T125" s="33" t="str">
        <f t="shared" si="2"/>
        <v/>
      </c>
      <c r="U125" s="34"/>
      <c r="V125" s="35"/>
      <c r="W125" s="33" t="str">
        <f t="shared" si="3"/>
        <v/>
      </c>
    </row>
    <row r="126" spans="1:23" x14ac:dyDescent="0.35">
      <c r="A126" s="21" t="str">
        <f>IF(COUNTA(B126:H126,J126:S126,U126:V126)=0,"",IF((IF(B126="","PO Ref, ","")&amp;IF(C126="","Vendor, ","")&amp;IF(D126="","Store, ","")&amp;IF(F126="","Product Type, ","")&amp;IF(G126="","Category, ","")&amp;IF(H126="","HSN Code, ","")&amp;IF(Q126="","Qty, ","")&amp;IF(R126="","Purchase Rate, ","")&amp;IF(S126="","MRP, ",""))&lt;&gt;"","Missing: "&amp;LEFT(IF(B126="","PO Ref, ","")&amp;IF(C126="","Vendor, ","")&amp;IF(D126="","Store, ","")&amp;IF(F126="","Product Type, ","")&amp;IF(G126="","Category, ","")&amp;IF(H126="","HSN Code, ","")&amp;IF(Q126="","Qty, ","")&amp;IF(R126="","Purchase Rate, ","")&amp;IF(S126="","MRP, ",""),LEN(IF(B126="","PO Ref, ","")&amp;IF(C126="","Vendor, ","")&amp;IF(D126="","Store, ","")&amp;IF(F126="","Product Type, ","")&amp;IF(G126="","Category, ","")&amp;IF(H126="","HSN Code, ","")&amp;IF(Q126="","Qty, ","")&amp;IF(R126="","Purchase Rate, ","")&amp;IF(S126="","MRP, ",""))-2),IF(COUNTIF(Vendors!$B$3:$B$202,C126)=0,"Add vendor "&amp;C126&amp;" on the Vendors sheet",IF(ISNA(MATCH(H126,Codes!$A$2:$A$13,0)),"Pick the HSN Code from the list",IF(AND(E126&lt;&gt;"",COUNTIFS($C$3:$C$1002,C126,$E$3:$E$1002,E126,$F$3:$F$1002,"&lt;&gt;"&amp;F126)+COUNTIFS($C$3:$C$1002,C126,$E$3:$E$1002,E126,$G$3:$G$1002,"&lt;&gt;"&amp;G126)&gt;0),"Design "&amp;E126&amp;" has another Product Type or Category on another row",IF(COUNTIFS($F$3:$F$1002,F126,$G$3:$G$1002,G126,$H$3:$H$1002,"&lt;&gt;"&amp;H126)&gt;0,F126&amp;" + "&amp;G126&amp;" has another HSN Code on another row",IF(AND(V126&lt;&gt;"",U126=""),"Received Qty needs the Vendor Invoice No",IF(AND(U126&lt;&gt;"",COUNTIFS(Bills!$B$3:$B$302,U126,Bills!$C$3:$C$302,C126)=0),"Add bill "&amp;U126&amp;" of "&amp;C126&amp;" on the Bills sheet",IF(S126&lt;R126,"MRP is below the Purchase Rate","OK")))))))))</f>
        <v/>
      </c>
      <c r="B126" s="29"/>
      <c r="C126" s="22"/>
      <c r="D126" s="22"/>
      <c r="E126" s="24"/>
      <c r="F126" s="22"/>
      <c r="G126" s="22"/>
      <c r="H126" s="22"/>
      <c r="I126" s="30" t="str">
        <f>IF(H126="","",IFERROR(INDEX(Codes!$B$2:$B$13,MATCH(H126,Codes!$A$2:$A$13,0)),""))</f>
        <v/>
      </c>
      <c r="J126" s="23"/>
      <c r="K126" s="23"/>
      <c r="L126" s="23"/>
      <c r="M126" s="23"/>
      <c r="N126" s="23"/>
      <c r="O126" s="23"/>
      <c r="P126" s="23"/>
      <c r="Q126" s="31"/>
      <c r="R126" s="32"/>
      <c r="S126" s="32"/>
      <c r="T126" s="33" t="str">
        <f t="shared" si="2"/>
        <v/>
      </c>
      <c r="U126" s="34"/>
      <c r="V126" s="35"/>
      <c r="W126" s="33" t="str">
        <f t="shared" si="3"/>
        <v/>
      </c>
    </row>
    <row r="127" spans="1:23" x14ac:dyDescent="0.35">
      <c r="A127" s="21" t="str">
        <f>IF(COUNTA(B127:H127,J127:S127,U127:V127)=0,"",IF((IF(B127="","PO Ref, ","")&amp;IF(C127="","Vendor, ","")&amp;IF(D127="","Store, ","")&amp;IF(F127="","Product Type, ","")&amp;IF(G127="","Category, ","")&amp;IF(H127="","HSN Code, ","")&amp;IF(Q127="","Qty, ","")&amp;IF(R127="","Purchase Rate, ","")&amp;IF(S127="","MRP, ",""))&lt;&gt;"","Missing: "&amp;LEFT(IF(B127="","PO Ref, ","")&amp;IF(C127="","Vendor, ","")&amp;IF(D127="","Store, ","")&amp;IF(F127="","Product Type, ","")&amp;IF(G127="","Category, ","")&amp;IF(H127="","HSN Code, ","")&amp;IF(Q127="","Qty, ","")&amp;IF(R127="","Purchase Rate, ","")&amp;IF(S127="","MRP, ",""),LEN(IF(B127="","PO Ref, ","")&amp;IF(C127="","Vendor, ","")&amp;IF(D127="","Store, ","")&amp;IF(F127="","Product Type, ","")&amp;IF(G127="","Category, ","")&amp;IF(H127="","HSN Code, ","")&amp;IF(Q127="","Qty, ","")&amp;IF(R127="","Purchase Rate, ","")&amp;IF(S127="","MRP, ",""))-2),IF(COUNTIF(Vendors!$B$3:$B$202,C127)=0,"Add vendor "&amp;C127&amp;" on the Vendors sheet",IF(ISNA(MATCH(H127,Codes!$A$2:$A$13,0)),"Pick the HSN Code from the list",IF(AND(E127&lt;&gt;"",COUNTIFS($C$3:$C$1002,C127,$E$3:$E$1002,E127,$F$3:$F$1002,"&lt;&gt;"&amp;F127)+COUNTIFS($C$3:$C$1002,C127,$E$3:$E$1002,E127,$G$3:$G$1002,"&lt;&gt;"&amp;G127)&gt;0),"Design "&amp;E127&amp;" has another Product Type or Category on another row",IF(COUNTIFS($F$3:$F$1002,F127,$G$3:$G$1002,G127,$H$3:$H$1002,"&lt;&gt;"&amp;H127)&gt;0,F127&amp;" + "&amp;G127&amp;" has another HSN Code on another row",IF(AND(V127&lt;&gt;"",U127=""),"Received Qty needs the Vendor Invoice No",IF(AND(U127&lt;&gt;"",COUNTIFS(Bills!$B$3:$B$302,U127,Bills!$C$3:$C$302,C127)=0),"Add bill "&amp;U127&amp;" of "&amp;C127&amp;" on the Bills sheet",IF(S127&lt;R127,"MRP is below the Purchase Rate","OK")))))))))</f>
        <v/>
      </c>
      <c r="B127" s="29"/>
      <c r="C127" s="22"/>
      <c r="D127" s="22"/>
      <c r="E127" s="24"/>
      <c r="F127" s="22"/>
      <c r="G127" s="22"/>
      <c r="H127" s="22"/>
      <c r="I127" s="30" t="str">
        <f>IF(H127="","",IFERROR(INDEX(Codes!$B$2:$B$13,MATCH(H127,Codes!$A$2:$A$13,0)),""))</f>
        <v/>
      </c>
      <c r="J127" s="23"/>
      <c r="K127" s="23"/>
      <c r="L127" s="23"/>
      <c r="M127" s="23"/>
      <c r="N127" s="23"/>
      <c r="O127" s="23"/>
      <c r="P127" s="23"/>
      <c r="Q127" s="31"/>
      <c r="R127" s="32"/>
      <c r="S127" s="32"/>
      <c r="T127" s="33" t="str">
        <f t="shared" si="2"/>
        <v/>
      </c>
      <c r="U127" s="34"/>
      <c r="V127" s="35"/>
      <c r="W127" s="33" t="str">
        <f t="shared" si="3"/>
        <v/>
      </c>
    </row>
    <row r="128" spans="1:23" x14ac:dyDescent="0.35">
      <c r="A128" s="21" t="str">
        <f>IF(COUNTA(B128:H128,J128:S128,U128:V128)=0,"",IF((IF(B128="","PO Ref, ","")&amp;IF(C128="","Vendor, ","")&amp;IF(D128="","Store, ","")&amp;IF(F128="","Product Type, ","")&amp;IF(G128="","Category, ","")&amp;IF(H128="","HSN Code, ","")&amp;IF(Q128="","Qty, ","")&amp;IF(R128="","Purchase Rate, ","")&amp;IF(S128="","MRP, ",""))&lt;&gt;"","Missing: "&amp;LEFT(IF(B128="","PO Ref, ","")&amp;IF(C128="","Vendor, ","")&amp;IF(D128="","Store, ","")&amp;IF(F128="","Product Type, ","")&amp;IF(G128="","Category, ","")&amp;IF(H128="","HSN Code, ","")&amp;IF(Q128="","Qty, ","")&amp;IF(R128="","Purchase Rate, ","")&amp;IF(S128="","MRP, ",""),LEN(IF(B128="","PO Ref, ","")&amp;IF(C128="","Vendor, ","")&amp;IF(D128="","Store, ","")&amp;IF(F128="","Product Type, ","")&amp;IF(G128="","Category, ","")&amp;IF(H128="","HSN Code, ","")&amp;IF(Q128="","Qty, ","")&amp;IF(R128="","Purchase Rate, ","")&amp;IF(S128="","MRP, ",""))-2),IF(COUNTIF(Vendors!$B$3:$B$202,C128)=0,"Add vendor "&amp;C128&amp;" on the Vendors sheet",IF(ISNA(MATCH(H128,Codes!$A$2:$A$13,0)),"Pick the HSN Code from the list",IF(AND(E128&lt;&gt;"",COUNTIFS($C$3:$C$1002,C128,$E$3:$E$1002,E128,$F$3:$F$1002,"&lt;&gt;"&amp;F128)+COUNTIFS($C$3:$C$1002,C128,$E$3:$E$1002,E128,$G$3:$G$1002,"&lt;&gt;"&amp;G128)&gt;0),"Design "&amp;E128&amp;" has another Product Type or Category on another row",IF(COUNTIFS($F$3:$F$1002,F128,$G$3:$G$1002,G128,$H$3:$H$1002,"&lt;&gt;"&amp;H128)&gt;0,F128&amp;" + "&amp;G128&amp;" has another HSN Code on another row",IF(AND(V128&lt;&gt;"",U128=""),"Received Qty needs the Vendor Invoice No",IF(AND(U128&lt;&gt;"",COUNTIFS(Bills!$B$3:$B$302,U128,Bills!$C$3:$C$302,C128)=0),"Add bill "&amp;U128&amp;" of "&amp;C128&amp;" on the Bills sheet",IF(S128&lt;R128,"MRP is below the Purchase Rate","OK")))))))))</f>
        <v/>
      </c>
      <c r="B128" s="29"/>
      <c r="C128" s="22"/>
      <c r="D128" s="22"/>
      <c r="E128" s="24"/>
      <c r="F128" s="22"/>
      <c r="G128" s="22"/>
      <c r="H128" s="22"/>
      <c r="I128" s="30" t="str">
        <f>IF(H128="","",IFERROR(INDEX(Codes!$B$2:$B$13,MATCH(H128,Codes!$A$2:$A$13,0)),""))</f>
        <v/>
      </c>
      <c r="J128" s="23"/>
      <c r="K128" s="23"/>
      <c r="L128" s="23"/>
      <c r="M128" s="23"/>
      <c r="N128" s="23"/>
      <c r="O128" s="23"/>
      <c r="P128" s="23"/>
      <c r="Q128" s="31"/>
      <c r="R128" s="32"/>
      <c r="S128" s="32"/>
      <c r="T128" s="33" t="str">
        <f t="shared" si="2"/>
        <v/>
      </c>
      <c r="U128" s="34"/>
      <c r="V128" s="35"/>
      <c r="W128" s="33" t="str">
        <f t="shared" si="3"/>
        <v/>
      </c>
    </row>
    <row r="129" spans="1:23" x14ac:dyDescent="0.35">
      <c r="A129" s="21" t="str">
        <f>IF(COUNTA(B129:H129,J129:S129,U129:V129)=0,"",IF((IF(B129="","PO Ref, ","")&amp;IF(C129="","Vendor, ","")&amp;IF(D129="","Store, ","")&amp;IF(F129="","Product Type, ","")&amp;IF(G129="","Category, ","")&amp;IF(H129="","HSN Code, ","")&amp;IF(Q129="","Qty, ","")&amp;IF(R129="","Purchase Rate, ","")&amp;IF(S129="","MRP, ",""))&lt;&gt;"","Missing: "&amp;LEFT(IF(B129="","PO Ref, ","")&amp;IF(C129="","Vendor, ","")&amp;IF(D129="","Store, ","")&amp;IF(F129="","Product Type, ","")&amp;IF(G129="","Category, ","")&amp;IF(H129="","HSN Code, ","")&amp;IF(Q129="","Qty, ","")&amp;IF(R129="","Purchase Rate, ","")&amp;IF(S129="","MRP, ",""),LEN(IF(B129="","PO Ref, ","")&amp;IF(C129="","Vendor, ","")&amp;IF(D129="","Store, ","")&amp;IF(F129="","Product Type, ","")&amp;IF(G129="","Category, ","")&amp;IF(H129="","HSN Code, ","")&amp;IF(Q129="","Qty, ","")&amp;IF(R129="","Purchase Rate, ","")&amp;IF(S129="","MRP, ",""))-2),IF(COUNTIF(Vendors!$B$3:$B$202,C129)=0,"Add vendor "&amp;C129&amp;" on the Vendors sheet",IF(ISNA(MATCH(H129,Codes!$A$2:$A$13,0)),"Pick the HSN Code from the list",IF(AND(E129&lt;&gt;"",COUNTIFS($C$3:$C$1002,C129,$E$3:$E$1002,E129,$F$3:$F$1002,"&lt;&gt;"&amp;F129)+COUNTIFS($C$3:$C$1002,C129,$E$3:$E$1002,E129,$G$3:$G$1002,"&lt;&gt;"&amp;G129)&gt;0),"Design "&amp;E129&amp;" has another Product Type or Category on another row",IF(COUNTIFS($F$3:$F$1002,F129,$G$3:$G$1002,G129,$H$3:$H$1002,"&lt;&gt;"&amp;H129)&gt;0,F129&amp;" + "&amp;G129&amp;" has another HSN Code on another row",IF(AND(V129&lt;&gt;"",U129=""),"Received Qty needs the Vendor Invoice No",IF(AND(U129&lt;&gt;"",COUNTIFS(Bills!$B$3:$B$302,U129,Bills!$C$3:$C$302,C129)=0),"Add bill "&amp;U129&amp;" of "&amp;C129&amp;" on the Bills sheet",IF(S129&lt;R129,"MRP is below the Purchase Rate","OK")))))))))</f>
        <v/>
      </c>
      <c r="B129" s="29"/>
      <c r="C129" s="22"/>
      <c r="D129" s="22"/>
      <c r="E129" s="24"/>
      <c r="F129" s="22"/>
      <c r="G129" s="22"/>
      <c r="H129" s="22"/>
      <c r="I129" s="30" t="str">
        <f>IF(H129="","",IFERROR(INDEX(Codes!$B$2:$B$13,MATCH(H129,Codes!$A$2:$A$13,0)),""))</f>
        <v/>
      </c>
      <c r="J129" s="23"/>
      <c r="K129" s="23"/>
      <c r="L129" s="23"/>
      <c r="M129" s="23"/>
      <c r="N129" s="23"/>
      <c r="O129" s="23"/>
      <c r="P129" s="23"/>
      <c r="Q129" s="31"/>
      <c r="R129" s="32"/>
      <c r="S129" s="32"/>
      <c r="T129" s="33" t="str">
        <f t="shared" si="2"/>
        <v/>
      </c>
      <c r="U129" s="34"/>
      <c r="V129" s="35"/>
      <c r="W129" s="33" t="str">
        <f t="shared" si="3"/>
        <v/>
      </c>
    </row>
    <row r="130" spans="1:23" x14ac:dyDescent="0.35">
      <c r="A130" s="21" t="str">
        <f>IF(COUNTA(B130:H130,J130:S130,U130:V130)=0,"",IF((IF(B130="","PO Ref, ","")&amp;IF(C130="","Vendor, ","")&amp;IF(D130="","Store, ","")&amp;IF(F130="","Product Type, ","")&amp;IF(G130="","Category, ","")&amp;IF(H130="","HSN Code, ","")&amp;IF(Q130="","Qty, ","")&amp;IF(R130="","Purchase Rate, ","")&amp;IF(S130="","MRP, ",""))&lt;&gt;"","Missing: "&amp;LEFT(IF(B130="","PO Ref, ","")&amp;IF(C130="","Vendor, ","")&amp;IF(D130="","Store, ","")&amp;IF(F130="","Product Type, ","")&amp;IF(G130="","Category, ","")&amp;IF(H130="","HSN Code, ","")&amp;IF(Q130="","Qty, ","")&amp;IF(R130="","Purchase Rate, ","")&amp;IF(S130="","MRP, ",""),LEN(IF(B130="","PO Ref, ","")&amp;IF(C130="","Vendor, ","")&amp;IF(D130="","Store, ","")&amp;IF(F130="","Product Type, ","")&amp;IF(G130="","Category, ","")&amp;IF(H130="","HSN Code, ","")&amp;IF(Q130="","Qty, ","")&amp;IF(R130="","Purchase Rate, ","")&amp;IF(S130="","MRP, ",""))-2),IF(COUNTIF(Vendors!$B$3:$B$202,C130)=0,"Add vendor "&amp;C130&amp;" on the Vendors sheet",IF(ISNA(MATCH(H130,Codes!$A$2:$A$13,0)),"Pick the HSN Code from the list",IF(AND(E130&lt;&gt;"",COUNTIFS($C$3:$C$1002,C130,$E$3:$E$1002,E130,$F$3:$F$1002,"&lt;&gt;"&amp;F130)+COUNTIFS($C$3:$C$1002,C130,$E$3:$E$1002,E130,$G$3:$G$1002,"&lt;&gt;"&amp;G130)&gt;0),"Design "&amp;E130&amp;" has another Product Type or Category on another row",IF(COUNTIFS($F$3:$F$1002,F130,$G$3:$G$1002,G130,$H$3:$H$1002,"&lt;&gt;"&amp;H130)&gt;0,F130&amp;" + "&amp;G130&amp;" has another HSN Code on another row",IF(AND(V130&lt;&gt;"",U130=""),"Received Qty needs the Vendor Invoice No",IF(AND(U130&lt;&gt;"",COUNTIFS(Bills!$B$3:$B$302,U130,Bills!$C$3:$C$302,C130)=0),"Add bill "&amp;U130&amp;" of "&amp;C130&amp;" on the Bills sheet",IF(S130&lt;R130,"MRP is below the Purchase Rate","OK")))))))))</f>
        <v/>
      </c>
      <c r="B130" s="29"/>
      <c r="C130" s="22"/>
      <c r="D130" s="22"/>
      <c r="E130" s="24"/>
      <c r="F130" s="22"/>
      <c r="G130" s="22"/>
      <c r="H130" s="22"/>
      <c r="I130" s="30" t="str">
        <f>IF(H130="","",IFERROR(INDEX(Codes!$B$2:$B$13,MATCH(H130,Codes!$A$2:$A$13,0)),""))</f>
        <v/>
      </c>
      <c r="J130" s="23"/>
      <c r="K130" s="23"/>
      <c r="L130" s="23"/>
      <c r="M130" s="23"/>
      <c r="N130" s="23"/>
      <c r="O130" s="23"/>
      <c r="P130" s="23"/>
      <c r="Q130" s="31"/>
      <c r="R130" s="32"/>
      <c r="S130" s="32"/>
      <c r="T130" s="33" t="str">
        <f t="shared" si="2"/>
        <v/>
      </c>
      <c r="U130" s="34"/>
      <c r="V130" s="35"/>
      <c r="W130" s="33" t="str">
        <f t="shared" si="3"/>
        <v/>
      </c>
    </row>
    <row r="131" spans="1:23" x14ac:dyDescent="0.35">
      <c r="A131" s="21" t="str">
        <f>IF(COUNTA(B131:H131,J131:S131,U131:V131)=0,"",IF((IF(B131="","PO Ref, ","")&amp;IF(C131="","Vendor, ","")&amp;IF(D131="","Store, ","")&amp;IF(F131="","Product Type, ","")&amp;IF(G131="","Category, ","")&amp;IF(H131="","HSN Code, ","")&amp;IF(Q131="","Qty, ","")&amp;IF(R131="","Purchase Rate, ","")&amp;IF(S131="","MRP, ",""))&lt;&gt;"","Missing: "&amp;LEFT(IF(B131="","PO Ref, ","")&amp;IF(C131="","Vendor, ","")&amp;IF(D131="","Store, ","")&amp;IF(F131="","Product Type, ","")&amp;IF(G131="","Category, ","")&amp;IF(H131="","HSN Code, ","")&amp;IF(Q131="","Qty, ","")&amp;IF(R131="","Purchase Rate, ","")&amp;IF(S131="","MRP, ",""),LEN(IF(B131="","PO Ref, ","")&amp;IF(C131="","Vendor, ","")&amp;IF(D131="","Store, ","")&amp;IF(F131="","Product Type, ","")&amp;IF(G131="","Category, ","")&amp;IF(H131="","HSN Code, ","")&amp;IF(Q131="","Qty, ","")&amp;IF(R131="","Purchase Rate, ","")&amp;IF(S131="","MRP, ",""))-2),IF(COUNTIF(Vendors!$B$3:$B$202,C131)=0,"Add vendor "&amp;C131&amp;" on the Vendors sheet",IF(ISNA(MATCH(H131,Codes!$A$2:$A$13,0)),"Pick the HSN Code from the list",IF(AND(E131&lt;&gt;"",COUNTIFS($C$3:$C$1002,C131,$E$3:$E$1002,E131,$F$3:$F$1002,"&lt;&gt;"&amp;F131)+COUNTIFS($C$3:$C$1002,C131,$E$3:$E$1002,E131,$G$3:$G$1002,"&lt;&gt;"&amp;G131)&gt;0),"Design "&amp;E131&amp;" has another Product Type or Category on another row",IF(COUNTIFS($F$3:$F$1002,F131,$G$3:$G$1002,G131,$H$3:$H$1002,"&lt;&gt;"&amp;H131)&gt;0,F131&amp;" + "&amp;G131&amp;" has another HSN Code on another row",IF(AND(V131&lt;&gt;"",U131=""),"Received Qty needs the Vendor Invoice No",IF(AND(U131&lt;&gt;"",COUNTIFS(Bills!$B$3:$B$302,U131,Bills!$C$3:$C$302,C131)=0),"Add bill "&amp;U131&amp;" of "&amp;C131&amp;" on the Bills sheet",IF(S131&lt;R131,"MRP is below the Purchase Rate","OK")))))))))</f>
        <v/>
      </c>
      <c r="B131" s="29"/>
      <c r="C131" s="22"/>
      <c r="D131" s="22"/>
      <c r="E131" s="24"/>
      <c r="F131" s="22"/>
      <c r="G131" s="22"/>
      <c r="H131" s="22"/>
      <c r="I131" s="30" t="str">
        <f>IF(H131="","",IFERROR(INDEX(Codes!$B$2:$B$13,MATCH(H131,Codes!$A$2:$A$13,0)),""))</f>
        <v/>
      </c>
      <c r="J131" s="23"/>
      <c r="K131" s="23"/>
      <c r="L131" s="23"/>
      <c r="M131" s="23"/>
      <c r="N131" s="23"/>
      <c r="O131" s="23"/>
      <c r="P131" s="23"/>
      <c r="Q131" s="31"/>
      <c r="R131" s="32"/>
      <c r="S131" s="32"/>
      <c r="T131" s="33" t="str">
        <f t="shared" ref="T131:T194" si="4">IF(OR(Q131="",R131=""),"",Q131*R131)</f>
        <v/>
      </c>
      <c r="U131" s="34"/>
      <c r="V131" s="35"/>
      <c r="W131" s="33" t="str">
        <f t="shared" ref="W131:W194" si="5">IF(OR(U131="",R131=""),"",IF(V131="",Q131,V131)*R131)</f>
        <v/>
      </c>
    </row>
    <row r="132" spans="1:23" x14ac:dyDescent="0.35">
      <c r="A132" s="21" t="str">
        <f>IF(COUNTA(B132:H132,J132:S132,U132:V132)=0,"",IF((IF(B132="","PO Ref, ","")&amp;IF(C132="","Vendor, ","")&amp;IF(D132="","Store, ","")&amp;IF(F132="","Product Type, ","")&amp;IF(G132="","Category, ","")&amp;IF(H132="","HSN Code, ","")&amp;IF(Q132="","Qty, ","")&amp;IF(R132="","Purchase Rate, ","")&amp;IF(S132="","MRP, ",""))&lt;&gt;"","Missing: "&amp;LEFT(IF(B132="","PO Ref, ","")&amp;IF(C132="","Vendor, ","")&amp;IF(D132="","Store, ","")&amp;IF(F132="","Product Type, ","")&amp;IF(G132="","Category, ","")&amp;IF(H132="","HSN Code, ","")&amp;IF(Q132="","Qty, ","")&amp;IF(R132="","Purchase Rate, ","")&amp;IF(S132="","MRP, ",""),LEN(IF(B132="","PO Ref, ","")&amp;IF(C132="","Vendor, ","")&amp;IF(D132="","Store, ","")&amp;IF(F132="","Product Type, ","")&amp;IF(G132="","Category, ","")&amp;IF(H132="","HSN Code, ","")&amp;IF(Q132="","Qty, ","")&amp;IF(R132="","Purchase Rate, ","")&amp;IF(S132="","MRP, ",""))-2),IF(COUNTIF(Vendors!$B$3:$B$202,C132)=0,"Add vendor "&amp;C132&amp;" on the Vendors sheet",IF(ISNA(MATCH(H132,Codes!$A$2:$A$13,0)),"Pick the HSN Code from the list",IF(AND(E132&lt;&gt;"",COUNTIFS($C$3:$C$1002,C132,$E$3:$E$1002,E132,$F$3:$F$1002,"&lt;&gt;"&amp;F132)+COUNTIFS($C$3:$C$1002,C132,$E$3:$E$1002,E132,$G$3:$G$1002,"&lt;&gt;"&amp;G132)&gt;0),"Design "&amp;E132&amp;" has another Product Type or Category on another row",IF(COUNTIFS($F$3:$F$1002,F132,$G$3:$G$1002,G132,$H$3:$H$1002,"&lt;&gt;"&amp;H132)&gt;0,F132&amp;" + "&amp;G132&amp;" has another HSN Code on another row",IF(AND(V132&lt;&gt;"",U132=""),"Received Qty needs the Vendor Invoice No",IF(AND(U132&lt;&gt;"",COUNTIFS(Bills!$B$3:$B$302,U132,Bills!$C$3:$C$302,C132)=0),"Add bill "&amp;U132&amp;" of "&amp;C132&amp;" on the Bills sheet",IF(S132&lt;R132,"MRP is below the Purchase Rate","OK")))))))))</f>
        <v/>
      </c>
      <c r="B132" s="29"/>
      <c r="C132" s="22"/>
      <c r="D132" s="22"/>
      <c r="E132" s="24"/>
      <c r="F132" s="22"/>
      <c r="G132" s="22"/>
      <c r="H132" s="22"/>
      <c r="I132" s="30" t="str">
        <f>IF(H132="","",IFERROR(INDEX(Codes!$B$2:$B$13,MATCH(H132,Codes!$A$2:$A$13,0)),""))</f>
        <v/>
      </c>
      <c r="J132" s="23"/>
      <c r="K132" s="23"/>
      <c r="L132" s="23"/>
      <c r="M132" s="23"/>
      <c r="N132" s="23"/>
      <c r="O132" s="23"/>
      <c r="P132" s="23"/>
      <c r="Q132" s="31"/>
      <c r="R132" s="32"/>
      <c r="S132" s="32"/>
      <c r="T132" s="33" t="str">
        <f t="shared" si="4"/>
        <v/>
      </c>
      <c r="U132" s="34"/>
      <c r="V132" s="35"/>
      <c r="W132" s="33" t="str">
        <f t="shared" si="5"/>
        <v/>
      </c>
    </row>
    <row r="133" spans="1:23" x14ac:dyDescent="0.35">
      <c r="A133" s="21" t="str">
        <f>IF(COUNTA(B133:H133,J133:S133,U133:V133)=0,"",IF((IF(B133="","PO Ref, ","")&amp;IF(C133="","Vendor, ","")&amp;IF(D133="","Store, ","")&amp;IF(F133="","Product Type, ","")&amp;IF(G133="","Category, ","")&amp;IF(H133="","HSN Code, ","")&amp;IF(Q133="","Qty, ","")&amp;IF(R133="","Purchase Rate, ","")&amp;IF(S133="","MRP, ",""))&lt;&gt;"","Missing: "&amp;LEFT(IF(B133="","PO Ref, ","")&amp;IF(C133="","Vendor, ","")&amp;IF(D133="","Store, ","")&amp;IF(F133="","Product Type, ","")&amp;IF(G133="","Category, ","")&amp;IF(H133="","HSN Code, ","")&amp;IF(Q133="","Qty, ","")&amp;IF(R133="","Purchase Rate, ","")&amp;IF(S133="","MRP, ",""),LEN(IF(B133="","PO Ref, ","")&amp;IF(C133="","Vendor, ","")&amp;IF(D133="","Store, ","")&amp;IF(F133="","Product Type, ","")&amp;IF(G133="","Category, ","")&amp;IF(H133="","HSN Code, ","")&amp;IF(Q133="","Qty, ","")&amp;IF(R133="","Purchase Rate, ","")&amp;IF(S133="","MRP, ",""))-2),IF(COUNTIF(Vendors!$B$3:$B$202,C133)=0,"Add vendor "&amp;C133&amp;" on the Vendors sheet",IF(ISNA(MATCH(H133,Codes!$A$2:$A$13,0)),"Pick the HSN Code from the list",IF(AND(E133&lt;&gt;"",COUNTIFS($C$3:$C$1002,C133,$E$3:$E$1002,E133,$F$3:$F$1002,"&lt;&gt;"&amp;F133)+COUNTIFS($C$3:$C$1002,C133,$E$3:$E$1002,E133,$G$3:$G$1002,"&lt;&gt;"&amp;G133)&gt;0),"Design "&amp;E133&amp;" has another Product Type or Category on another row",IF(COUNTIFS($F$3:$F$1002,F133,$G$3:$G$1002,G133,$H$3:$H$1002,"&lt;&gt;"&amp;H133)&gt;0,F133&amp;" + "&amp;G133&amp;" has another HSN Code on another row",IF(AND(V133&lt;&gt;"",U133=""),"Received Qty needs the Vendor Invoice No",IF(AND(U133&lt;&gt;"",COUNTIFS(Bills!$B$3:$B$302,U133,Bills!$C$3:$C$302,C133)=0),"Add bill "&amp;U133&amp;" of "&amp;C133&amp;" on the Bills sheet",IF(S133&lt;R133,"MRP is below the Purchase Rate","OK")))))))))</f>
        <v/>
      </c>
      <c r="B133" s="29"/>
      <c r="C133" s="22"/>
      <c r="D133" s="22"/>
      <c r="E133" s="24"/>
      <c r="F133" s="22"/>
      <c r="G133" s="22"/>
      <c r="H133" s="22"/>
      <c r="I133" s="30" t="str">
        <f>IF(H133="","",IFERROR(INDEX(Codes!$B$2:$B$13,MATCH(H133,Codes!$A$2:$A$13,0)),""))</f>
        <v/>
      </c>
      <c r="J133" s="23"/>
      <c r="K133" s="23"/>
      <c r="L133" s="23"/>
      <c r="M133" s="23"/>
      <c r="N133" s="23"/>
      <c r="O133" s="23"/>
      <c r="P133" s="23"/>
      <c r="Q133" s="31"/>
      <c r="R133" s="32"/>
      <c r="S133" s="32"/>
      <c r="T133" s="33" t="str">
        <f t="shared" si="4"/>
        <v/>
      </c>
      <c r="U133" s="34"/>
      <c r="V133" s="35"/>
      <c r="W133" s="33" t="str">
        <f t="shared" si="5"/>
        <v/>
      </c>
    </row>
    <row r="134" spans="1:23" x14ac:dyDescent="0.35">
      <c r="A134" s="21" t="str">
        <f>IF(COUNTA(B134:H134,J134:S134,U134:V134)=0,"",IF((IF(B134="","PO Ref, ","")&amp;IF(C134="","Vendor, ","")&amp;IF(D134="","Store, ","")&amp;IF(F134="","Product Type, ","")&amp;IF(G134="","Category, ","")&amp;IF(H134="","HSN Code, ","")&amp;IF(Q134="","Qty, ","")&amp;IF(R134="","Purchase Rate, ","")&amp;IF(S134="","MRP, ",""))&lt;&gt;"","Missing: "&amp;LEFT(IF(B134="","PO Ref, ","")&amp;IF(C134="","Vendor, ","")&amp;IF(D134="","Store, ","")&amp;IF(F134="","Product Type, ","")&amp;IF(G134="","Category, ","")&amp;IF(H134="","HSN Code, ","")&amp;IF(Q134="","Qty, ","")&amp;IF(R134="","Purchase Rate, ","")&amp;IF(S134="","MRP, ",""),LEN(IF(B134="","PO Ref, ","")&amp;IF(C134="","Vendor, ","")&amp;IF(D134="","Store, ","")&amp;IF(F134="","Product Type, ","")&amp;IF(G134="","Category, ","")&amp;IF(H134="","HSN Code, ","")&amp;IF(Q134="","Qty, ","")&amp;IF(R134="","Purchase Rate, ","")&amp;IF(S134="","MRP, ",""))-2),IF(COUNTIF(Vendors!$B$3:$B$202,C134)=0,"Add vendor "&amp;C134&amp;" on the Vendors sheet",IF(ISNA(MATCH(H134,Codes!$A$2:$A$13,0)),"Pick the HSN Code from the list",IF(AND(E134&lt;&gt;"",COUNTIFS($C$3:$C$1002,C134,$E$3:$E$1002,E134,$F$3:$F$1002,"&lt;&gt;"&amp;F134)+COUNTIFS($C$3:$C$1002,C134,$E$3:$E$1002,E134,$G$3:$G$1002,"&lt;&gt;"&amp;G134)&gt;0),"Design "&amp;E134&amp;" has another Product Type or Category on another row",IF(COUNTIFS($F$3:$F$1002,F134,$G$3:$G$1002,G134,$H$3:$H$1002,"&lt;&gt;"&amp;H134)&gt;0,F134&amp;" + "&amp;G134&amp;" has another HSN Code on another row",IF(AND(V134&lt;&gt;"",U134=""),"Received Qty needs the Vendor Invoice No",IF(AND(U134&lt;&gt;"",COUNTIFS(Bills!$B$3:$B$302,U134,Bills!$C$3:$C$302,C134)=0),"Add bill "&amp;U134&amp;" of "&amp;C134&amp;" on the Bills sheet",IF(S134&lt;R134,"MRP is below the Purchase Rate","OK")))))))))</f>
        <v/>
      </c>
      <c r="B134" s="29"/>
      <c r="C134" s="22"/>
      <c r="D134" s="22"/>
      <c r="E134" s="24"/>
      <c r="F134" s="22"/>
      <c r="G134" s="22"/>
      <c r="H134" s="22"/>
      <c r="I134" s="30" t="str">
        <f>IF(H134="","",IFERROR(INDEX(Codes!$B$2:$B$13,MATCH(H134,Codes!$A$2:$A$13,0)),""))</f>
        <v/>
      </c>
      <c r="J134" s="23"/>
      <c r="K134" s="23"/>
      <c r="L134" s="23"/>
      <c r="M134" s="23"/>
      <c r="N134" s="23"/>
      <c r="O134" s="23"/>
      <c r="P134" s="23"/>
      <c r="Q134" s="31"/>
      <c r="R134" s="32"/>
      <c r="S134" s="32"/>
      <c r="T134" s="33" t="str">
        <f t="shared" si="4"/>
        <v/>
      </c>
      <c r="U134" s="34"/>
      <c r="V134" s="35"/>
      <c r="W134" s="33" t="str">
        <f t="shared" si="5"/>
        <v/>
      </c>
    </row>
    <row r="135" spans="1:23" x14ac:dyDescent="0.35">
      <c r="A135" s="21" t="str">
        <f>IF(COUNTA(B135:H135,J135:S135,U135:V135)=0,"",IF((IF(B135="","PO Ref, ","")&amp;IF(C135="","Vendor, ","")&amp;IF(D135="","Store, ","")&amp;IF(F135="","Product Type, ","")&amp;IF(G135="","Category, ","")&amp;IF(H135="","HSN Code, ","")&amp;IF(Q135="","Qty, ","")&amp;IF(R135="","Purchase Rate, ","")&amp;IF(S135="","MRP, ",""))&lt;&gt;"","Missing: "&amp;LEFT(IF(B135="","PO Ref, ","")&amp;IF(C135="","Vendor, ","")&amp;IF(D135="","Store, ","")&amp;IF(F135="","Product Type, ","")&amp;IF(G135="","Category, ","")&amp;IF(H135="","HSN Code, ","")&amp;IF(Q135="","Qty, ","")&amp;IF(R135="","Purchase Rate, ","")&amp;IF(S135="","MRP, ",""),LEN(IF(B135="","PO Ref, ","")&amp;IF(C135="","Vendor, ","")&amp;IF(D135="","Store, ","")&amp;IF(F135="","Product Type, ","")&amp;IF(G135="","Category, ","")&amp;IF(H135="","HSN Code, ","")&amp;IF(Q135="","Qty, ","")&amp;IF(R135="","Purchase Rate, ","")&amp;IF(S135="","MRP, ",""))-2),IF(COUNTIF(Vendors!$B$3:$B$202,C135)=0,"Add vendor "&amp;C135&amp;" on the Vendors sheet",IF(ISNA(MATCH(H135,Codes!$A$2:$A$13,0)),"Pick the HSN Code from the list",IF(AND(E135&lt;&gt;"",COUNTIFS($C$3:$C$1002,C135,$E$3:$E$1002,E135,$F$3:$F$1002,"&lt;&gt;"&amp;F135)+COUNTIFS($C$3:$C$1002,C135,$E$3:$E$1002,E135,$G$3:$G$1002,"&lt;&gt;"&amp;G135)&gt;0),"Design "&amp;E135&amp;" has another Product Type or Category on another row",IF(COUNTIFS($F$3:$F$1002,F135,$G$3:$G$1002,G135,$H$3:$H$1002,"&lt;&gt;"&amp;H135)&gt;0,F135&amp;" + "&amp;G135&amp;" has another HSN Code on another row",IF(AND(V135&lt;&gt;"",U135=""),"Received Qty needs the Vendor Invoice No",IF(AND(U135&lt;&gt;"",COUNTIFS(Bills!$B$3:$B$302,U135,Bills!$C$3:$C$302,C135)=0),"Add bill "&amp;U135&amp;" of "&amp;C135&amp;" on the Bills sheet",IF(S135&lt;R135,"MRP is below the Purchase Rate","OK")))))))))</f>
        <v/>
      </c>
      <c r="B135" s="29"/>
      <c r="C135" s="22"/>
      <c r="D135" s="22"/>
      <c r="E135" s="24"/>
      <c r="F135" s="22"/>
      <c r="G135" s="22"/>
      <c r="H135" s="22"/>
      <c r="I135" s="30" t="str">
        <f>IF(H135="","",IFERROR(INDEX(Codes!$B$2:$B$13,MATCH(H135,Codes!$A$2:$A$13,0)),""))</f>
        <v/>
      </c>
      <c r="J135" s="23"/>
      <c r="K135" s="23"/>
      <c r="L135" s="23"/>
      <c r="M135" s="23"/>
      <c r="N135" s="23"/>
      <c r="O135" s="23"/>
      <c r="P135" s="23"/>
      <c r="Q135" s="31"/>
      <c r="R135" s="32"/>
      <c r="S135" s="32"/>
      <c r="T135" s="33" t="str">
        <f t="shared" si="4"/>
        <v/>
      </c>
      <c r="U135" s="34"/>
      <c r="V135" s="35"/>
      <c r="W135" s="33" t="str">
        <f t="shared" si="5"/>
        <v/>
      </c>
    </row>
    <row r="136" spans="1:23" x14ac:dyDescent="0.35">
      <c r="A136" s="21" t="str">
        <f>IF(COUNTA(B136:H136,J136:S136,U136:V136)=0,"",IF((IF(B136="","PO Ref, ","")&amp;IF(C136="","Vendor, ","")&amp;IF(D136="","Store, ","")&amp;IF(F136="","Product Type, ","")&amp;IF(G136="","Category, ","")&amp;IF(H136="","HSN Code, ","")&amp;IF(Q136="","Qty, ","")&amp;IF(R136="","Purchase Rate, ","")&amp;IF(S136="","MRP, ",""))&lt;&gt;"","Missing: "&amp;LEFT(IF(B136="","PO Ref, ","")&amp;IF(C136="","Vendor, ","")&amp;IF(D136="","Store, ","")&amp;IF(F136="","Product Type, ","")&amp;IF(G136="","Category, ","")&amp;IF(H136="","HSN Code, ","")&amp;IF(Q136="","Qty, ","")&amp;IF(R136="","Purchase Rate, ","")&amp;IF(S136="","MRP, ",""),LEN(IF(B136="","PO Ref, ","")&amp;IF(C136="","Vendor, ","")&amp;IF(D136="","Store, ","")&amp;IF(F136="","Product Type, ","")&amp;IF(G136="","Category, ","")&amp;IF(H136="","HSN Code, ","")&amp;IF(Q136="","Qty, ","")&amp;IF(R136="","Purchase Rate, ","")&amp;IF(S136="","MRP, ",""))-2),IF(COUNTIF(Vendors!$B$3:$B$202,C136)=0,"Add vendor "&amp;C136&amp;" on the Vendors sheet",IF(ISNA(MATCH(H136,Codes!$A$2:$A$13,0)),"Pick the HSN Code from the list",IF(AND(E136&lt;&gt;"",COUNTIFS($C$3:$C$1002,C136,$E$3:$E$1002,E136,$F$3:$F$1002,"&lt;&gt;"&amp;F136)+COUNTIFS($C$3:$C$1002,C136,$E$3:$E$1002,E136,$G$3:$G$1002,"&lt;&gt;"&amp;G136)&gt;0),"Design "&amp;E136&amp;" has another Product Type or Category on another row",IF(COUNTIFS($F$3:$F$1002,F136,$G$3:$G$1002,G136,$H$3:$H$1002,"&lt;&gt;"&amp;H136)&gt;0,F136&amp;" + "&amp;G136&amp;" has another HSN Code on another row",IF(AND(V136&lt;&gt;"",U136=""),"Received Qty needs the Vendor Invoice No",IF(AND(U136&lt;&gt;"",COUNTIFS(Bills!$B$3:$B$302,U136,Bills!$C$3:$C$302,C136)=0),"Add bill "&amp;U136&amp;" of "&amp;C136&amp;" on the Bills sheet",IF(S136&lt;R136,"MRP is below the Purchase Rate","OK")))))))))</f>
        <v/>
      </c>
      <c r="B136" s="29"/>
      <c r="C136" s="22"/>
      <c r="D136" s="22"/>
      <c r="E136" s="24"/>
      <c r="F136" s="22"/>
      <c r="G136" s="22"/>
      <c r="H136" s="22"/>
      <c r="I136" s="30" t="str">
        <f>IF(H136="","",IFERROR(INDEX(Codes!$B$2:$B$13,MATCH(H136,Codes!$A$2:$A$13,0)),""))</f>
        <v/>
      </c>
      <c r="J136" s="23"/>
      <c r="K136" s="23"/>
      <c r="L136" s="23"/>
      <c r="M136" s="23"/>
      <c r="N136" s="23"/>
      <c r="O136" s="23"/>
      <c r="P136" s="23"/>
      <c r="Q136" s="31"/>
      <c r="R136" s="32"/>
      <c r="S136" s="32"/>
      <c r="T136" s="33" t="str">
        <f t="shared" si="4"/>
        <v/>
      </c>
      <c r="U136" s="34"/>
      <c r="V136" s="35"/>
      <c r="W136" s="33" t="str">
        <f t="shared" si="5"/>
        <v/>
      </c>
    </row>
    <row r="137" spans="1:23" x14ac:dyDescent="0.35">
      <c r="A137" s="21" t="str">
        <f>IF(COUNTA(B137:H137,J137:S137,U137:V137)=0,"",IF((IF(B137="","PO Ref, ","")&amp;IF(C137="","Vendor, ","")&amp;IF(D137="","Store, ","")&amp;IF(F137="","Product Type, ","")&amp;IF(G137="","Category, ","")&amp;IF(H137="","HSN Code, ","")&amp;IF(Q137="","Qty, ","")&amp;IF(R137="","Purchase Rate, ","")&amp;IF(S137="","MRP, ",""))&lt;&gt;"","Missing: "&amp;LEFT(IF(B137="","PO Ref, ","")&amp;IF(C137="","Vendor, ","")&amp;IF(D137="","Store, ","")&amp;IF(F137="","Product Type, ","")&amp;IF(G137="","Category, ","")&amp;IF(H137="","HSN Code, ","")&amp;IF(Q137="","Qty, ","")&amp;IF(R137="","Purchase Rate, ","")&amp;IF(S137="","MRP, ",""),LEN(IF(B137="","PO Ref, ","")&amp;IF(C137="","Vendor, ","")&amp;IF(D137="","Store, ","")&amp;IF(F137="","Product Type, ","")&amp;IF(G137="","Category, ","")&amp;IF(H137="","HSN Code, ","")&amp;IF(Q137="","Qty, ","")&amp;IF(R137="","Purchase Rate, ","")&amp;IF(S137="","MRP, ",""))-2),IF(COUNTIF(Vendors!$B$3:$B$202,C137)=0,"Add vendor "&amp;C137&amp;" on the Vendors sheet",IF(ISNA(MATCH(H137,Codes!$A$2:$A$13,0)),"Pick the HSN Code from the list",IF(AND(E137&lt;&gt;"",COUNTIFS($C$3:$C$1002,C137,$E$3:$E$1002,E137,$F$3:$F$1002,"&lt;&gt;"&amp;F137)+COUNTIFS($C$3:$C$1002,C137,$E$3:$E$1002,E137,$G$3:$G$1002,"&lt;&gt;"&amp;G137)&gt;0),"Design "&amp;E137&amp;" has another Product Type or Category on another row",IF(COUNTIFS($F$3:$F$1002,F137,$G$3:$G$1002,G137,$H$3:$H$1002,"&lt;&gt;"&amp;H137)&gt;0,F137&amp;" + "&amp;G137&amp;" has another HSN Code on another row",IF(AND(V137&lt;&gt;"",U137=""),"Received Qty needs the Vendor Invoice No",IF(AND(U137&lt;&gt;"",COUNTIFS(Bills!$B$3:$B$302,U137,Bills!$C$3:$C$302,C137)=0),"Add bill "&amp;U137&amp;" of "&amp;C137&amp;" on the Bills sheet",IF(S137&lt;R137,"MRP is below the Purchase Rate","OK")))))))))</f>
        <v/>
      </c>
      <c r="B137" s="29"/>
      <c r="C137" s="22"/>
      <c r="D137" s="22"/>
      <c r="E137" s="24"/>
      <c r="F137" s="22"/>
      <c r="G137" s="22"/>
      <c r="H137" s="22"/>
      <c r="I137" s="30" t="str">
        <f>IF(H137="","",IFERROR(INDEX(Codes!$B$2:$B$13,MATCH(H137,Codes!$A$2:$A$13,0)),""))</f>
        <v/>
      </c>
      <c r="J137" s="23"/>
      <c r="K137" s="23"/>
      <c r="L137" s="23"/>
      <c r="M137" s="23"/>
      <c r="N137" s="23"/>
      <c r="O137" s="23"/>
      <c r="P137" s="23"/>
      <c r="Q137" s="31"/>
      <c r="R137" s="32"/>
      <c r="S137" s="32"/>
      <c r="T137" s="33" t="str">
        <f t="shared" si="4"/>
        <v/>
      </c>
      <c r="U137" s="34"/>
      <c r="V137" s="35"/>
      <c r="W137" s="33" t="str">
        <f t="shared" si="5"/>
        <v/>
      </c>
    </row>
    <row r="138" spans="1:23" x14ac:dyDescent="0.35">
      <c r="A138" s="21" t="str">
        <f>IF(COUNTA(B138:H138,J138:S138,U138:V138)=0,"",IF((IF(B138="","PO Ref, ","")&amp;IF(C138="","Vendor, ","")&amp;IF(D138="","Store, ","")&amp;IF(F138="","Product Type, ","")&amp;IF(G138="","Category, ","")&amp;IF(H138="","HSN Code, ","")&amp;IF(Q138="","Qty, ","")&amp;IF(R138="","Purchase Rate, ","")&amp;IF(S138="","MRP, ",""))&lt;&gt;"","Missing: "&amp;LEFT(IF(B138="","PO Ref, ","")&amp;IF(C138="","Vendor, ","")&amp;IF(D138="","Store, ","")&amp;IF(F138="","Product Type, ","")&amp;IF(G138="","Category, ","")&amp;IF(H138="","HSN Code, ","")&amp;IF(Q138="","Qty, ","")&amp;IF(R138="","Purchase Rate, ","")&amp;IF(S138="","MRP, ",""),LEN(IF(B138="","PO Ref, ","")&amp;IF(C138="","Vendor, ","")&amp;IF(D138="","Store, ","")&amp;IF(F138="","Product Type, ","")&amp;IF(G138="","Category, ","")&amp;IF(H138="","HSN Code, ","")&amp;IF(Q138="","Qty, ","")&amp;IF(R138="","Purchase Rate, ","")&amp;IF(S138="","MRP, ",""))-2),IF(COUNTIF(Vendors!$B$3:$B$202,C138)=0,"Add vendor "&amp;C138&amp;" on the Vendors sheet",IF(ISNA(MATCH(H138,Codes!$A$2:$A$13,0)),"Pick the HSN Code from the list",IF(AND(E138&lt;&gt;"",COUNTIFS($C$3:$C$1002,C138,$E$3:$E$1002,E138,$F$3:$F$1002,"&lt;&gt;"&amp;F138)+COUNTIFS($C$3:$C$1002,C138,$E$3:$E$1002,E138,$G$3:$G$1002,"&lt;&gt;"&amp;G138)&gt;0),"Design "&amp;E138&amp;" has another Product Type or Category on another row",IF(COUNTIFS($F$3:$F$1002,F138,$G$3:$G$1002,G138,$H$3:$H$1002,"&lt;&gt;"&amp;H138)&gt;0,F138&amp;" + "&amp;G138&amp;" has another HSN Code on another row",IF(AND(V138&lt;&gt;"",U138=""),"Received Qty needs the Vendor Invoice No",IF(AND(U138&lt;&gt;"",COUNTIFS(Bills!$B$3:$B$302,U138,Bills!$C$3:$C$302,C138)=0),"Add bill "&amp;U138&amp;" of "&amp;C138&amp;" on the Bills sheet",IF(S138&lt;R138,"MRP is below the Purchase Rate","OK")))))))))</f>
        <v/>
      </c>
      <c r="B138" s="29"/>
      <c r="C138" s="22"/>
      <c r="D138" s="22"/>
      <c r="E138" s="24"/>
      <c r="F138" s="22"/>
      <c r="G138" s="22"/>
      <c r="H138" s="22"/>
      <c r="I138" s="30" t="str">
        <f>IF(H138="","",IFERROR(INDEX(Codes!$B$2:$B$13,MATCH(H138,Codes!$A$2:$A$13,0)),""))</f>
        <v/>
      </c>
      <c r="J138" s="23"/>
      <c r="K138" s="23"/>
      <c r="L138" s="23"/>
      <c r="M138" s="23"/>
      <c r="N138" s="23"/>
      <c r="O138" s="23"/>
      <c r="P138" s="23"/>
      <c r="Q138" s="31"/>
      <c r="R138" s="32"/>
      <c r="S138" s="32"/>
      <c r="T138" s="33" t="str">
        <f t="shared" si="4"/>
        <v/>
      </c>
      <c r="U138" s="34"/>
      <c r="V138" s="35"/>
      <c r="W138" s="33" t="str">
        <f t="shared" si="5"/>
        <v/>
      </c>
    </row>
    <row r="139" spans="1:23" x14ac:dyDescent="0.35">
      <c r="A139" s="21" t="str">
        <f>IF(COUNTA(B139:H139,J139:S139,U139:V139)=0,"",IF((IF(B139="","PO Ref, ","")&amp;IF(C139="","Vendor, ","")&amp;IF(D139="","Store, ","")&amp;IF(F139="","Product Type, ","")&amp;IF(G139="","Category, ","")&amp;IF(H139="","HSN Code, ","")&amp;IF(Q139="","Qty, ","")&amp;IF(R139="","Purchase Rate, ","")&amp;IF(S139="","MRP, ",""))&lt;&gt;"","Missing: "&amp;LEFT(IF(B139="","PO Ref, ","")&amp;IF(C139="","Vendor, ","")&amp;IF(D139="","Store, ","")&amp;IF(F139="","Product Type, ","")&amp;IF(G139="","Category, ","")&amp;IF(H139="","HSN Code, ","")&amp;IF(Q139="","Qty, ","")&amp;IF(R139="","Purchase Rate, ","")&amp;IF(S139="","MRP, ",""),LEN(IF(B139="","PO Ref, ","")&amp;IF(C139="","Vendor, ","")&amp;IF(D139="","Store, ","")&amp;IF(F139="","Product Type, ","")&amp;IF(G139="","Category, ","")&amp;IF(H139="","HSN Code, ","")&amp;IF(Q139="","Qty, ","")&amp;IF(R139="","Purchase Rate, ","")&amp;IF(S139="","MRP, ",""))-2),IF(COUNTIF(Vendors!$B$3:$B$202,C139)=0,"Add vendor "&amp;C139&amp;" on the Vendors sheet",IF(ISNA(MATCH(H139,Codes!$A$2:$A$13,0)),"Pick the HSN Code from the list",IF(AND(E139&lt;&gt;"",COUNTIFS($C$3:$C$1002,C139,$E$3:$E$1002,E139,$F$3:$F$1002,"&lt;&gt;"&amp;F139)+COUNTIFS($C$3:$C$1002,C139,$E$3:$E$1002,E139,$G$3:$G$1002,"&lt;&gt;"&amp;G139)&gt;0),"Design "&amp;E139&amp;" has another Product Type or Category on another row",IF(COUNTIFS($F$3:$F$1002,F139,$G$3:$G$1002,G139,$H$3:$H$1002,"&lt;&gt;"&amp;H139)&gt;0,F139&amp;" + "&amp;G139&amp;" has another HSN Code on another row",IF(AND(V139&lt;&gt;"",U139=""),"Received Qty needs the Vendor Invoice No",IF(AND(U139&lt;&gt;"",COUNTIFS(Bills!$B$3:$B$302,U139,Bills!$C$3:$C$302,C139)=0),"Add bill "&amp;U139&amp;" of "&amp;C139&amp;" on the Bills sheet",IF(S139&lt;R139,"MRP is below the Purchase Rate","OK")))))))))</f>
        <v/>
      </c>
      <c r="B139" s="29"/>
      <c r="C139" s="22"/>
      <c r="D139" s="22"/>
      <c r="E139" s="24"/>
      <c r="F139" s="22"/>
      <c r="G139" s="22"/>
      <c r="H139" s="22"/>
      <c r="I139" s="30" t="str">
        <f>IF(H139="","",IFERROR(INDEX(Codes!$B$2:$B$13,MATCH(H139,Codes!$A$2:$A$13,0)),""))</f>
        <v/>
      </c>
      <c r="J139" s="23"/>
      <c r="K139" s="23"/>
      <c r="L139" s="23"/>
      <c r="M139" s="23"/>
      <c r="N139" s="23"/>
      <c r="O139" s="23"/>
      <c r="P139" s="23"/>
      <c r="Q139" s="31"/>
      <c r="R139" s="32"/>
      <c r="S139" s="32"/>
      <c r="T139" s="33" t="str">
        <f t="shared" si="4"/>
        <v/>
      </c>
      <c r="U139" s="34"/>
      <c r="V139" s="35"/>
      <c r="W139" s="33" t="str">
        <f t="shared" si="5"/>
        <v/>
      </c>
    </row>
    <row r="140" spans="1:23" x14ac:dyDescent="0.35">
      <c r="A140" s="21" t="str">
        <f>IF(COUNTA(B140:H140,J140:S140,U140:V140)=0,"",IF((IF(B140="","PO Ref, ","")&amp;IF(C140="","Vendor, ","")&amp;IF(D140="","Store, ","")&amp;IF(F140="","Product Type, ","")&amp;IF(G140="","Category, ","")&amp;IF(H140="","HSN Code, ","")&amp;IF(Q140="","Qty, ","")&amp;IF(R140="","Purchase Rate, ","")&amp;IF(S140="","MRP, ",""))&lt;&gt;"","Missing: "&amp;LEFT(IF(B140="","PO Ref, ","")&amp;IF(C140="","Vendor, ","")&amp;IF(D140="","Store, ","")&amp;IF(F140="","Product Type, ","")&amp;IF(G140="","Category, ","")&amp;IF(H140="","HSN Code, ","")&amp;IF(Q140="","Qty, ","")&amp;IF(R140="","Purchase Rate, ","")&amp;IF(S140="","MRP, ",""),LEN(IF(B140="","PO Ref, ","")&amp;IF(C140="","Vendor, ","")&amp;IF(D140="","Store, ","")&amp;IF(F140="","Product Type, ","")&amp;IF(G140="","Category, ","")&amp;IF(H140="","HSN Code, ","")&amp;IF(Q140="","Qty, ","")&amp;IF(R140="","Purchase Rate, ","")&amp;IF(S140="","MRP, ",""))-2),IF(COUNTIF(Vendors!$B$3:$B$202,C140)=0,"Add vendor "&amp;C140&amp;" on the Vendors sheet",IF(ISNA(MATCH(H140,Codes!$A$2:$A$13,0)),"Pick the HSN Code from the list",IF(AND(E140&lt;&gt;"",COUNTIFS($C$3:$C$1002,C140,$E$3:$E$1002,E140,$F$3:$F$1002,"&lt;&gt;"&amp;F140)+COUNTIFS($C$3:$C$1002,C140,$E$3:$E$1002,E140,$G$3:$G$1002,"&lt;&gt;"&amp;G140)&gt;0),"Design "&amp;E140&amp;" has another Product Type or Category on another row",IF(COUNTIFS($F$3:$F$1002,F140,$G$3:$G$1002,G140,$H$3:$H$1002,"&lt;&gt;"&amp;H140)&gt;0,F140&amp;" + "&amp;G140&amp;" has another HSN Code on another row",IF(AND(V140&lt;&gt;"",U140=""),"Received Qty needs the Vendor Invoice No",IF(AND(U140&lt;&gt;"",COUNTIFS(Bills!$B$3:$B$302,U140,Bills!$C$3:$C$302,C140)=0),"Add bill "&amp;U140&amp;" of "&amp;C140&amp;" on the Bills sheet",IF(S140&lt;R140,"MRP is below the Purchase Rate","OK")))))))))</f>
        <v/>
      </c>
      <c r="B140" s="29"/>
      <c r="C140" s="22"/>
      <c r="D140" s="22"/>
      <c r="E140" s="24"/>
      <c r="F140" s="22"/>
      <c r="G140" s="22"/>
      <c r="H140" s="22"/>
      <c r="I140" s="30" t="str">
        <f>IF(H140="","",IFERROR(INDEX(Codes!$B$2:$B$13,MATCH(H140,Codes!$A$2:$A$13,0)),""))</f>
        <v/>
      </c>
      <c r="J140" s="23"/>
      <c r="K140" s="23"/>
      <c r="L140" s="23"/>
      <c r="M140" s="23"/>
      <c r="N140" s="23"/>
      <c r="O140" s="23"/>
      <c r="P140" s="23"/>
      <c r="Q140" s="31"/>
      <c r="R140" s="32"/>
      <c r="S140" s="32"/>
      <c r="T140" s="33" t="str">
        <f t="shared" si="4"/>
        <v/>
      </c>
      <c r="U140" s="34"/>
      <c r="V140" s="35"/>
      <c r="W140" s="33" t="str">
        <f t="shared" si="5"/>
        <v/>
      </c>
    </row>
    <row r="141" spans="1:23" x14ac:dyDescent="0.35">
      <c r="A141" s="21" t="str">
        <f>IF(COUNTA(B141:H141,J141:S141,U141:V141)=0,"",IF((IF(B141="","PO Ref, ","")&amp;IF(C141="","Vendor, ","")&amp;IF(D141="","Store, ","")&amp;IF(F141="","Product Type, ","")&amp;IF(G141="","Category, ","")&amp;IF(H141="","HSN Code, ","")&amp;IF(Q141="","Qty, ","")&amp;IF(R141="","Purchase Rate, ","")&amp;IF(S141="","MRP, ",""))&lt;&gt;"","Missing: "&amp;LEFT(IF(B141="","PO Ref, ","")&amp;IF(C141="","Vendor, ","")&amp;IF(D141="","Store, ","")&amp;IF(F141="","Product Type, ","")&amp;IF(G141="","Category, ","")&amp;IF(H141="","HSN Code, ","")&amp;IF(Q141="","Qty, ","")&amp;IF(R141="","Purchase Rate, ","")&amp;IF(S141="","MRP, ",""),LEN(IF(B141="","PO Ref, ","")&amp;IF(C141="","Vendor, ","")&amp;IF(D141="","Store, ","")&amp;IF(F141="","Product Type, ","")&amp;IF(G141="","Category, ","")&amp;IF(H141="","HSN Code, ","")&amp;IF(Q141="","Qty, ","")&amp;IF(R141="","Purchase Rate, ","")&amp;IF(S141="","MRP, ",""))-2),IF(COUNTIF(Vendors!$B$3:$B$202,C141)=0,"Add vendor "&amp;C141&amp;" on the Vendors sheet",IF(ISNA(MATCH(H141,Codes!$A$2:$A$13,0)),"Pick the HSN Code from the list",IF(AND(E141&lt;&gt;"",COUNTIFS($C$3:$C$1002,C141,$E$3:$E$1002,E141,$F$3:$F$1002,"&lt;&gt;"&amp;F141)+COUNTIFS($C$3:$C$1002,C141,$E$3:$E$1002,E141,$G$3:$G$1002,"&lt;&gt;"&amp;G141)&gt;0),"Design "&amp;E141&amp;" has another Product Type or Category on another row",IF(COUNTIFS($F$3:$F$1002,F141,$G$3:$G$1002,G141,$H$3:$H$1002,"&lt;&gt;"&amp;H141)&gt;0,F141&amp;" + "&amp;G141&amp;" has another HSN Code on another row",IF(AND(V141&lt;&gt;"",U141=""),"Received Qty needs the Vendor Invoice No",IF(AND(U141&lt;&gt;"",COUNTIFS(Bills!$B$3:$B$302,U141,Bills!$C$3:$C$302,C141)=0),"Add bill "&amp;U141&amp;" of "&amp;C141&amp;" on the Bills sheet",IF(S141&lt;R141,"MRP is below the Purchase Rate","OK")))))))))</f>
        <v/>
      </c>
      <c r="B141" s="29"/>
      <c r="C141" s="22"/>
      <c r="D141" s="22"/>
      <c r="E141" s="24"/>
      <c r="F141" s="22"/>
      <c r="G141" s="22"/>
      <c r="H141" s="22"/>
      <c r="I141" s="30" t="str">
        <f>IF(H141="","",IFERROR(INDEX(Codes!$B$2:$B$13,MATCH(H141,Codes!$A$2:$A$13,0)),""))</f>
        <v/>
      </c>
      <c r="J141" s="23"/>
      <c r="K141" s="23"/>
      <c r="L141" s="23"/>
      <c r="M141" s="23"/>
      <c r="N141" s="23"/>
      <c r="O141" s="23"/>
      <c r="P141" s="23"/>
      <c r="Q141" s="31"/>
      <c r="R141" s="32"/>
      <c r="S141" s="32"/>
      <c r="T141" s="33" t="str">
        <f t="shared" si="4"/>
        <v/>
      </c>
      <c r="U141" s="34"/>
      <c r="V141" s="35"/>
      <c r="W141" s="33" t="str">
        <f t="shared" si="5"/>
        <v/>
      </c>
    </row>
    <row r="142" spans="1:23" x14ac:dyDescent="0.35">
      <c r="A142" s="21" t="str">
        <f>IF(COUNTA(B142:H142,J142:S142,U142:V142)=0,"",IF((IF(B142="","PO Ref, ","")&amp;IF(C142="","Vendor, ","")&amp;IF(D142="","Store, ","")&amp;IF(F142="","Product Type, ","")&amp;IF(G142="","Category, ","")&amp;IF(H142="","HSN Code, ","")&amp;IF(Q142="","Qty, ","")&amp;IF(R142="","Purchase Rate, ","")&amp;IF(S142="","MRP, ",""))&lt;&gt;"","Missing: "&amp;LEFT(IF(B142="","PO Ref, ","")&amp;IF(C142="","Vendor, ","")&amp;IF(D142="","Store, ","")&amp;IF(F142="","Product Type, ","")&amp;IF(G142="","Category, ","")&amp;IF(H142="","HSN Code, ","")&amp;IF(Q142="","Qty, ","")&amp;IF(R142="","Purchase Rate, ","")&amp;IF(S142="","MRP, ",""),LEN(IF(B142="","PO Ref, ","")&amp;IF(C142="","Vendor, ","")&amp;IF(D142="","Store, ","")&amp;IF(F142="","Product Type, ","")&amp;IF(G142="","Category, ","")&amp;IF(H142="","HSN Code, ","")&amp;IF(Q142="","Qty, ","")&amp;IF(R142="","Purchase Rate, ","")&amp;IF(S142="","MRP, ",""))-2),IF(COUNTIF(Vendors!$B$3:$B$202,C142)=0,"Add vendor "&amp;C142&amp;" on the Vendors sheet",IF(ISNA(MATCH(H142,Codes!$A$2:$A$13,0)),"Pick the HSN Code from the list",IF(AND(E142&lt;&gt;"",COUNTIFS($C$3:$C$1002,C142,$E$3:$E$1002,E142,$F$3:$F$1002,"&lt;&gt;"&amp;F142)+COUNTIFS($C$3:$C$1002,C142,$E$3:$E$1002,E142,$G$3:$G$1002,"&lt;&gt;"&amp;G142)&gt;0),"Design "&amp;E142&amp;" has another Product Type or Category on another row",IF(COUNTIFS($F$3:$F$1002,F142,$G$3:$G$1002,G142,$H$3:$H$1002,"&lt;&gt;"&amp;H142)&gt;0,F142&amp;" + "&amp;G142&amp;" has another HSN Code on another row",IF(AND(V142&lt;&gt;"",U142=""),"Received Qty needs the Vendor Invoice No",IF(AND(U142&lt;&gt;"",COUNTIFS(Bills!$B$3:$B$302,U142,Bills!$C$3:$C$302,C142)=0),"Add bill "&amp;U142&amp;" of "&amp;C142&amp;" on the Bills sheet",IF(S142&lt;R142,"MRP is below the Purchase Rate","OK")))))))))</f>
        <v/>
      </c>
      <c r="B142" s="29"/>
      <c r="C142" s="22"/>
      <c r="D142" s="22"/>
      <c r="E142" s="24"/>
      <c r="F142" s="22"/>
      <c r="G142" s="22"/>
      <c r="H142" s="22"/>
      <c r="I142" s="30" t="str">
        <f>IF(H142="","",IFERROR(INDEX(Codes!$B$2:$B$13,MATCH(H142,Codes!$A$2:$A$13,0)),""))</f>
        <v/>
      </c>
      <c r="J142" s="23"/>
      <c r="K142" s="23"/>
      <c r="L142" s="23"/>
      <c r="M142" s="23"/>
      <c r="N142" s="23"/>
      <c r="O142" s="23"/>
      <c r="P142" s="23"/>
      <c r="Q142" s="31"/>
      <c r="R142" s="32"/>
      <c r="S142" s="32"/>
      <c r="T142" s="33" t="str">
        <f t="shared" si="4"/>
        <v/>
      </c>
      <c r="U142" s="34"/>
      <c r="V142" s="35"/>
      <c r="W142" s="33" t="str">
        <f t="shared" si="5"/>
        <v/>
      </c>
    </row>
    <row r="143" spans="1:23" x14ac:dyDescent="0.35">
      <c r="A143" s="21" t="str">
        <f>IF(COUNTA(B143:H143,J143:S143,U143:V143)=0,"",IF((IF(B143="","PO Ref, ","")&amp;IF(C143="","Vendor, ","")&amp;IF(D143="","Store, ","")&amp;IF(F143="","Product Type, ","")&amp;IF(G143="","Category, ","")&amp;IF(H143="","HSN Code, ","")&amp;IF(Q143="","Qty, ","")&amp;IF(R143="","Purchase Rate, ","")&amp;IF(S143="","MRP, ",""))&lt;&gt;"","Missing: "&amp;LEFT(IF(B143="","PO Ref, ","")&amp;IF(C143="","Vendor, ","")&amp;IF(D143="","Store, ","")&amp;IF(F143="","Product Type, ","")&amp;IF(G143="","Category, ","")&amp;IF(H143="","HSN Code, ","")&amp;IF(Q143="","Qty, ","")&amp;IF(R143="","Purchase Rate, ","")&amp;IF(S143="","MRP, ",""),LEN(IF(B143="","PO Ref, ","")&amp;IF(C143="","Vendor, ","")&amp;IF(D143="","Store, ","")&amp;IF(F143="","Product Type, ","")&amp;IF(G143="","Category, ","")&amp;IF(H143="","HSN Code, ","")&amp;IF(Q143="","Qty, ","")&amp;IF(R143="","Purchase Rate, ","")&amp;IF(S143="","MRP, ",""))-2),IF(COUNTIF(Vendors!$B$3:$B$202,C143)=0,"Add vendor "&amp;C143&amp;" on the Vendors sheet",IF(ISNA(MATCH(H143,Codes!$A$2:$A$13,0)),"Pick the HSN Code from the list",IF(AND(E143&lt;&gt;"",COUNTIFS($C$3:$C$1002,C143,$E$3:$E$1002,E143,$F$3:$F$1002,"&lt;&gt;"&amp;F143)+COUNTIFS($C$3:$C$1002,C143,$E$3:$E$1002,E143,$G$3:$G$1002,"&lt;&gt;"&amp;G143)&gt;0),"Design "&amp;E143&amp;" has another Product Type or Category on another row",IF(COUNTIFS($F$3:$F$1002,F143,$G$3:$G$1002,G143,$H$3:$H$1002,"&lt;&gt;"&amp;H143)&gt;0,F143&amp;" + "&amp;G143&amp;" has another HSN Code on another row",IF(AND(V143&lt;&gt;"",U143=""),"Received Qty needs the Vendor Invoice No",IF(AND(U143&lt;&gt;"",COUNTIFS(Bills!$B$3:$B$302,U143,Bills!$C$3:$C$302,C143)=0),"Add bill "&amp;U143&amp;" of "&amp;C143&amp;" on the Bills sheet",IF(S143&lt;R143,"MRP is below the Purchase Rate","OK")))))))))</f>
        <v/>
      </c>
      <c r="B143" s="29"/>
      <c r="C143" s="22"/>
      <c r="D143" s="22"/>
      <c r="E143" s="24"/>
      <c r="F143" s="22"/>
      <c r="G143" s="22"/>
      <c r="H143" s="22"/>
      <c r="I143" s="30" t="str">
        <f>IF(H143="","",IFERROR(INDEX(Codes!$B$2:$B$13,MATCH(H143,Codes!$A$2:$A$13,0)),""))</f>
        <v/>
      </c>
      <c r="J143" s="23"/>
      <c r="K143" s="23"/>
      <c r="L143" s="23"/>
      <c r="M143" s="23"/>
      <c r="N143" s="23"/>
      <c r="O143" s="23"/>
      <c r="P143" s="23"/>
      <c r="Q143" s="31"/>
      <c r="R143" s="32"/>
      <c r="S143" s="32"/>
      <c r="T143" s="33" t="str">
        <f t="shared" si="4"/>
        <v/>
      </c>
      <c r="U143" s="34"/>
      <c r="V143" s="35"/>
      <c r="W143" s="33" t="str">
        <f t="shared" si="5"/>
        <v/>
      </c>
    </row>
    <row r="144" spans="1:23" x14ac:dyDescent="0.35">
      <c r="A144" s="21" t="str">
        <f>IF(COUNTA(B144:H144,J144:S144,U144:V144)=0,"",IF((IF(B144="","PO Ref, ","")&amp;IF(C144="","Vendor, ","")&amp;IF(D144="","Store, ","")&amp;IF(F144="","Product Type, ","")&amp;IF(G144="","Category, ","")&amp;IF(H144="","HSN Code, ","")&amp;IF(Q144="","Qty, ","")&amp;IF(R144="","Purchase Rate, ","")&amp;IF(S144="","MRP, ",""))&lt;&gt;"","Missing: "&amp;LEFT(IF(B144="","PO Ref, ","")&amp;IF(C144="","Vendor, ","")&amp;IF(D144="","Store, ","")&amp;IF(F144="","Product Type, ","")&amp;IF(G144="","Category, ","")&amp;IF(H144="","HSN Code, ","")&amp;IF(Q144="","Qty, ","")&amp;IF(R144="","Purchase Rate, ","")&amp;IF(S144="","MRP, ",""),LEN(IF(B144="","PO Ref, ","")&amp;IF(C144="","Vendor, ","")&amp;IF(D144="","Store, ","")&amp;IF(F144="","Product Type, ","")&amp;IF(G144="","Category, ","")&amp;IF(H144="","HSN Code, ","")&amp;IF(Q144="","Qty, ","")&amp;IF(R144="","Purchase Rate, ","")&amp;IF(S144="","MRP, ",""))-2),IF(COUNTIF(Vendors!$B$3:$B$202,C144)=0,"Add vendor "&amp;C144&amp;" on the Vendors sheet",IF(ISNA(MATCH(H144,Codes!$A$2:$A$13,0)),"Pick the HSN Code from the list",IF(AND(E144&lt;&gt;"",COUNTIFS($C$3:$C$1002,C144,$E$3:$E$1002,E144,$F$3:$F$1002,"&lt;&gt;"&amp;F144)+COUNTIFS($C$3:$C$1002,C144,$E$3:$E$1002,E144,$G$3:$G$1002,"&lt;&gt;"&amp;G144)&gt;0),"Design "&amp;E144&amp;" has another Product Type or Category on another row",IF(COUNTIFS($F$3:$F$1002,F144,$G$3:$G$1002,G144,$H$3:$H$1002,"&lt;&gt;"&amp;H144)&gt;0,F144&amp;" + "&amp;G144&amp;" has another HSN Code on another row",IF(AND(V144&lt;&gt;"",U144=""),"Received Qty needs the Vendor Invoice No",IF(AND(U144&lt;&gt;"",COUNTIFS(Bills!$B$3:$B$302,U144,Bills!$C$3:$C$302,C144)=0),"Add bill "&amp;U144&amp;" of "&amp;C144&amp;" on the Bills sheet",IF(S144&lt;R144,"MRP is below the Purchase Rate","OK")))))))))</f>
        <v/>
      </c>
      <c r="B144" s="29"/>
      <c r="C144" s="22"/>
      <c r="D144" s="22"/>
      <c r="E144" s="24"/>
      <c r="F144" s="22"/>
      <c r="G144" s="22"/>
      <c r="H144" s="22"/>
      <c r="I144" s="30" t="str">
        <f>IF(H144="","",IFERROR(INDEX(Codes!$B$2:$B$13,MATCH(H144,Codes!$A$2:$A$13,0)),""))</f>
        <v/>
      </c>
      <c r="J144" s="23"/>
      <c r="K144" s="23"/>
      <c r="L144" s="23"/>
      <c r="M144" s="23"/>
      <c r="N144" s="23"/>
      <c r="O144" s="23"/>
      <c r="P144" s="23"/>
      <c r="Q144" s="31"/>
      <c r="R144" s="32"/>
      <c r="S144" s="32"/>
      <c r="T144" s="33" t="str">
        <f t="shared" si="4"/>
        <v/>
      </c>
      <c r="U144" s="34"/>
      <c r="V144" s="35"/>
      <c r="W144" s="33" t="str">
        <f t="shared" si="5"/>
        <v/>
      </c>
    </row>
    <row r="145" spans="1:23" x14ac:dyDescent="0.35">
      <c r="A145" s="21" t="str">
        <f>IF(COUNTA(B145:H145,J145:S145,U145:V145)=0,"",IF((IF(B145="","PO Ref, ","")&amp;IF(C145="","Vendor, ","")&amp;IF(D145="","Store, ","")&amp;IF(F145="","Product Type, ","")&amp;IF(G145="","Category, ","")&amp;IF(H145="","HSN Code, ","")&amp;IF(Q145="","Qty, ","")&amp;IF(R145="","Purchase Rate, ","")&amp;IF(S145="","MRP, ",""))&lt;&gt;"","Missing: "&amp;LEFT(IF(B145="","PO Ref, ","")&amp;IF(C145="","Vendor, ","")&amp;IF(D145="","Store, ","")&amp;IF(F145="","Product Type, ","")&amp;IF(G145="","Category, ","")&amp;IF(H145="","HSN Code, ","")&amp;IF(Q145="","Qty, ","")&amp;IF(R145="","Purchase Rate, ","")&amp;IF(S145="","MRP, ",""),LEN(IF(B145="","PO Ref, ","")&amp;IF(C145="","Vendor, ","")&amp;IF(D145="","Store, ","")&amp;IF(F145="","Product Type, ","")&amp;IF(G145="","Category, ","")&amp;IF(H145="","HSN Code, ","")&amp;IF(Q145="","Qty, ","")&amp;IF(R145="","Purchase Rate, ","")&amp;IF(S145="","MRP, ",""))-2),IF(COUNTIF(Vendors!$B$3:$B$202,C145)=0,"Add vendor "&amp;C145&amp;" on the Vendors sheet",IF(ISNA(MATCH(H145,Codes!$A$2:$A$13,0)),"Pick the HSN Code from the list",IF(AND(E145&lt;&gt;"",COUNTIFS($C$3:$C$1002,C145,$E$3:$E$1002,E145,$F$3:$F$1002,"&lt;&gt;"&amp;F145)+COUNTIFS($C$3:$C$1002,C145,$E$3:$E$1002,E145,$G$3:$G$1002,"&lt;&gt;"&amp;G145)&gt;0),"Design "&amp;E145&amp;" has another Product Type or Category on another row",IF(COUNTIFS($F$3:$F$1002,F145,$G$3:$G$1002,G145,$H$3:$H$1002,"&lt;&gt;"&amp;H145)&gt;0,F145&amp;" + "&amp;G145&amp;" has another HSN Code on another row",IF(AND(V145&lt;&gt;"",U145=""),"Received Qty needs the Vendor Invoice No",IF(AND(U145&lt;&gt;"",COUNTIFS(Bills!$B$3:$B$302,U145,Bills!$C$3:$C$302,C145)=0),"Add bill "&amp;U145&amp;" of "&amp;C145&amp;" on the Bills sheet",IF(S145&lt;R145,"MRP is below the Purchase Rate","OK")))))))))</f>
        <v/>
      </c>
      <c r="B145" s="29"/>
      <c r="C145" s="22"/>
      <c r="D145" s="22"/>
      <c r="E145" s="24"/>
      <c r="F145" s="22"/>
      <c r="G145" s="22"/>
      <c r="H145" s="22"/>
      <c r="I145" s="30" t="str">
        <f>IF(H145="","",IFERROR(INDEX(Codes!$B$2:$B$13,MATCH(H145,Codes!$A$2:$A$13,0)),""))</f>
        <v/>
      </c>
      <c r="J145" s="23"/>
      <c r="K145" s="23"/>
      <c r="L145" s="23"/>
      <c r="M145" s="23"/>
      <c r="N145" s="23"/>
      <c r="O145" s="23"/>
      <c r="P145" s="23"/>
      <c r="Q145" s="31"/>
      <c r="R145" s="32"/>
      <c r="S145" s="32"/>
      <c r="T145" s="33" t="str">
        <f t="shared" si="4"/>
        <v/>
      </c>
      <c r="U145" s="34"/>
      <c r="V145" s="35"/>
      <c r="W145" s="33" t="str">
        <f t="shared" si="5"/>
        <v/>
      </c>
    </row>
    <row r="146" spans="1:23" x14ac:dyDescent="0.35">
      <c r="A146" s="21" t="str">
        <f>IF(COUNTA(B146:H146,J146:S146,U146:V146)=0,"",IF((IF(B146="","PO Ref, ","")&amp;IF(C146="","Vendor, ","")&amp;IF(D146="","Store, ","")&amp;IF(F146="","Product Type, ","")&amp;IF(G146="","Category, ","")&amp;IF(H146="","HSN Code, ","")&amp;IF(Q146="","Qty, ","")&amp;IF(R146="","Purchase Rate, ","")&amp;IF(S146="","MRP, ",""))&lt;&gt;"","Missing: "&amp;LEFT(IF(B146="","PO Ref, ","")&amp;IF(C146="","Vendor, ","")&amp;IF(D146="","Store, ","")&amp;IF(F146="","Product Type, ","")&amp;IF(G146="","Category, ","")&amp;IF(H146="","HSN Code, ","")&amp;IF(Q146="","Qty, ","")&amp;IF(R146="","Purchase Rate, ","")&amp;IF(S146="","MRP, ",""),LEN(IF(B146="","PO Ref, ","")&amp;IF(C146="","Vendor, ","")&amp;IF(D146="","Store, ","")&amp;IF(F146="","Product Type, ","")&amp;IF(G146="","Category, ","")&amp;IF(H146="","HSN Code, ","")&amp;IF(Q146="","Qty, ","")&amp;IF(R146="","Purchase Rate, ","")&amp;IF(S146="","MRP, ",""))-2),IF(COUNTIF(Vendors!$B$3:$B$202,C146)=0,"Add vendor "&amp;C146&amp;" on the Vendors sheet",IF(ISNA(MATCH(H146,Codes!$A$2:$A$13,0)),"Pick the HSN Code from the list",IF(AND(E146&lt;&gt;"",COUNTIFS($C$3:$C$1002,C146,$E$3:$E$1002,E146,$F$3:$F$1002,"&lt;&gt;"&amp;F146)+COUNTIFS($C$3:$C$1002,C146,$E$3:$E$1002,E146,$G$3:$G$1002,"&lt;&gt;"&amp;G146)&gt;0),"Design "&amp;E146&amp;" has another Product Type or Category on another row",IF(COUNTIFS($F$3:$F$1002,F146,$G$3:$G$1002,G146,$H$3:$H$1002,"&lt;&gt;"&amp;H146)&gt;0,F146&amp;" + "&amp;G146&amp;" has another HSN Code on another row",IF(AND(V146&lt;&gt;"",U146=""),"Received Qty needs the Vendor Invoice No",IF(AND(U146&lt;&gt;"",COUNTIFS(Bills!$B$3:$B$302,U146,Bills!$C$3:$C$302,C146)=0),"Add bill "&amp;U146&amp;" of "&amp;C146&amp;" on the Bills sheet",IF(S146&lt;R146,"MRP is below the Purchase Rate","OK")))))))))</f>
        <v/>
      </c>
      <c r="B146" s="29"/>
      <c r="C146" s="22"/>
      <c r="D146" s="22"/>
      <c r="E146" s="24"/>
      <c r="F146" s="22"/>
      <c r="G146" s="22"/>
      <c r="H146" s="22"/>
      <c r="I146" s="30" t="str">
        <f>IF(H146="","",IFERROR(INDEX(Codes!$B$2:$B$13,MATCH(H146,Codes!$A$2:$A$13,0)),""))</f>
        <v/>
      </c>
      <c r="J146" s="23"/>
      <c r="K146" s="23"/>
      <c r="L146" s="23"/>
      <c r="M146" s="23"/>
      <c r="N146" s="23"/>
      <c r="O146" s="23"/>
      <c r="P146" s="23"/>
      <c r="Q146" s="31"/>
      <c r="R146" s="32"/>
      <c r="S146" s="32"/>
      <c r="T146" s="33" t="str">
        <f t="shared" si="4"/>
        <v/>
      </c>
      <c r="U146" s="34"/>
      <c r="V146" s="35"/>
      <c r="W146" s="33" t="str">
        <f t="shared" si="5"/>
        <v/>
      </c>
    </row>
    <row r="147" spans="1:23" x14ac:dyDescent="0.35">
      <c r="A147" s="21" t="str">
        <f>IF(COUNTA(B147:H147,J147:S147,U147:V147)=0,"",IF((IF(B147="","PO Ref, ","")&amp;IF(C147="","Vendor, ","")&amp;IF(D147="","Store, ","")&amp;IF(F147="","Product Type, ","")&amp;IF(G147="","Category, ","")&amp;IF(H147="","HSN Code, ","")&amp;IF(Q147="","Qty, ","")&amp;IF(R147="","Purchase Rate, ","")&amp;IF(S147="","MRP, ",""))&lt;&gt;"","Missing: "&amp;LEFT(IF(B147="","PO Ref, ","")&amp;IF(C147="","Vendor, ","")&amp;IF(D147="","Store, ","")&amp;IF(F147="","Product Type, ","")&amp;IF(G147="","Category, ","")&amp;IF(H147="","HSN Code, ","")&amp;IF(Q147="","Qty, ","")&amp;IF(R147="","Purchase Rate, ","")&amp;IF(S147="","MRP, ",""),LEN(IF(B147="","PO Ref, ","")&amp;IF(C147="","Vendor, ","")&amp;IF(D147="","Store, ","")&amp;IF(F147="","Product Type, ","")&amp;IF(G147="","Category, ","")&amp;IF(H147="","HSN Code, ","")&amp;IF(Q147="","Qty, ","")&amp;IF(R147="","Purchase Rate, ","")&amp;IF(S147="","MRP, ",""))-2),IF(COUNTIF(Vendors!$B$3:$B$202,C147)=0,"Add vendor "&amp;C147&amp;" on the Vendors sheet",IF(ISNA(MATCH(H147,Codes!$A$2:$A$13,0)),"Pick the HSN Code from the list",IF(AND(E147&lt;&gt;"",COUNTIFS($C$3:$C$1002,C147,$E$3:$E$1002,E147,$F$3:$F$1002,"&lt;&gt;"&amp;F147)+COUNTIFS($C$3:$C$1002,C147,$E$3:$E$1002,E147,$G$3:$G$1002,"&lt;&gt;"&amp;G147)&gt;0),"Design "&amp;E147&amp;" has another Product Type or Category on another row",IF(COUNTIFS($F$3:$F$1002,F147,$G$3:$G$1002,G147,$H$3:$H$1002,"&lt;&gt;"&amp;H147)&gt;0,F147&amp;" + "&amp;G147&amp;" has another HSN Code on another row",IF(AND(V147&lt;&gt;"",U147=""),"Received Qty needs the Vendor Invoice No",IF(AND(U147&lt;&gt;"",COUNTIFS(Bills!$B$3:$B$302,U147,Bills!$C$3:$C$302,C147)=0),"Add bill "&amp;U147&amp;" of "&amp;C147&amp;" on the Bills sheet",IF(S147&lt;R147,"MRP is below the Purchase Rate","OK")))))))))</f>
        <v/>
      </c>
      <c r="B147" s="29"/>
      <c r="C147" s="22"/>
      <c r="D147" s="22"/>
      <c r="E147" s="24"/>
      <c r="F147" s="22"/>
      <c r="G147" s="22"/>
      <c r="H147" s="22"/>
      <c r="I147" s="30" t="str">
        <f>IF(H147="","",IFERROR(INDEX(Codes!$B$2:$B$13,MATCH(H147,Codes!$A$2:$A$13,0)),""))</f>
        <v/>
      </c>
      <c r="J147" s="23"/>
      <c r="K147" s="23"/>
      <c r="L147" s="23"/>
      <c r="M147" s="23"/>
      <c r="N147" s="23"/>
      <c r="O147" s="23"/>
      <c r="P147" s="23"/>
      <c r="Q147" s="31"/>
      <c r="R147" s="32"/>
      <c r="S147" s="32"/>
      <c r="T147" s="33" t="str">
        <f t="shared" si="4"/>
        <v/>
      </c>
      <c r="U147" s="34"/>
      <c r="V147" s="35"/>
      <c r="W147" s="33" t="str">
        <f t="shared" si="5"/>
        <v/>
      </c>
    </row>
    <row r="148" spans="1:23" x14ac:dyDescent="0.35">
      <c r="A148" s="21" t="str">
        <f>IF(COUNTA(B148:H148,J148:S148,U148:V148)=0,"",IF((IF(B148="","PO Ref, ","")&amp;IF(C148="","Vendor, ","")&amp;IF(D148="","Store, ","")&amp;IF(F148="","Product Type, ","")&amp;IF(G148="","Category, ","")&amp;IF(H148="","HSN Code, ","")&amp;IF(Q148="","Qty, ","")&amp;IF(R148="","Purchase Rate, ","")&amp;IF(S148="","MRP, ",""))&lt;&gt;"","Missing: "&amp;LEFT(IF(B148="","PO Ref, ","")&amp;IF(C148="","Vendor, ","")&amp;IF(D148="","Store, ","")&amp;IF(F148="","Product Type, ","")&amp;IF(G148="","Category, ","")&amp;IF(H148="","HSN Code, ","")&amp;IF(Q148="","Qty, ","")&amp;IF(R148="","Purchase Rate, ","")&amp;IF(S148="","MRP, ",""),LEN(IF(B148="","PO Ref, ","")&amp;IF(C148="","Vendor, ","")&amp;IF(D148="","Store, ","")&amp;IF(F148="","Product Type, ","")&amp;IF(G148="","Category, ","")&amp;IF(H148="","HSN Code, ","")&amp;IF(Q148="","Qty, ","")&amp;IF(R148="","Purchase Rate, ","")&amp;IF(S148="","MRP, ",""))-2),IF(COUNTIF(Vendors!$B$3:$B$202,C148)=0,"Add vendor "&amp;C148&amp;" on the Vendors sheet",IF(ISNA(MATCH(H148,Codes!$A$2:$A$13,0)),"Pick the HSN Code from the list",IF(AND(E148&lt;&gt;"",COUNTIFS($C$3:$C$1002,C148,$E$3:$E$1002,E148,$F$3:$F$1002,"&lt;&gt;"&amp;F148)+COUNTIFS($C$3:$C$1002,C148,$E$3:$E$1002,E148,$G$3:$G$1002,"&lt;&gt;"&amp;G148)&gt;0),"Design "&amp;E148&amp;" has another Product Type or Category on another row",IF(COUNTIFS($F$3:$F$1002,F148,$G$3:$G$1002,G148,$H$3:$H$1002,"&lt;&gt;"&amp;H148)&gt;0,F148&amp;" + "&amp;G148&amp;" has another HSN Code on another row",IF(AND(V148&lt;&gt;"",U148=""),"Received Qty needs the Vendor Invoice No",IF(AND(U148&lt;&gt;"",COUNTIFS(Bills!$B$3:$B$302,U148,Bills!$C$3:$C$302,C148)=0),"Add bill "&amp;U148&amp;" of "&amp;C148&amp;" on the Bills sheet",IF(S148&lt;R148,"MRP is below the Purchase Rate","OK")))))))))</f>
        <v/>
      </c>
      <c r="B148" s="29"/>
      <c r="C148" s="22"/>
      <c r="D148" s="22"/>
      <c r="E148" s="24"/>
      <c r="F148" s="22"/>
      <c r="G148" s="22"/>
      <c r="H148" s="22"/>
      <c r="I148" s="30" t="str">
        <f>IF(H148="","",IFERROR(INDEX(Codes!$B$2:$B$13,MATCH(H148,Codes!$A$2:$A$13,0)),""))</f>
        <v/>
      </c>
      <c r="J148" s="23"/>
      <c r="K148" s="23"/>
      <c r="L148" s="23"/>
      <c r="M148" s="23"/>
      <c r="N148" s="23"/>
      <c r="O148" s="23"/>
      <c r="P148" s="23"/>
      <c r="Q148" s="31"/>
      <c r="R148" s="32"/>
      <c r="S148" s="32"/>
      <c r="T148" s="33" t="str">
        <f t="shared" si="4"/>
        <v/>
      </c>
      <c r="U148" s="34"/>
      <c r="V148" s="35"/>
      <c r="W148" s="33" t="str">
        <f t="shared" si="5"/>
        <v/>
      </c>
    </row>
    <row r="149" spans="1:23" x14ac:dyDescent="0.35">
      <c r="A149" s="21" t="str">
        <f>IF(COUNTA(B149:H149,J149:S149,U149:V149)=0,"",IF((IF(B149="","PO Ref, ","")&amp;IF(C149="","Vendor, ","")&amp;IF(D149="","Store, ","")&amp;IF(F149="","Product Type, ","")&amp;IF(G149="","Category, ","")&amp;IF(H149="","HSN Code, ","")&amp;IF(Q149="","Qty, ","")&amp;IF(R149="","Purchase Rate, ","")&amp;IF(S149="","MRP, ",""))&lt;&gt;"","Missing: "&amp;LEFT(IF(B149="","PO Ref, ","")&amp;IF(C149="","Vendor, ","")&amp;IF(D149="","Store, ","")&amp;IF(F149="","Product Type, ","")&amp;IF(G149="","Category, ","")&amp;IF(H149="","HSN Code, ","")&amp;IF(Q149="","Qty, ","")&amp;IF(R149="","Purchase Rate, ","")&amp;IF(S149="","MRP, ",""),LEN(IF(B149="","PO Ref, ","")&amp;IF(C149="","Vendor, ","")&amp;IF(D149="","Store, ","")&amp;IF(F149="","Product Type, ","")&amp;IF(G149="","Category, ","")&amp;IF(H149="","HSN Code, ","")&amp;IF(Q149="","Qty, ","")&amp;IF(R149="","Purchase Rate, ","")&amp;IF(S149="","MRP, ",""))-2),IF(COUNTIF(Vendors!$B$3:$B$202,C149)=0,"Add vendor "&amp;C149&amp;" on the Vendors sheet",IF(ISNA(MATCH(H149,Codes!$A$2:$A$13,0)),"Pick the HSN Code from the list",IF(AND(E149&lt;&gt;"",COUNTIFS($C$3:$C$1002,C149,$E$3:$E$1002,E149,$F$3:$F$1002,"&lt;&gt;"&amp;F149)+COUNTIFS($C$3:$C$1002,C149,$E$3:$E$1002,E149,$G$3:$G$1002,"&lt;&gt;"&amp;G149)&gt;0),"Design "&amp;E149&amp;" has another Product Type or Category on another row",IF(COUNTIFS($F$3:$F$1002,F149,$G$3:$G$1002,G149,$H$3:$H$1002,"&lt;&gt;"&amp;H149)&gt;0,F149&amp;" + "&amp;G149&amp;" has another HSN Code on another row",IF(AND(V149&lt;&gt;"",U149=""),"Received Qty needs the Vendor Invoice No",IF(AND(U149&lt;&gt;"",COUNTIFS(Bills!$B$3:$B$302,U149,Bills!$C$3:$C$302,C149)=0),"Add bill "&amp;U149&amp;" of "&amp;C149&amp;" on the Bills sheet",IF(S149&lt;R149,"MRP is below the Purchase Rate","OK")))))))))</f>
        <v/>
      </c>
      <c r="B149" s="29"/>
      <c r="C149" s="22"/>
      <c r="D149" s="22"/>
      <c r="E149" s="24"/>
      <c r="F149" s="22"/>
      <c r="G149" s="22"/>
      <c r="H149" s="22"/>
      <c r="I149" s="30" t="str">
        <f>IF(H149="","",IFERROR(INDEX(Codes!$B$2:$B$13,MATCH(H149,Codes!$A$2:$A$13,0)),""))</f>
        <v/>
      </c>
      <c r="J149" s="23"/>
      <c r="K149" s="23"/>
      <c r="L149" s="23"/>
      <c r="M149" s="23"/>
      <c r="N149" s="23"/>
      <c r="O149" s="23"/>
      <c r="P149" s="23"/>
      <c r="Q149" s="31"/>
      <c r="R149" s="32"/>
      <c r="S149" s="32"/>
      <c r="T149" s="33" t="str">
        <f t="shared" si="4"/>
        <v/>
      </c>
      <c r="U149" s="34"/>
      <c r="V149" s="35"/>
      <c r="W149" s="33" t="str">
        <f t="shared" si="5"/>
        <v/>
      </c>
    </row>
    <row r="150" spans="1:23" x14ac:dyDescent="0.35">
      <c r="A150" s="21" t="str">
        <f>IF(COUNTA(B150:H150,J150:S150,U150:V150)=0,"",IF((IF(B150="","PO Ref, ","")&amp;IF(C150="","Vendor, ","")&amp;IF(D150="","Store, ","")&amp;IF(F150="","Product Type, ","")&amp;IF(G150="","Category, ","")&amp;IF(H150="","HSN Code, ","")&amp;IF(Q150="","Qty, ","")&amp;IF(R150="","Purchase Rate, ","")&amp;IF(S150="","MRP, ",""))&lt;&gt;"","Missing: "&amp;LEFT(IF(B150="","PO Ref, ","")&amp;IF(C150="","Vendor, ","")&amp;IF(D150="","Store, ","")&amp;IF(F150="","Product Type, ","")&amp;IF(G150="","Category, ","")&amp;IF(H150="","HSN Code, ","")&amp;IF(Q150="","Qty, ","")&amp;IF(R150="","Purchase Rate, ","")&amp;IF(S150="","MRP, ",""),LEN(IF(B150="","PO Ref, ","")&amp;IF(C150="","Vendor, ","")&amp;IF(D150="","Store, ","")&amp;IF(F150="","Product Type, ","")&amp;IF(G150="","Category, ","")&amp;IF(H150="","HSN Code, ","")&amp;IF(Q150="","Qty, ","")&amp;IF(R150="","Purchase Rate, ","")&amp;IF(S150="","MRP, ",""))-2),IF(COUNTIF(Vendors!$B$3:$B$202,C150)=0,"Add vendor "&amp;C150&amp;" on the Vendors sheet",IF(ISNA(MATCH(H150,Codes!$A$2:$A$13,0)),"Pick the HSN Code from the list",IF(AND(E150&lt;&gt;"",COUNTIFS($C$3:$C$1002,C150,$E$3:$E$1002,E150,$F$3:$F$1002,"&lt;&gt;"&amp;F150)+COUNTIFS($C$3:$C$1002,C150,$E$3:$E$1002,E150,$G$3:$G$1002,"&lt;&gt;"&amp;G150)&gt;0),"Design "&amp;E150&amp;" has another Product Type or Category on another row",IF(COUNTIFS($F$3:$F$1002,F150,$G$3:$G$1002,G150,$H$3:$H$1002,"&lt;&gt;"&amp;H150)&gt;0,F150&amp;" + "&amp;G150&amp;" has another HSN Code on another row",IF(AND(V150&lt;&gt;"",U150=""),"Received Qty needs the Vendor Invoice No",IF(AND(U150&lt;&gt;"",COUNTIFS(Bills!$B$3:$B$302,U150,Bills!$C$3:$C$302,C150)=0),"Add bill "&amp;U150&amp;" of "&amp;C150&amp;" on the Bills sheet",IF(S150&lt;R150,"MRP is below the Purchase Rate","OK")))))))))</f>
        <v/>
      </c>
      <c r="B150" s="29"/>
      <c r="C150" s="22"/>
      <c r="D150" s="22"/>
      <c r="E150" s="24"/>
      <c r="F150" s="22"/>
      <c r="G150" s="22"/>
      <c r="H150" s="22"/>
      <c r="I150" s="30" t="str">
        <f>IF(H150="","",IFERROR(INDEX(Codes!$B$2:$B$13,MATCH(H150,Codes!$A$2:$A$13,0)),""))</f>
        <v/>
      </c>
      <c r="J150" s="23"/>
      <c r="K150" s="23"/>
      <c r="L150" s="23"/>
      <c r="M150" s="23"/>
      <c r="N150" s="23"/>
      <c r="O150" s="23"/>
      <c r="P150" s="23"/>
      <c r="Q150" s="31"/>
      <c r="R150" s="32"/>
      <c r="S150" s="32"/>
      <c r="T150" s="33" t="str">
        <f t="shared" si="4"/>
        <v/>
      </c>
      <c r="U150" s="34"/>
      <c r="V150" s="35"/>
      <c r="W150" s="33" t="str">
        <f t="shared" si="5"/>
        <v/>
      </c>
    </row>
    <row r="151" spans="1:23" x14ac:dyDescent="0.35">
      <c r="A151" s="21" t="str">
        <f>IF(COUNTA(B151:H151,J151:S151,U151:V151)=0,"",IF((IF(B151="","PO Ref, ","")&amp;IF(C151="","Vendor, ","")&amp;IF(D151="","Store, ","")&amp;IF(F151="","Product Type, ","")&amp;IF(G151="","Category, ","")&amp;IF(H151="","HSN Code, ","")&amp;IF(Q151="","Qty, ","")&amp;IF(R151="","Purchase Rate, ","")&amp;IF(S151="","MRP, ",""))&lt;&gt;"","Missing: "&amp;LEFT(IF(B151="","PO Ref, ","")&amp;IF(C151="","Vendor, ","")&amp;IF(D151="","Store, ","")&amp;IF(F151="","Product Type, ","")&amp;IF(G151="","Category, ","")&amp;IF(H151="","HSN Code, ","")&amp;IF(Q151="","Qty, ","")&amp;IF(R151="","Purchase Rate, ","")&amp;IF(S151="","MRP, ",""),LEN(IF(B151="","PO Ref, ","")&amp;IF(C151="","Vendor, ","")&amp;IF(D151="","Store, ","")&amp;IF(F151="","Product Type, ","")&amp;IF(G151="","Category, ","")&amp;IF(H151="","HSN Code, ","")&amp;IF(Q151="","Qty, ","")&amp;IF(R151="","Purchase Rate, ","")&amp;IF(S151="","MRP, ",""))-2),IF(COUNTIF(Vendors!$B$3:$B$202,C151)=0,"Add vendor "&amp;C151&amp;" on the Vendors sheet",IF(ISNA(MATCH(H151,Codes!$A$2:$A$13,0)),"Pick the HSN Code from the list",IF(AND(E151&lt;&gt;"",COUNTIFS($C$3:$C$1002,C151,$E$3:$E$1002,E151,$F$3:$F$1002,"&lt;&gt;"&amp;F151)+COUNTIFS($C$3:$C$1002,C151,$E$3:$E$1002,E151,$G$3:$G$1002,"&lt;&gt;"&amp;G151)&gt;0),"Design "&amp;E151&amp;" has another Product Type or Category on another row",IF(COUNTIFS($F$3:$F$1002,F151,$G$3:$G$1002,G151,$H$3:$H$1002,"&lt;&gt;"&amp;H151)&gt;0,F151&amp;" + "&amp;G151&amp;" has another HSN Code on another row",IF(AND(V151&lt;&gt;"",U151=""),"Received Qty needs the Vendor Invoice No",IF(AND(U151&lt;&gt;"",COUNTIFS(Bills!$B$3:$B$302,U151,Bills!$C$3:$C$302,C151)=0),"Add bill "&amp;U151&amp;" of "&amp;C151&amp;" on the Bills sheet",IF(S151&lt;R151,"MRP is below the Purchase Rate","OK")))))))))</f>
        <v/>
      </c>
      <c r="B151" s="29"/>
      <c r="C151" s="22"/>
      <c r="D151" s="22"/>
      <c r="E151" s="24"/>
      <c r="F151" s="22"/>
      <c r="G151" s="22"/>
      <c r="H151" s="22"/>
      <c r="I151" s="30" t="str">
        <f>IF(H151="","",IFERROR(INDEX(Codes!$B$2:$B$13,MATCH(H151,Codes!$A$2:$A$13,0)),""))</f>
        <v/>
      </c>
      <c r="J151" s="23"/>
      <c r="K151" s="23"/>
      <c r="L151" s="23"/>
      <c r="M151" s="23"/>
      <c r="N151" s="23"/>
      <c r="O151" s="23"/>
      <c r="P151" s="23"/>
      <c r="Q151" s="31"/>
      <c r="R151" s="32"/>
      <c r="S151" s="32"/>
      <c r="T151" s="33" t="str">
        <f t="shared" si="4"/>
        <v/>
      </c>
      <c r="U151" s="34"/>
      <c r="V151" s="35"/>
      <c r="W151" s="33" t="str">
        <f t="shared" si="5"/>
        <v/>
      </c>
    </row>
    <row r="152" spans="1:23" x14ac:dyDescent="0.35">
      <c r="A152" s="21" t="str">
        <f>IF(COUNTA(B152:H152,J152:S152,U152:V152)=0,"",IF((IF(B152="","PO Ref, ","")&amp;IF(C152="","Vendor, ","")&amp;IF(D152="","Store, ","")&amp;IF(F152="","Product Type, ","")&amp;IF(G152="","Category, ","")&amp;IF(H152="","HSN Code, ","")&amp;IF(Q152="","Qty, ","")&amp;IF(R152="","Purchase Rate, ","")&amp;IF(S152="","MRP, ",""))&lt;&gt;"","Missing: "&amp;LEFT(IF(B152="","PO Ref, ","")&amp;IF(C152="","Vendor, ","")&amp;IF(D152="","Store, ","")&amp;IF(F152="","Product Type, ","")&amp;IF(G152="","Category, ","")&amp;IF(H152="","HSN Code, ","")&amp;IF(Q152="","Qty, ","")&amp;IF(R152="","Purchase Rate, ","")&amp;IF(S152="","MRP, ",""),LEN(IF(B152="","PO Ref, ","")&amp;IF(C152="","Vendor, ","")&amp;IF(D152="","Store, ","")&amp;IF(F152="","Product Type, ","")&amp;IF(G152="","Category, ","")&amp;IF(H152="","HSN Code, ","")&amp;IF(Q152="","Qty, ","")&amp;IF(R152="","Purchase Rate, ","")&amp;IF(S152="","MRP, ",""))-2),IF(COUNTIF(Vendors!$B$3:$B$202,C152)=0,"Add vendor "&amp;C152&amp;" on the Vendors sheet",IF(ISNA(MATCH(H152,Codes!$A$2:$A$13,0)),"Pick the HSN Code from the list",IF(AND(E152&lt;&gt;"",COUNTIFS($C$3:$C$1002,C152,$E$3:$E$1002,E152,$F$3:$F$1002,"&lt;&gt;"&amp;F152)+COUNTIFS($C$3:$C$1002,C152,$E$3:$E$1002,E152,$G$3:$G$1002,"&lt;&gt;"&amp;G152)&gt;0),"Design "&amp;E152&amp;" has another Product Type or Category on another row",IF(COUNTIFS($F$3:$F$1002,F152,$G$3:$G$1002,G152,$H$3:$H$1002,"&lt;&gt;"&amp;H152)&gt;0,F152&amp;" + "&amp;G152&amp;" has another HSN Code on another row",IF(AND(V152&lt;&gt;"",U152=""),"Received Qty needs the Vendor Invoice No",IF(AND(U152&lt;&gt;"",COUNTIFS(Bills!$B$3:$B$302,U152,Bills!$C$3:$C$302,C152)=0),"Add bill "&amp;U152&amp;" of "&amp;C152&amp;" on the Bills sheet",IF(S152&lt;R152,"MRP is below the Purchase Rate","OK")))))))))</f>
        <v/>
      </c>
      <c r="B152" s="29"/>
      <c r="C152" s="22"/>
      <c r="D152" s="22"/>
      <c r="E152" s="24"/>
      <c r="F152" s="22"/>
      <c r="G152" s="22"/>
      <c r="H152" s="22"/>
      <c r="I152" s="30" t="str">
        <f>IF(H152="","",IFERROR(INDEX(Codes!$B$2:$B$13,MATCH(H152,Codes!$A$2:$A$13,0)),""))</f>
        <v/>
      </c>
      <c r="J152" s="23"/>
      <c r="K152" s="23"/>
      <c r="L152" s="23"/>
      <c r="M152" s="23"/>
      <c r="N152" s="23"/>
      <c r="O152" s="23"/>
      <c r="P152" s="23"/>
      <c r="Q152" s="31"/>
      <c r="R152" s="32"/>
      <c r="S152" s="32"/>
      <c r="T152" s="33" t="str">
        <f t="shared" si="4"/>
        <v/>
      </c>
      <c r="U152" s="34"/>
      <c r="V152" s="35"/>
      <c r="W152" s="33" t="str">
        <f t="shared" si="5"/>
        <v/>
      </c>
    </row>
    <row r="153" spans="1:23" x14ac:dyDescent="0.35">
      <c r="A153" s="21" t="str">
        <f>IF(COUNTA(B153:H153,J153:S153,U153:V153)=0,"",IF((IF(B153="","PO Ref, ","")&amp;IF(C153="","Vendor, ","")&amp;IF(D153="","Store, ","")&amp;IF(F153="","Product Type, ","")&amp;IF(G153="","Category, ","")&amp;IF(H153="","HSN Code, ","")&amp;IF(Q153="","Qty, ","")&amp;IF(R153="","Purchase Rate, ","")&amp;IF(S153="","MRP, ",""))&lt;&gt;"","Missing: "&amp;LEFT(IF(B153="","PO Ref, ","")&amp;IF(C153="","Vendor, ","")&amp;IF(D153="","Store, ","")&amp;IF(F153="","Product Type, ","")&amp;IF(G153="","Category, ","")&amp;IF(H153="","HSN Code, ","")&amp;IF(Q153="","Qty, ","")&amp;IF(R153="","Purchase Rate, ","")&amp;IF(S153="","MRP, ",""),LEN(IF(B153="","PO Ref, ","")&amp;IF(C153="","Vendor, ","")&amp;IF(D153="","Store, ","")&amp;IF(F153="","Product Type, ","")&amp;IF(G153="","Category, ","")&amp;IF(H153="","HSN Code, ","")&amp;IF(Q153="","Qty, ","")&amp;IF(R153="","Purchase Rate, ","")&amp;IF(S153="","MRP, ",""))-2),IF(COUNTIF(Vendors!$B$3:$B$202,C153)=0,"Add vendor "&amp;C153&amp;" on the Vendors sheet",IF(ISNA(MATCH(H153,Codes!$A$2:$A$13,0)),"Pick the HSN Code from the list",IF(AND(E153&lt;&gt;"",COUNTIFS($C$3:$C$1002,C153,$E$3:$E$1002,E153,$F$3:$F$1002,"&lt;&gt;"&amp;F153)+COUNTIFS($C$3:$C$1002,C153,$E$3:$E$1002,E153,$G$3:$G$1002,"&lt;&gt;"&amp;G153)&gt;0),"Design "&amp;E153&amp;" has another Product Type or Category on another row",IF(COUNTIFS($F$3:$F$1002,F153,$G$3:$G$1002,G153,$H$3:$H$1002,"&lt;&gt;"&amp;H153)&gt;0,F153&amp;" + "&amp;G153&amp;" has another HSN Code on another row",IF(AND(V153&lt;&gt;"",U153=""),"Received Qty needs the Vendor Invoice No",IF(AND(U153&lt;&gt;"",COUNTIFS(Bills!$B$3:$B$302,U153,Bills!$C$3:$C$302,C153)=0),"Add bill "&amp;U153&amp;" of "&amp;C153&amp;" on the Bills sheet",IF(S153&lt;R153,"MRP is below the Purchase Rate","OK")))))))))</f>
        <v/>
      </c>
      <c r="B153" s="29"/>
      <c r="C153" s="22"/>
      <c r="D153" s="22"/>
      <c r="E153" s="24"/>
      <c r="F153" s="22"/>
      <c r="G153" s="22"/>
      <c r="H153" s="22"/>
      <c r="I153" s="30" t="str">
        <f>IF(H153="","",IFERROR(INDEX(Codes!$B$2:$B$13,MATCH(H153,Codes!$A$2:$A$13,0)),""))</f>
        <v/>
      </c>
      <c r="J153" s="23"/>
      <c r="K153" s="23"/>
      <c r="L153" s="23"/>
      <c r="M153" s="23"/>
      <c r="N153" s="23"/>
      <c r="O153" s="23"/>
      <c r="P153" s="23"/>
      <c r="Q153" s="31"/>
      <c r="R153" s="32"/>
      <c r="S153" s="32"/>
      <c r="T153" s="33" t="str">
        <f t="shared" si="4"/>
        <v/>
      </c>
      <c r="U153" s="34"/>
      <c r="V153" s="35"/>
      <c r="W153" s="33" t="str">
        <f t="shared" si="5"/>
        <v/>
      </c>
    </row>
    <row r="154" spans="1:23" x14ac:dyDescent="0.35">
      <c r="A154" s="21" t="str">
        <f>IF(COUNTA(B154:H154,J154:S154,U154:V154)=0,"",IF((IF(B154="","PO Ref, ","")&amp;IF(C154="","Vendor, ","")&amp;IF(D154="","Store, ","")&amp;IF(F154="","Product Type, ","")&amp;IF(G154="","Category, ","")&amp;IF(H154="","HSN Code, ","")&amp;IF(Q154="","Qty, ","")&amp;IF(R154="","Purchase Rate, ","")&amp;IF(S154="","MRP, ",""))&lt;&gt;"","Missing: "&amp;LEFT(IF(B154="","PO Ref, ","")&amp;IF(C154="","Vendor, ","")&amp;IF(D154="","Store, ","")&amp;IF(F154="","Product Type, ","")&amp;IF(G154="","Category, ","")&amp;IF(H154="","HSN Code, ","")&amp;IF(Q154="","Qty, ","")&amp;IF(R154="","Purchase Rate, ","")&amp;IF(S154="","MRP, ",""),LEN(IF(B154="","PO Ref, ","")&amp;IF(C154="","Vendor, ","")&amp;IF(D154="","Store, ","")&amp;IF(F154="","Product Type, ","")&amp;IF(G154="","Category, ","")&amp;IF(H154="","HSN Code, ","")&amp;IF(Q154="","Qty, ","")&amp;IF(R154="","Purchase Rate, ","")&amp;IF(S154="","MRP, ",""))-2),IF(COUNTIF(Vendors!$B$3:$B$202,C154)=0,"Add vendor "&amp;C154&amp;" on the Vendors sheet",IF(ISNA(MATCH(H154,Codes!$A$2:$A$13,0)),"Pick the HSN Code from the list",IF(AND(E154&lt;&gt;"",COUNTIFS($C$3:$C$1002,C154,$E$3:$E$1002,E154,$F$3:$F$1002,"&lt;&gt;"&amp;F154)+COUNTIFS($C$3:$C$1002,C154,$E$3:$E$1002,E154,$G$3:$G$1002,"&lt;&gt;"&amp;G154)&gt;0),"Design "&amp;E154&amp;" has another Product Type or Category on another row",IF(COUNTIFS($F$3:$F$1002,F154,$G$3:$G$1002,G154,$H$3:$H$1002,"&lt;&gt;"&amp;H154)&gt;0,F154&amp;" + "&amp;G154&amp;" has another HSN Code on another row",IF(AND(V154&lt;&gt;"",U154=""),"Received Qty needs the Vendor Invoice No",IF(AND(U154&lt;&gt;"",COUNTIFS(Bills!$B$3:$B$302,U154,Bills!$C$3:$C$302,C154)=0),"Add bill "&amp;U154&amp;" of "&amp;C154&amp;" on the Bills sheet",IF(S154&lt;R154,"MRP is below the Purchase Rate","OK")))))))))</f>
        <v/>
      </c>
      <c r="B154" s="29"/>
      <c r="C154" s="22"/>
      <c r="D154" s="22"/>
      <c r="E154" s="24"/>
      <c r="F154" s="22"/>
      <c r="G154" s="22"/>
      <c r="H154" s="22"/>
      <c r="I154" s="30" t="str">
        <f>IF(H154="","",IFERROR(INDEX(Codes!$B$2:$B$13,MATCH(H154,Codes!$A$2:$A$13,0)),""))</f>
        <v/>
      </c>
      <c r="J154" s="23"/>
      <c r="K154" s="23"/>
      <c r="L154" s="23"/>
      <c r="M154" s="23"/>
      <c r="N154" s="23"/>
      <c r="O154" s="23"/>
      <c r="P154" s="23"/>
      <c r="Q154" s="31"/>
      <c r="R154" s="32"/>
      <c r="S154" s="32"/>
      <c r="T154" s="33" t="str">
        <f t="shared" si="4"/>
        <v/>
      </c>
      <c r="U154" s="34"/>
      <c r="V154" s="35"/>
      <c r="W154" s="33" t="str">
        <f t="shared" si="5"/>
        <v/>
      </c>
    </row>
    <row r="155" spans="1:23" x14ac:dyDescent="0.35">
      <c r="A155" s="21" t="str">
        <f>IF(COUNTA(B155:H155,J155:S155,U155:V155)=0,"",IF((IF(B155="","PO Ref, ","")&amp;IF(C155="","Vendor, ","")&amp;IF(D155="","Store, ","")&amp;IF(F155="","Product Type, ","")&amp;IF(G155="","Category, ","")&amp;IF(H155="","HSN Code, ","")&amp;IF(Q155="","Qty, ","")&amp;IF(R155="","Purchase Rate, ","")&amp;IF(S155="","MRP, ",""))&lt;&gt;"","Missing: "&amp;LEFT(IF(B155="","PO Ref, ","")&amp;IF(C155="","Vendor, ","")&amp;IF(D155="","Store, ","")&amp;IF(F155="","Product Type, ","")&amp;IF(G155="","Category, ","")&amp;IF(H155="","HSN Code, ","")&amp;IF(Q155="","Qty, ","")&amp;IF(R155="","Purchase Rate, ","")&amp;IF(S155="","MRP, ",""),LEN(IF(B155="","PO Ref, ","")&amp;IF(C155="","Vendor, ","")&amp;IF(D155="","Store, ","")&amp;IF(F155="","Product Type, ","")&amp;IF(G155="","Category, ","")&amp;IF(H155="","HSN Code, ","")&amp;IF(Q155="","Qty, ","")&amp;IF(R155="","Purchase Rate, ","")&amp;IF(S155="","MRP, ",""))-2),IF(COUNTIF(Vendors!$B$3:$B$202,C155)=0,"Add vendor "&amp;C155&amp;" on the Vendors sheet",IF(ISNA(MATCH(H155,Codes!$A$2:$A$13,0)),"Pick the HSN Code from the list",IF(AND(E155&lt;&gt;"",COUNTIFS($C$3:$C$1002,C155,$E$3:$E$1002,E155,$F$3:$F$1002,"&lt;&gt;"&amp;F155)+COUNTIFS($C$3:$C$1002,C155,$E$3:$E$1002,E155,$G$3:$G$1002,"&lt;&gt;"&amp;G155)&gt;0),"Design "&amp;E155&amp;" has another Product Type or Category on another row",IF(COUNTIFS($F$3:$F$1002,F155,$G$3:$G$1002,G155,$H$3:$H$1002,"&lt;&gt;"&amp;H155)&gt;0,F155&amp;" + "&amp;G155&amp;" has another HSN Code on another row",IF(AND(V155&lt;&gt;"",U155=""),"Received Qty needs the Vendor Invoice No",IF(AND(U155&lt;&gt;"",COUNTIFS(Bills!$B$3:$B$302,U155,Bills!$C$3:$C$302,C155)=0),"Add bill "&amp;U155&amp;" of "&amp;C155&amp;" on the Bills sheet",IF(S155&lt;R155,"MRP is below the Purchase Rate","OK")))))))))</f>
        <v/>
      </c>
      <c r="B155" s="29"/>
      <c r="C155" s="22"/>
      <c r="D155" s="22"/>
      <c r="E155" s="24"/>
      <c r="F155" s="22"/>
      <c r="G155" s="22"/>
      <c r="H155" s="22"/>
      <c r="I155" s="30" t="str">
        <f>IF(H155="","",IFERROR(INDEX(Codes!$B$2:$B$13,MATCH(H155,Codes!$A$2:$A$13,0)),""))</f>
        <v/>
      </c>
      <c r="J155" s="23"/>
      <c r="K155" s="23"/>
      <c r="L155" s="23"/>
      <c r="M155" s="23"/>
      <c r="N155" s="23"/>
      <c r="O155" s="23"/>
      <c r="P155" s="23"/>
      <c r="Q155" s="31"/>
      <c r="R155" s="32"/>
      <c r="S155" s="32"/>
      <c r="T155" s="33" t="str">
        <f t="shared" si="4"/>
        <v/>
      </c>
      <c r="U155" s="34"/>
      <c r="V155" s="35"/>
      <c r="W155" s="33" t="str">
        <f t="shared" si="5"/>
        <v/>
      </c>
    </row>
    <row r="156" spans="1:23" x14ac:dyDescent="0.35">
      <c r="A156" s="21" t="str">
        <f>IF(COUNTA(B156:H156,J156:S156,U156:V156)=0,"",IF((IF(B156="","PO Ref, ","")&amp;IF(C156="","Vendor, ","")&amp;IF(D156="","Store, ","")&amp;IF(F156="","Product Type, ","")&amp;IF(G156="","Category, ","")&amp;IF(H156="","HSN Code, ","")&amp;IF(Q156="","Qty, ","")&amp;IF(R156="","Purchase Rate, ","")&amp;IF(S156="","MRP, ",""))&lt;&gt;"","Missing: "&amp;LEFT(IF(B156="","PO Ref, ","")&amp;IF(C156="","Vendor, ","")&amp;IF(D156="","Store, ","")&amp;IF(F156="","Product Type, ","")&amp;IF(G156="","Category, ","")&amp;IF(H156="","HSN Code, ","")&amp;IF(Q156="","Qty, ","")&amp;IF(R156="","Purchase Rate, ","")&amp;IF(S156="","MRP, ",""),LEN(IF(B156="","PO Ref, ","")&amp;IF(C156="","Vendor, ","")&amp;IF(D156="","Store, ","")&amp;IF(F156="","Product Type, ","")&amp;IF(G156="","Category, ","")&amp;IF(H156="","HSN Code, ","")&amp;IF(Q156="","Qty, ","")&amp;IF(R156="","Purchase Rate, ","")&amp;IF(S156="","MRP, ",""))-2),IF(COUNTIF(Vendors!$B$3:$B$202,C156)=0,"Add vendor "&amp;C156&amp;" on the Vendors sheet",IF(ISNA(MATCH(H156,Codes!$A$2:$A$13,0)),"Pick the HSN Code from the list",IF(AND(E156&lt;&gt;"",COUNTIFS($C$3:$C$1002,C156,$E$3:$E$1002,E156,$F$3:$F$1002,"&lt;&gt;"&amp;F156)+COUNTIFS($C$3:$C$1002,C156,$E$3:$E$1002,E156,$G$3:$G$1002,"&lt;&gt;"&amp;G156)&gt;0),"Design "&amp;E156&amp;" has another Product Type or Category on another row",IF(COUNTIFS($F$3:$F$1002,F156,$G$3:$G$1002,G156,$H$3:$H$1002,"&lt;&gt;"&amp;H156)&gt;0,F156&amp;" + "&amp;G156&amp;" has another HSN Code on another row",IF(AND(V156&lt;&gt;"",U156=""),"Received Qty needs the Vendor Invoice No",IF(AND(U156&lt;&gt;"",COUNTIFS(Bills!$B$3:$B$302,U156,Bills!$C$3:$C$302,C156)=0),"Add bill "&amp;U156&amp;" of "&amp;C156&amp;" on the Bills sheet",IF(S156&lt;R156,"MRP is below the Purchase Rate","OK")))))))))</f>
        <v/>
      </c>
      <c r="B156" s="29"/>
      <c r="C156" s="22"/>
      <c r="D156" s="22"/>
      <c r="E156" s="24"/>
      <c r="F156" s="22"/>
      <c r="G156" s="22"/>
      <c r="H156" s="22"/>
      <c r="I156" s="30" t="str">
        <f>IF(H156="","",IFERROR(INDEX(Codes!$B$2:$B$13,MATCH(H156,Codes!$A$2:$A$13,0)),""))</f>
        <v/>
      </c>
      <c r="J156" s="23"/>
      <c r="K156" s="23"/>
      <c r="L156" s="23"/>
      <c r="M156" s="23"/>
      <c r="N156" s="23"/>
      <c r="O156" s="23"/>
      <c r="P156" s="23"/>
      <c r="Q156" s="31"/>
      <c r="R156" s="32"/>
      <c r="S156" s="32"/>
      <c r="T156" s="33" t="str">
        <f t="shared" si="4"/>
        <v/>
      </c>
      <c r="U156" s="34"/>
      <c r="V156" s="35"/>
      <c r="W156" s="33" t="str">
        <f t="shared" si="5"/>
        <v/>
      </c>
    </row>
    <row r="157" spans="1:23" x14ac:dyDescent="0.35">
      <c r="A157" s="21" t="str">
        <f>IF(COUNTA(B157:H157,J157:S157,U157:V157)=0,"",IF((IF(B157="","PO Ref, ","")&amp;IF(C157="","Vendor, ","")&amp;IF(D157="","Store, ","")&amp;IF(F157="","Product Type, ","")&amp;IF(G157="","Category, ","")&amp;IF(H157="","HSN Code, ","")&amp;IF(Q157="","Qty, ","")&amp;IF(R157="","Purchase Rate, ","")&amp;IF(S157="","MRP, ",""))&lt;&gt;"","Missing: "&amp;LEFT(IF(B157="","PO Ref, ","")&amp;IF(C157="","Vendor, ","")&amp;IF(D157="","Store, ","")&amp;IF(F157="","Product Type, ","")&amp;IF(G157="","Category, ","")&amp;IF(H157="","HSN Code, ","")&amp;IF(Q157="","Qty, ","")&amp;IF(R157="","Purchase Rate, ","")&amp;IF(S157="","MRP, ",""),LEN(IF(B157="","PO Ref, ","")&amp;IF(C157="","Vendor, ","")&amp;IF(D157="","Store, ","")&amp;IF(F157="","Product Type, ","")&amp;IF(G157="","Category, ","")&amp;IF(H157="","HSN Code, ","")&amp;IF(Q157="","Qty, ","")&amp;IF(R157="","Purchase Rate, ","")&amp;IF(S157="","MRP, ",""))-2),IF(COUNTIF(Vendors!$B$3:$B$202,C157)=0,"Add vendor "&amp;C157&amp;" on the Vendors sheet",IF(ISNA(MATCH(H157,Codes!$A$2:$A$13,0)),"Pick the HSN Code from the list",IF(AND(E157&lt;&gt;"",COUNTIFS($C$3:$C$1002,C157,$E$3:$E$1002,E157,$F$3:$F$1002,"&lt;&gt;"&amp;F157)+COUNTIFS($C$3:$C$1002,C157,$E$3:$E$1002,E157,$G$3:$G$1002,"&lt;&gt;"&amp;G157)&gt;0),"Design "&amp;E157&amp;" has another Product Type or Category on another row",IF(COUNTIFS($F$3:$F$1002,F157,$G$3:$G$1002,G157,$H$3:$H$1002,"&lt;&gt;"&amp;H157)&gt;0,F157&amp;" + "&amp;G157&amp;" has another HSN Code on another row",IF(AND(V157&lt;&gt;"",U157=""),"Received Qty needs the Vendor Invoice No",IF(AND(U157&lt;&gt;"",COUNTIFS(Bills!$B$3:$B$302,U157,Bills!$C$3:$C$302,C157)=0),"Add bill "&amp;U157&amp;" of "&amp;C157&amp;" on the Bills sheet",IF(S157&lt;R157,"MRP is below the Purchase Rate","OK")))))))))</f>
        <v/>
      </c>
      <c r="B157" s="29"/>
      <c r="C157" s="22"/>
      <c r="D157" s="22"/>
      <c r="E157" s="24"/>
      <c r="F157" s="22"/>
      <c r="G157" s="22"/>
      <c r="H157" s="22"/>
      <c r="I157" s="30" t="str">
        <f>IF(H157="","",IFERROR(INDEX(Codes!$B$2:$B$13,MATCH(H157,Codes!$A$2:$A$13,0)),""))</f>
        <v/>
      </c>
      <c r="J157" s="23"/>
      <c r="K157" s="23"/>
      <c r="L157" s="23"/>
      <c r="M157" s="23"/>
      <c r="N157" s="23"/>
      <c r="O157" s="23"/>
      <c r="P157" s="23"/>
      <c r="Q157" s="31"/>
      <c r="R157" s="32"/>
      <c r="S157" s="32"/>
      <c r="T157" s="33" t="str">
        <f t="shared" si="4"/>
        <v/>
      </c>
      <c r="U157" s="34"/>
      <c r="V157" s="35"/>
      <c r="W157" s="33" t="str">
        <f t="shared" si="5"/>
        <v/>
      </c>
    </row>
    <row r="158" spans="1:23" x14ac:dyDescent="0.35">
      <c r="A158" s="21" t="str">
        <f>IF(COUNTA(B158:H158,J158:S158,U158:V158)=0,"",IF((IF(B158="","PO Ref, ","")&amp;IF(C158="","Vendor, ","")&amp;IF(D158="","Store, ","")&amp;IF(F158="","Product Type, ","")&amp;IF(G158="","Category, ","")&amp;IF(H158="","HSN Code, ","")&amp;IF(Q158="","Qty, ","")&amp;IF(R158="","Purchase Rate, ","")&amp;IF(S158="","MRP, ",""))&lt;&gt;"","Missing: "&amp;LEFT(IF(B158="","PO Ref, ","")&amp;IF(C158="","Vendor, ","")&amp;IF(D158="","Store, ","")&amp;IF(F158="","Product Type, ","")&amp;IF(G158="","Category, ","")&amp;IF(H158="","HSN Code, ","")&amp;IF(Q158="","Qty, ","")&amp;IF(R158="","Purchase Rate, ","")&amp;IF(S158="","MRP, ",""),LEN(IF(B158="","PO Ref, ","")&amp;IF(C158="","Vendor, ","")&amp;IF(D158="","Store, ","")&amp;IF(F158="","Product Type, ","")&amp;IF(G158="","Category, ","")&amp;IF(H158="","HSN Code, ","")&amp;IF(Q158="","Qty, ","")&amp;IF(R158="","Purchase Rate, ","")&amp;IF(S158="","MRP, ",""))-2),IF(COUNTIF(Vendors!$B$3:$B$202,C158)=0,"Add vendor "&amp;C158&amp;" on the Vendors sheet",IF(ISNA(MATCH(H158,Codes!$A$2:$A$13,0)),"Pick the HSN Code from the list",IF(AND(E158&lt;&gt;"",COUNTIFS($C$3:$C$1002,C158,$E$3:$E$1002,E158,$F$3:$F$1002,"&lt;&gt;"&amp;F158)+COUNTIFS($C$3:$C$1002,C158,$E$3:$E$1002,E158,$G$3:$G$1002,"&lt;&gt;"&amp;G158)&gt;0),"Design "&amp;E158&amp;" has another Product Type or Category on another row",IF(COUNTIFS($F$3:$F$1002,F158,$G$3:$G$1002,G158,$H$3:$H$1002,"&lt;&gt;"&amp;H158)&gt;0,F158&amp;" + "&amp;G158&amp;" has another HSN Code on another row",IF(AND(V158&lt;&gt;"",U158=""),"Received Qty needs the Vendor Invoice No",IF(AND(U158&lt;&gt;"",COUNTIFS(Bills!$B$3:$B$302,U158,Bills!$C$3:$C$302,C158)=0),"Add bill "&amp;U158&amp;" of "&amp;C158&amp;" on the Bills sheet",IF(S158&lt;R158,"MRP is below the Purchase Rate","OK")))))))))</f>
        <v/>
      </c>
      <c r="B158" s="29"/>
      <c r="C158" s="22"/>
      <c r="D158" s="22"/>
      <c r="E158" s="24"/>
      <c r="F158" s="22"/>
      <c r="G158" s="22"/>
      <c r="H158" s="22"/>
      <c r="I158" s="30" t="str">
        <f>IF(H158="","",IFERROR(INDEX(Codes!$B$2:$B$13,MATCH(H158,Codes!$A$2:$A$13,0)),""))</f>
        <v/>
      </c>
      <c r="J158" s="23"/>
      <c r="K158" s="23"/>
      <c r="L158" s="23"/>
      <c r="M158" s="23"/>
      <c r="N158" s="23"/>
      <c r="O158" s="23"/>
      <c r="P158" s="23"/>
      <c r="Q158" s="31"/>
      <c r="R158" s="32"/>
      <c r="S158" s="32"/>
      <c r="T158" s="33" t="str">
        <f t="shared" si="4"/>
        <v/>
      </c>
      <c r="U158" s="34"/>
      <c r="V158" s="35"/>
      <c r="W158" s="33" t="str">
        <f t="shared" si="5"/>
        <v/>
      </c>
    </row>
    <row r="159" spans="1:23" x14ac:dyDescent="0.35">
      <c r="A159" s="21" t="str">
        <f>IF(COUNTA(B159:H159,J159:S159,U159:V159)=0,"",IF((IF(B159="","PO Ref, ","")&amp;IF(C159="","Vendor, ","")&amp;IF(D159="","Store, ","")&amp;IF(F159="","Product Type, ","")&amp;IF(G159="","Category, ","")&amp;IF(H159="","HSN Code, ","")&amp;IF(Q159="","Qty, ","")&amp;IF(R159="","Purchase Rate, ","")&amp;IF(S159="","MRP, ",""))&lt;&gt;"","Missing: "&amp;LEFT(IF(B159="","PO Ref, ","")&amp;IF(C159="","Vendor, ","")&amp;IF(D159="","Store, ","")&amp;IF(F159="","Product Type, ","")&amp;IF(G159="","Category, ","")&amp;IF(H159="","HSN Code, ","")&amp;IF(Q159="","Qty, ","")&amp;IF(R159="","Purchase Rate, ","")&amp;IF(S159="","MRP, ",""),LEN(IF(B159="","PO Ref, ","")&amp;IF(C159="","Vendor, ","")&amp;IF(D159="","Store, ","")&amp;IF(F159="","Product Type, ","")&amp;IF(G159="","Category, ","")&amp;IF(H159="","HSN Code, ","")&amp;IF(Q159="","Qty, ","")&amp;IF(R159="","Purchase Rate, ","")&amp;IF(S159="","MRP, ",""))-2),IF(COUNTIF(Vendors!$B$3:$B$202,C159)=0,"Add vendor "&amp;C159&amp;" on the Vendors sheet",IF(ISNA(MATCH(H159,Codes!$A$2:$A$13,0)),"Pick the HSN Code from the list",IF(AND(E159&lt;&gt;"",COUNTIFS($C$3:$C$1002,C159,$E$3:$E$1002,E159,$F$3:$F$1002,"&lt;&gt;"&amp;F159)+COUNTIFS($C$3:$C$1002,C159,$E$3:$E$1002,E159,$G$3:$G$1002,"&lt;&gt;"&amp;G159)&gt;0),"Design "&amp;E159&amp;" has another Product Type or Category on another row",IF(COUNTIFS($F$3:$F$1002,F159,$G$3:$G$1002,G159,$H$3:$H$1002,"&lt;&gt;"&amp;H159)&gt;0,F159&amp;" + "&amp;G159&amp;" has another HSN Code on another row",IF(AND(V159&lt;&gt;"",U159=""),"Received Qty needs the Vendor Invoice No",IF(AND(U159&lt;&gt;"",COUNTIFS(Bills!$B$3:$B$302,U159,Bills!$C$3:$C$302,C159)=0),"Add bill "&amp;U159&amp;" of "&amp;C159&amp;" on the Bills sheet",IF(S159&lt;R159,"MRP is below the Purchase Rate","OK")))))))))</f>
        <v/>
      </c>
      <c r="B159" s="29"/>
      <c r="C159" s="22"/>
      <c r="D159" s="22"/>
      <c r="E159" s="24"/>
      <c r="F159" s="22"/>
      <c r="G159" s="22"/>
      <c r="H159" s="22"/>
      <c r="I159" s="30" t="str">
        <f>IF(H159="","",IFERROR(INDEX(Codes!$B$2:$B$13,MATCH(H159,Codes!$A$2:$A$13,0)),""))</f>
        <v/>
      </c>
      <c r="J159" s="23"/>
      <c r="K159" s="23"/>
      <c r="L159" s="23"/>
      <c r="M159" s="23"/>
      <c r="N159" s="23"/>
      <c r="O159" s="23"/>
      <c r="P159" s="23"/>
      <c r="Q159" s="31"/>
      <c r="R159" s="32"/>
      <c r="S159" s="32"/>
      <c r="T159" s="33" t="str">
        <f t="shared" si="4"/>
        <v/>
      </c>
      <c r="U159" s="34"/>
      <c r="V159" s="35"/>
      <c r="W159" s="33" t="str">
        <f t="shared" si="5"/>
        <v/>
      </c>
    </row>
    <row r="160" spans="1:23" x14ac:dyDescent="0.35">
      <c r="A160" s="21" t="str">
        <f>IF(COUNTA(B160:H160,J160:S160,U160:V160)=0,"",IF((IF(B160="","PO Ref, ","")&amp;IF(C160="","Vendor, ","")&amp;IF(D160="","Store, ","")&amp;IF(F160="","Product Type, ","")&amp;IF(G160="","Category, ","")&amp;IF(H160="","HSN Code, ","")&amp;IF(Q160="","Qty, ","")&amp;IF(R160="","Purchase Rate, ","")&amp;IF(S160="","MRP, ",""))&lt;&gt;"","Missing: "&amp;LEFT(IF(B160="","PO Ref, ","")&amp;IF(C160="","Vendor, ","")&amp;IF(D160="","Store, ","")&amp;IF(F160="","Product Type, ","")&amp;IF(G160="","Category, ","")&amp;IF(H160="","HSN Code, ","")&amp;IF(Q160="","Qty, ","")&amp;IF(R160="","Purchase Rate, ","")&amp;IF(S160="","MRP, ",""),LEN(IF(B160="","PO Ref, ","")&amp;IF(C160="","Vendor, ","")&amp;IF(D160="","Store, ","")&amp;IF(F160="","Product Type, ","")&amp;IF(G160="","Category, ","")&amp;IF(H160="","HSN Code, ","")&amp;IF(Q160="","Qty, ","")&amp;IF(R160="","Purchase Rate, ","")&amp;IF(S160="","MRP, ",""))-2),IF(COUNTIF(Vendors!$B$3:$B$202,C160)=0,"Add vendor "&amp;C160&amp;" on the Vendors sheet",IF(ISNA(MATCH(H160,Codes!$A$2:$A$13,0)),"Pick the HSN Code from the list",IF(AND(E160&lt;&gt;"",COUNTIFS($C$3:$C$1002,C160,$E$3:$E$1002,E160,$F$3:$F$1002,"&lt;&gt;"&amp;F160)+COUNTIFS($C$3:$C$1002,C160,$E$3:$E$1002,E160,$G$3:$G$1002,"&lt;&gt;"&amp;G160)&gt;0),"Design "&amp;E160&amp;" has another Product Type or Category on another row",IF(COUNTIFS($F$3:$F$1002,F160,$G$3:$G$1002,G160,$H$3:$H$1002,"&lt;&gt;"&amp;H160)&gt;0,F160&amp;" + "&amp;G160&amp;" has another HSN Code on another row",IF(AND(V160&lt;&gt;"",U160=""),"Received Qty needs the Vendor Invoice No",IF(AND(U160&lt;&gt;"",COUNTIFS(Bills!$B$3:$B$302,U160,Bills!$C$3:$C$302,C160)=0),"Add bill "&amp;U160&amp;" of "&amp;C160&amp;" on the Bills sheet",IF(S160&lt;R160,"MRP is below the Purchase Rate","OK")))))))))</f>
        <v/>
      </c>
      <c r="B160" s="29"/>
      <c r="C160" s="22"/>
      <c r="D160" s="22"/>
      <c r="E160" s="24"/>
      <c r="F160" s="22"/>
      <c r="G160" s="22"/>
      <c r="H160" s="22"/>
      <c r="I160" s="30" t="str">
        <f>IF(H160="","",IFERROR(INDEX(Codes!$B$2:$B$13,MATCH(H160,Codes!$A$2:$A$13,0)),""))</f>
        <v/>
      </c>
      <c r="J160" s="23"/>
      <c r="K160" s="23"/>
      <c r="L160" s="23"/>
      <c r="M160" s="23"/>
      <c r="N160" s="23"/>
      <c r="O160" s="23"/>
      <c r="P160" s="23"/>
      <c r="Q160" s="31"/>
      <c r="R160" s="32"/>
      <c r="S160" s="32"/>
      <c r="T160" s="33" t="str">
        <f t="shared" si="4"/>
        <v/>
      </c>
      <c r="U160" s="34"/>
      <c r="V160" s="35"/>
      <c r="W160" s="33" t="str">
        <f t="shared" si="5"/>
        <v/>
      </c>
    </row>
    <row r="161" spans="1:23" x14ac:dyDescent="0.35">
      <c r="A161" s="21" t="str">
        <f>IF(COUNTA(B161:H161,J161:S161,U161:V161)=0,"",IF((IF(B161="","PO Ref, ","")&amp;IF(C161="","Vendor, ","")&amp;IF(D161="","Store, ","")&amp;IF(F161="","Product Type, ","")&amp;IF(G161="","Category, ","")&amp;IF(H161="","HSN Code, ","")&amp;IF(Q161="","Qty, ","")&amp;IF(R161="","Purchase Rate, ","")&amp;IF(S161="","MRP, ",""))&lt;&gt;"","Missing: "&amp;LEFT(IF(B161="","PO Ref, ","")&amp;IF(C161="","Vendor, ","")&amp;IF(D161="","Store, ","")&amp;IF(F161="","Product Type, ","")&amp;IF(G161="","Category, ","")&amp;IF(H161="","HSN Code, ","")&amp;IF(Q161="","Qty, ","")&amp;IF(R161="","Purchase Rate, ","")&amp;IF(S161="","MRP, ",""),LEN(IF(B161="","PO Ref, ","")&amp;IF(C161="","Vendor, ","")&amp;IF(D161="","Store, ","")&amp;IF(F161="","Product Type, ","")&amp;IF(G161="","Category, ","")&amp;IF(H161="","HSN Code, ","")&amp;IF(Q161="","Qty, ","")&amp;IF(R161="","Purchase Rate, ","")&amp;IF(S161="","MRP, ",""))-2),IF(COUNTIF(Vendors!$B$3:$B$202,C161)=0,"Add vendor "&amp;C161&amp;" on the Vendors sheet",IF(ISNA(MATCH(H161,Codes!$A$2:$A$13,0)),"Pick the HSN Code from the list",IF(AND(E161&lt;&gt;"",COUNTIFS($C$3:$C$1002,C161,$E$3:$E$1002,E161,$F$3:$F$1002,"&lt;&gt;"&amp;F161)+COUNTIFS($C$3:$C$1002,C161,$E$3:$E$1002,E161,$G$3:$G$1002,"&lt;&gt;"&amp;G161)&gt;0),"Design "&amp;E161&amp;" has another Product Type or Category on another row",IF(COUNTIFS($F$3:$F$1002,F161,$G$3:$G$1002,G161,$H$3:$H$1002,"&lt;&gt;"&amp;H161)&gt;0,F161&amp;" + "&amp;G161&amp;" has another HSN Code on another row",IF(AND(V161&lt;&gt;"",U161=""),"Received Qty needs the Vendor Invoice No",IF(AND(U161&lt;&gt;"",COUNTIFS(Bills!$B$3:$B$302,U161,Bills!$C$3:$C$302,C161)=0),"Add bill "&amp;U161&amp;" of "&amp;C161&amp;" on the Bills sheet",IF(S161&lt;R161,"MRP is below the Purchase Rate","OK")))))))))</f>
        <v/>
      </c>
      <c r="B161" s="29"/>
      <c r="C161" s="22"/>
      <c r="D161" s="22"/>
      <c r="E161" s="24"/>
      <c r="F161" s="22"/>
      <c r="G161" s="22"/>
      <c r="H161" s="22"/>
      <c r="I161" s="30" t="str">
        <f>IF(H161="","",IFERROR(INDEX(Codes!$B$2:$B$13,MATCH(H161,Codes!$A$2:$A$13,0)),""))</f>
        <v/>
      </c>
      <c r="J161" s="23"/>
      <c r="K161" s="23"/>
      <c r="L161" s="23"/>
      <c r="M161" s="23"/>
      <c r="N161" s="23"/>
      <c r="O161" s="23"/>
      <c r="P161" s="23"/>
      <c r="Q161" s="31"/>
      <c r="R161" s="32"/>
      <c r="S161" s="32"/>
      <c r="T161" s="33" t="str">
        <f t="shared" si="4"/>
        <v/>
      </c>
      <c r="U161" s="34"/>
      <c r="V161" s="35"/>
      <c r="W161" s="33" t="str">
        <f t="shared" si="5"/>
        <v/>
      </c>
    </row>
    <row r="162" spans="1:23" x14ac:dyDescent="0.35">
      <c r="A162" s="21" t="str">
        <f>IF(COUNTA(B162:H162,J162:S162,U162:V162)=0,"",IF((IF(B162="","PO Ref, ","")&amp;IF(C162="","Vendor, ","")&amp;IF(D162="","Store, ","")&amp;IF(F162="","Product Type, ","")&amp;IF(G162="","Category, ","")&amp;IF(H162="","HSN Code, ","")&amp;IF(Q162="","Qty, ","")&amp;IF(R162="","Purchase Rate, ","")&amp;IF(S162="","MRP, ",""))&lt;&gt;"","Missing: "&amp;LEFT(IF(B162="","PO Ref, ","")&amp;IF(C162="","Vendor, ","")&amp;IF(D162="","Store, ","")&amp;IF(F162="","Product Type, ","")&amp;IF(G162="","Category, ","")&amp;IF(H162="","HSN Code, ","")&amp;IF(Q162="","Qty, ","")&amp;IF(R162="","Purchase Rate, ","")&amp;IF(S162="","MRP, ",""),LEN(IF(B162="","PO Ref, ","")&amp;IF(C162="","Vendor, ","")&amp;IF(D162="","Store, ","")&amp;IF(F162="","Product Type, ","")&amp;IF(G162="","Category, ","")&amp;IF(H162="","HSN Code, ","")&amp;IF(Q162="","Qty, ","")&amp;IF(R162="","Purchase Rate, ","")&amp;IF(S162="","MRP, ",""))-2),IF(COUNTIF(Vendors!$B$3:$B$202,C162)=0,"Add vendor "&amp;C162&amp;" on the Vendors sheet",IF(ISNA(MATCH(H162,Codes!$A$2:$A$13,0)),"Pick the HSN Code from the list",IF(AND(E162&lt;&gt;"",COUNTIFS($C$3:$C$1002,C162,$E$3:$E$1002,E162,$F$3:$F$1002,"&lt;&gt;"&amp;F162)+COUNTIFS($C$3:$C$1002,C162,$E$3:$E$1002,E162,$G$3:$G$1002,"&lt;&gt;"&amp;G162)&gt;0),"Design "&amp;E162&amp;" has another Product Type or Category on another row",IF(COUNTIFS($F$3:$F$1002,F162,$G$3:$G$1002,G162,$H$3:$H$1002,"&lt;&gt;"&amp;H162)&gt;0,F162&amp;" + "&amp;G162&amp;" has another HSN Code on another row",IF(AND(V162&lt;&gt;"",U162=""),"Received Qty needs the Vendor Invoice No",IF(AND(U162&lt;&gt;"",COUNTIFS(Bills!$B$3:$B$302,U162,Bills!$C$3:$C$302,C162)=0),"Add bill "&amp;U162&amp;" of "&amp;C162&amp;" on the Bills sheet",IF(S162&lt;R162,"MRP is below the Purchase Rate","OK")))))))))</f>
        <v/>
      </c>
      <c r="B162" s="29"/>
      <c r="C162" s="22"/>
      <c r="D162" s="22"/>
      <c r="E162" s="24"/>
      <c r="F162" s="22"/>
      <c r="G162" s="22"/>
      <c r="H162" s="22"/>
      <c r="I162" s="30" t="str">
        <f>IF(H162="","",IFERROR(INDEX(Codes!$B$2:$B$13,MATCH(H162,Codes!$A$2:$A$13,0)),""))</f>
        <v/>
      </c>
      <c r="J162" s="23"/>
      <c r="K162" s="23"/>
      <c r="L162" s="23"/>
      <c r="M162" s="23"/>
      <c r="N162" s="23"/>
      <c r="O162" s="23"/>
      <c r="P162" s="23"/>
      <c r="Q162" s="31"/>
      <c r="R162" s="32"/>
      <c r="S162" s="32"/>
      <c r="T162" s="33" t="str">
        <f t="shared" si="4"/>
        <v/>
      </c>
      <c r="U162" s="34"/>
      <c r="V162" s="35"/>
      <c r="W162" s="33" t="str">
        <f t="shared" si="5"/>
        <v/>
      </c>
    </row>
    <row r="163" spans="1:23" x14ac:dyDescent="0.35">
      <c r="A163" s="21" t="str">
        <f>IF(COUNTA(B163:H163,J163:S163,U163:V163)=0,"",IF((IF(B163="","PO Ref, ","")&amp;IF(C163="","Vendor, ","")&amp;IF(D163="","Store, ","")&amp;IF(F163="","Product Type, ","")&amp;IF(G163="","Category, ","")&amp;IF(H163="","HSN Code, ","")&amp;IF(Q163="","Qty, ","")&amp;IF(R163="","Purchase Rate, ","")&amp;IF(S163="","MRP, ",""))&lt;&gt;"","Missing: "&amp;LEFT(IF(B163="","PO Ref, ","")&amp;IF(C163="","Vendor, ","")&amp;IF(D163="","Store, ","")&amp;IF(F163="","Product Type, ","")&amp;IF(G163="","Category, ","")&amp;IF(H163="","HSN Code, ","")&amp;IF(Q163="","Qty, ","")&amp;IF(R163="","Purchase Rate, ","")&amp;IF(S163="","MRP, ",""),LEN(IF(B163="","PO Ref, ","")&amp;IF(C163="","Vendor, ","")&amp;IF(D163="","Store, ","")&amp;IF(F163="","Product Type, ","")&amp;IF(G163="","Category, ","")&amp;IF(H163="","HSN Code, ","")&amp;IF(Q163="","Qty, ","")&amp;IF(R163="","Purchase Rate, ","")&amp;IF(S163="","MRP, ",""))-2),IF(COUNTIF(Vendors!$B$3:$B$202,C163)=0,"Add vendor "&amp;C163&amp;" on the Vendors sheet",IF(ISNA(MATCH(H163,Codes!$A$2:$A$13,0)),"Pick the HSN Code from the list",IF(AND(E163&lt;&gt;"",COUNTIFS($C$3:$C$1002,C163,$E$3:$E$1002,E163,$F$3:$F$1002,"&lt;&gt;"&amp;F163)+COUNTIFS($C$3:$C$1002,C163,$E$3:$E$1002,E163,$G$3:$G$1002,"&lt;&gt;"&amp;G163)&gt;0),"Design "&amp;E163&amp;" has another Product Type or Category on another row",IF(COUNTIFS($F$3:$F$1002,F163,$G$3:$G$1002,G163,$H$3:$H$1002,"&lt;&gt;"&amp;H163)&gt;0,F163&amp;" + "&amp;G163&amp;" has another HSN Code on another row",IF(AND(V163&lt;&gt;"",U163=""),"Received Qty needs the Vendor Invoice No",IF(AND(U163&lt;&gt;"",COUNTIFS(Bills!$B$3:$B$302,U163,Bills!$C$3:$C$302,C163)=0),"Add bill "&amp;U163&amp;" of "&amp;C163&amp;" on the Bills sheet",IF(S163&lt;R163,"MRP is below the Purchase Rate","OK")))))))))</f>
        <v/>
      </c>
      <c r="B163" s="29"/>
      <c r="C163" s="22"/>
      <c r="D163" s="22"/>
      <c r="E163" s="24"/>
      <c r="F163" s="22"/>
      <c r="G163" s="22"/>
      <c r="H163" s="22"/>
      <c r="I163" s="30" t="str">
        <f>IF(H163="","",IFERROR(INDEX(Codes!$B$2:$B$13,MATCH(H163,Codes!$A$2:$A$13,0)),""))</f>
        <v/>
      </c>
      <c r="J163" s="23"/>
      <c r="K163" s="23"/>
      <c r="L163" s="23"/>
      <c r="M163" s="23"/>
      <c r="N163" s="23"/>
      <c r="O163" s="23"/>
      <c r="P163" s="23"/>
      <c r="Q163" s="31"/>
      <c r="R163" s="32"/>
      <c r="S163" s="32"/>
      <c r="T163" s="33" t="str">
        <f t="shared" si="4"/>
        <v/>
      </c>
      <c r="U163" s="34"/>
      <c r="V163" s="35"/>
      <c r="W163" s="33" t="str">
        <f t="shared" si="5"/>
        <v/>
      </c>
    </row>
    <row r="164" spans="1:23" x14ac:dyDescent="0.35">
      <c r="A164" s="21" t="str">
        <f>IF(COUNTA(B164:H164,J164:S164,U164:V164)=0,"",IF((IF(B164="","PO Ref, ","")&amp;IF(C164="","Vendor, ","")&amp;IF(D164="","Store, ","")&amp;IF(F164="","Product Type, ","")&amp;IF(G164="","Category, ","")&amp;IF(H164="","HSN Code, ","")&amp;IF(Q164="","Qty, ","")&amp;IF(R164="","Purchase Rate, ","")&amp;IF(S164="","MRP, ",""))&lt;&gt;"","Missing: "&amp;LEFT(IF(B164="","PO Ref, ","")&amp;IF(C164="","Vendor, ","")&amp;IF(D164="","Store, ","")&amp;IF(F164="","Product Type, ","")&amp;IF(G164="","Category, ","")&amp;IF(H164="","HSN Code, ","")&amp;IF(Q164="","Qty, ","")&amp;IF(R164="","Purchase Rate, ","")&amp;IF(S164="","MRP, ",""),LEN(IF(B164="","PO Ref, ","")&amp;IF(C164="","Vendor, ","")&amp;IF(D164="","Store, ","")&amp;IF(F164="","Product Type, ","")&amp;IF(G164="","Category, ","")&amp;IF(H164="","HSN Code, ","")&amp;IF(Q164="","Qty, ","")&amp;IF(R164="","Purchase Rate, ","")&amp;IF(S164="","MRP, ",""))-2),IF(COUNTIF(Vendors!$B$3:$B$202,C164)=0,"Add vendor "&amp;C164&amp;" on the Vendors sheet",IF(ISNA(MATCH(H164,Codes!$A$2:$A$13,0)),"Pick the HSN Code from the list",IF(AND(E164&lt;&gt;"",COUNTIFS($C$3:$C$1002,C164,$E$3:$E$1002,E164,$F$3:$F$1002,"&lt;&gt;"&amp;F164)+COUNTIFS($C$3:$C$1002,C164,$E$3:$E$1002,E164,$G$3:$G$1002,"&lt;&gt;"&amp;G164)&gt;0),"Design "&amp;E164&amp;" has another Product Type or Category on another row",IF(COUNTIFS($F$3:$F$1002,F164,$G$3:$G$1002,G164,$H$3:$H$1002,"&lt;&gt;"&amp;H164)&gt;0,F164&amp;" + "&amp;G164&amp;" has another HSN Code on another row",IF(AND(V164&lt;&gt;"",U164=""),"Received Qty needs the Vendor Invoice No",IF(AND(U164&lt;&gt;"",COUNTIFS(Bills!$B$3:$B$302,U164,Bills!$C$3:$C$302,C164)=0),"Add bill "&amp;U164&amp;" of "&amp;C164&amp;" on the Bills sheet",IF(S164&lt;R164,"MRP is below the Purchase Rate","OK")))))))))</f>
        <v/>
      </c>
      <c r="B164" s="29"/>
      <c r="C164" s="22"/>
      <c r="D164" s="22"/>
      <c r="E164" s="24"/>
      <c r="F164" s="22"/>
      <c r="G164" s="22"/>
      <c r="H164" s="22"/>
      <c r="I164" s="30" t="str">
        <f>IF(H164="","",IFERROR(INDEX(Codes!$B$2:$B$13,MATCH(H164,Codes!$A$2:$A$13,0)),""))</f>
        <v/>
      </c>
      <c r="J164" s="23"/>
      <c r="K164" s="23"/>
      <c r="L164" s="23"/>
      <c r="M164" s="23"/>
      <c r="N164" s="23"/>
      <c r="O164" s="23"/>
      <c r="P164" s="23"/>
      <c r="Q164" s="31"/>
      <c r="R164" s="32"/>
      <c r="S164" s="32"/>
      <c r="T164" s="33" t="str">
        <f t="shared" si="4"/>
        <v/>
      </c>
      <c r="U164" s="34"/>
      <c r="V164" s="35"/>
      <c r="W164" s="33" t="str">
        <f t="shared" si="5"/>
        <v/>
      </c>
    </row>
    <row r="165" spans="1:23" x14ac:dyDescent="0.35">
      <c r="A165" s="21" t="str">
        <f>IF(COUNTA(B165:H165,J165:S165,U165:V165)=0,"",IF((IF(B165="","PO Ref, ","")&amp;IF(C165="","Vendor, ","")&amp;IF(D165="","Store, ","")&amp;IF(F165="","Product Type, ","")&amp;IF(G165="","Category, ","")&amp;IF(H165="","HSN Code, ","")&amp;IF(Q165="","Qty, ","")&amp;IF(R165="","Purchase Rate, ","")&amp;IF(S165="","MRP, ",""))&lt;&gt;"","Missing: "&amp;LEFT(IF(B165="","PO Ref, ","")&amp;IF(C165="","Vendor, ","")&amp;IF(D165="","Store, ","")&amp;IF(F165="","Product Type, ","")&amp;IF(G165="","Category, ","")&amp;IF(H165="","HSN Code, ","")&amp;IF(Q165="","Qty, ","")&amp;IF(R165="","Purchase Rate, ","")&amp;IF(S165="","MRP, ",""),LEN(IF(B165="","PO Ref, ","")&amp;IF(C165="","Vendor, ","")&amp;IF(D165="","Store, ","")&amp;IF(F165="","Product Type, ","")&amp;IF(G165="","Category, ","")&amp;IF(H165="","HSN Code, ","")&amp;IF(Q165="","Qty, ","")&amp;IF(R165="","Purchase Rate, ","")&amp;IF(S165="","MRP, ",""))-2),IF(COUNTIF(Vendors!$B$3:$B$202,C165)=0,"Add vendor "&amp;C165&amp;" on the Vendors sheet",IF(ISNA(MATCH(H165,Codes!$A$2:$A$13,0)),"Pick the HSN Code from the list",IF(AND(E165&lt;&gt;"",COUNTIFS($C$3:$C$1002,C165,$E$3:$E$1002,E165,$F$3:$F$1002,"&lt;&gt;"&amp;F165)+COUNTIFS($C$3:$C$1002,C165,$E$3:$E$1002,E165,$G$3:$G$1002,"&lt;&gt;"&amp;G165)&gt;0),"Design "&amp;E165&amp;" has another Product Type or Category on another row",IF(COUNTIFS($F$3:$F$1002,F165,$G$3:$G$1002,G165,$H$3:$H$1002,"&lt;&gt;"&amp;H165)&gt;0,F165&amp;" + "&amp;G165&amp;" has another HSN Code on another row",IF(AND(V165&lt;&gt;"",U165=""),"Received Qty needs the Vendor Invoice No",IF(AND(U165&lt;&gt;"",COUNTIFS(Bills!$B$3:$B$302,U165,Bills!$C$3:$C$302,C165)=0),"Add bill "&amp;U165&amp;" of "&amp;C165&amp;" on the Bills sheet",IF(S165&lt;R165,"MRP is below the Purchase Rate","OK")))))))))</f>
        <v/>
      </c>
      <c r="B165" s="29"/>
      <c r="C165" s="22"/>
      <c r="D165" s="22"/>
      <c r="E165" s="24"/>
      <c r="F165" s="22"/>
      <c r="G165" s="22"/>
      <c r="H165" s="22"/>
      <c r="I165" s="30" t="str">
        <f>IF(H165="","",IFERROR(INDEX(Codes!$B$2:$B$13,MATCH(H165,Codes!$A$2:$A$13,0)),""))</f>
        <v/>
      </c>
      <c r="J165" s="23"/>
      <c r="K165" s="23"/>
      <c r="L165" s="23"/>
      <c r="M165" s="23"/>
      <c r="N165" s="23"/>
      <c r="O165" s="23"/>
      <c r="P165" s="23"/>
      <c r="Q165" s="31"/>
      <c r="R165" s="32"/>
      <c r="S165" s="32"/>
      <c r="T165" s="33" t="str">
        <f t="shared" si="4"/>
        <v/>
      </c>
      <c r="U165" s="34"/>
      <c r="V165" s="35"/>
      <c r="W165" s="33" t="str">
        <f t="shared" si="5"/>
        <v/>
      </c>
    </row>
    <row r="166" spans="1:23" x14ac:dyDescent="0.35">
      <c r="A166" s="21" t="str">
        <f>IF(COUNTA(B166:H166,J166:S166,U166:V166)=0,"",IF((IF(B166="","PO Ref, ","")&amp;IF(C166="","Vendor, ","")&amp;IF(D166="","Store, ","")&amp;IF(F166="","Product Type, ","")&amp;IF(G166="","Category, ","")&amp;IF(H166="","HSN Code, ","")&amp;IF(Q166="","Qty, ","")&amp;IF(R166="","Purchase Rate, ","")&amp;IF(S166="","MRP, ",""))&lt;&gt;"","Missing: "&amp;LEFT(IF(B166="","PO Ref, ","")&amp;IF(C166="","Vendor, ","")&amp;IF(D166="","Store, ","")&amp;IF(F166="","Product Type, ","")&amp;IF(G166="","Category, ","")&amp;IF(H166="","HSN Code, ","")&amp;IF(Q166="","Qty, ","")&amp;IF(R166="","Purchase Rate, ","")&amp;IF(S166="","MRP, ",""),LEN(IF(B166="","PO Ref, ","")&amp;IF(C166="","Vendor, ","")&amp;IF(D166="","Store, ","")&amp;IF(F166="","Product Type, ","")&amp;IF(G166="","Category, ","")&amp;IF(H166="","HSN Code, ","")&amp;IF(Q166="","Qty, ","")&amp;IF(R166="","Purchase Rate, ","")&amp;IF(S166="","MRP, ",""))-2),IF(COUNTIF(Vendors!$B$3:$B$202,C166)=0,"Add vendor "&amp;C166&amp;" on the Vendors sheet",IF(ISNA(MATCH(H166,Codes!$A$2:$A$13,0)),"Pick the HSN Code from the list",IF(AND(E166&lt;&gt;"",COUNTIFS($C$3:$C$1002,C166,$E$3:$E$1002,E166,$F$3:$F$1002,"&lt;&gt;"&amp;F166)+COUNTIFS($C$3:$C$1002,C166,$E$3:$E$1002,E166,$G$3:$G$1002,"&lt;&gt;"&amp;G166)&gt;0),"Design "&amp;E166&amp;" has another Product Type or Category on another row",IF(COUNTIFS($F$3:$F$1002,F166,$G$3:$G$1002,G166,$H$3:$H$1002,"&lt;&gt;"&amp;H166)&gt;0,F166&amp;" + "&amp;G166&amp;" has another HSN Code on another row",IF(AND(V166&lt;&gt;"",U166=""),"Received Qty needs the Vendor Invoice No",IF(AND(U166&lt;&gt;"",COUNTIFS(Bills!$B$3:$B$302,U166,Bills!$C$3:$C$302,C166)=0),"Add bill "&amp;U166&amp;" of "&amp;C166&amp;" on the Bills sheet",IF(S166&lt;R166,"MRP is below the Purchase Rate","OK")))))))))</f>
        <v/>
      </c>
      <c r="B166" s="29"/>
      <c r="C166" s="22"/>
      <c r="D166" s="22"/>
      <c r="E166" s="24"/>
      <c r="F166" s="22"/>
      <c r="G166" s="22"/>
      <c r="H166" s="22"/>
      <c r="I166" s="30" t="str">
        <f>IF(H166="","",IFERROR(INDEX(Codes!$B$2:$B$13,MATCH(H166,Codes!$A$2:$A$13,0)),""))</f>
        <v/>
      </c>
      <c r="J166" s="23"/>
      <c r="K166" s="23"/>
      <c r="L166" s="23"/>
      <c r="M166" s="23"/>
      <c r="N166" s="23"/>
      <c r="O166" s="23"/>
      <c r="P166" s="23"/>
      <c r="Q166" s="31"/>
      <c r="R166" s="32"/>
      <c r="S166" s="32"/>
      <c r="T166" s="33" t="str">
        <f t="shared" si="4"/>
        <v/>
      </c>
      <c r="U166" s="34"/>
      <c r="V166" s="35"/>
      <c r="W166" s="33" t="str">
        <f t="shared" si="5"/>
        <v/>
      </c>
    </row>
    <row r="167" spans="1:23" x14ac:dyDescent="0.35">
      <c r="A167" s="21" t="str">
        <f>IF(COUNTA(B167:H167,J167:S167,U167:V167)=0,"",IF((IF(B167="","PO Ref, ","")&amp;IF(C167="","Vendor, ","")&amp;IF(D167="","Store, ","")&amp;IF(F167="","Product Type, ","")&amp;IF(G167="","Category, ","")&amp;IF(H167="","HSN Code, ","")&amp;IF(Q167="","Qty, ","")&amp;IF(R167="","Purchase Rate, ","")&amp;IF(S167="","MRP, ",""))&lt;&gt;"","Missing: "&amp;LEFT(IF(B167="","PO Ref, ","")&amp;IF(C167="","Vendor, ","")&amp;IF(D167="","Store, ","")&amp;IF(F167="","Product Type, ","")&amp;IF(G167="","Category, ","")&amp;IF(H167="","HSN Code, ","")&amp;IF(Q167="","Qty, ","")&amp;IF(R167="","Purchase Rate, ","")&amp;IF(S167="","MRP, ",""),LEN(IF(B167="","PO Ref, ","")&amp;IF(C167="","Vendor, ","")&amp;IF(D167="","Store, ","")&amp;IF(F167="","Product Type, ","")&amp;IF(G167="","Category, ","")&amp;IF(H167="","HSN Code, ","")&amp;IF(Q167="","Qty, ","")&amp;IF(R167="","Purchase Rate, ","")&amp;IF(S167="","MRP, ",""))-2),IF(COUNTIF(Vendors!$B$3:$B$202,C167)=0,"Add vendor "&amp;C167&amp;" on the Vendors sheet",IF(ISNA(MATCH(H167,Codes!$A$2:$A$13,0)),"Pick the HSN Code from the list",IF(AND(E167&lt;&gt;"",COUNTIFS($C$3:$C$1002,C167,$E$3:$E$1002,E167,$F$3:$F$1002,"&lt;&gt;"&amp;F167)+COUNTIFS($C$3:$C$1002,C167,$E$3:$E$1002,E167,$G$3:$G$1002,"&lt;&gt;"&amp;G167)&gt;0),"Design "&amp;E167&amp;" has another Product Type or Category on another row",IF(COUNTIFS($F$3:$F$1002,F167,$G$3:$G$1002,G167,$H$3:$H$1002,"&lt;&gt;"&amp;H167)&gt;0,F167&amp;" + "&amp;G167&amp;" has another HSN Code on another row",IF(AND(V167&lt;&gt;"",U167=""),"Received Qty needs the Vendor Invoice No",IF(AND(U167&lt;&gt;"",COUNTIFS(Bills!$B$3:$B$302,U167,Bills!$C$3:$C$302,C167)=0),"Add bill "&amp;U167&amp;" of "&amp;C167&amp;" on the Bills sheet",IF(S167&lt;R167,"MRP is below the Purchase Rate","OK")))))))))</f>
        <v/>
      </c>
      <c r="B167" s="29"/>
      <c r="C167" s="22"/>
      <c r="D167" s="22"/>
      <c r="E167" s="24"/>
      <c r="F167" s="22"/>
      <c r="G167" s="22"/>
      <c r="H167" s="22"/>
      <c r="I167" s="30" t="str">
        <f>IF(H167="","",IFERROR(INDEX(Codes!$B$2:$B$13,MATCH(H167,Codes!$A$2:$A$13,0)),""))</f>
        <v/>
      </c>
      <c r="J167" s="23"/>
      <c r="K167" s="23"/>
      <c r="L167" s="23"/>
      <c r="M167" s="23"/>
      <c r="N167" s="23"/>
      <c r="O167" s="23"/>
      <c r="P167" s="23"/>
      <c r="Q167" s="31"/>
      <c r="R167" s="32"/>
      <c r="S167" s="32"/>
      <c r="T167" s="33" t="str">
        <f t="shared" si="4"/>
        <v/>
      </c>
      <c r="U167" s="34"/>
      <c r="V167" s="35"/>
      <c r="W167" s="33" t="str">
        <f t="shared" si="5"/>
        <v/>
      </c>
    </row>
    <row r="168" spans="1:23" x14ac:dyDescent="0.35">
      <c r="A168" s="21" t="str">
        <f>IF(COUNTA(B168:H168,J168:S168,U168:V168)=0,"",IF((IF(B168="","PO Ref, ","")&amp;IF(C168="","Vendor, ","")&amp;IF(D168="","Store, ","")&amp;IF(F168="","Product Type, ","")&amp;IF(G168="","Category, ","")&amp;IF(H168="","HSN Code, ","")&amp;IF(Q168="","Qty, ","")&amp;IF(R168="","Purchase Rate, ","")&amp;IF(S168="","MRP, ",""))&lt;&gt;"","Missing: "&amp;LEFT(IF(B168="","PO Ref, ","")&amp;IF(C168="","Vendor, ","")&amp;IF(D168="","Store, ","")&amp;IF(F168="","Product Type, ","")&amp;IF(G168="","Category, ","")&amp;IF(H168="","HSN Code, ","")&amp;IF(Q168="","Qty, ","")&amp;IF(R168="","Purchase Rate, ","")&amp;IF(S168="","MRP, ",""),LEN(IF(B168="","PO Ref, ","")&amp;IF(C168="","Vendor, ","")&amp;IF(D168="","Store, ","")&amp;IF(F168="","Product Type, ","")&amp;IF(G168="","Category, ","")&amp;IF(H168="","HSN Code, ","")&amp;IF(Q168="","Qty, ","")&amp;IF(R168="","Purchase Rate, ","")&amp;IF(S168="","MRP, ",""))-2),IF(COUNTIF(Vendors!$B$3:$B$202,C168)=0,"Add vendor "&amp;C168&amp;" on the Vendors sheet",IF(ISNA(MATCH(H168,Codes!$A$2:$A$13,0)),"Pick the HSN Code from the list",IF(AND(E168&lt;&gt;"",COUNTIFS($C$3:$C$1002,C168,$E$3:$E$1002,E168,$F$3:$F$1002,"&lt;&gt;"&amp;F168)+COUNTIFS($C$3:$C$1002,C168,$E$3:$E$1002,E168,$G$3:$G$1002,"&lt;&gt;"&amp;G168)&gt;0),"Design "&amp;E168&amp;" has another Product Type or Category on another row",IF(COUNTIFS($F$3:$F$1002,F168,$G$3:$G$1002,G168,$H$3:$H$1002,"&lt;&gt;"&amp;H168)&gt;0,F168&amp;" + "&amp;G168&amp;" has another HSN Code on another row",IF(AND(V168&lt;&gt;"",U168=""),"Received Qty needs the Vendor Invoice No",IF(AND(U168&lt;&gt;"",COUNTIFS(Bills!$B$3:$B$302,U168,Bills!$C$3:$C$302,C168)=0),"Add bill "&amp;U168&amp;" of "&amp;C168&amp;" on the Bills sheet",IF(S168&lt;R168,"MRP is below the Purchase Rate","OK")))))))))</f>
        <v/>
      </c>
      <c r="B168" s="29"/>
      <c r="C168" s="22"/>
      <c r="D168" s="22"/>
      <c r="E168" s="24"/>
      <c r="F168" s="22"/>
      <c r="G168" s="22"/>
      <c r="H168" s="22"/>
      <c r="I168" s="30" t="str">
        <f>IF(H168="","",IFERROR(INDEX(Codes!$B$2:$B$13,MATCH(H168,Codes!$A$2:$A$13,0)),""))</f>
        <v/>
      </c>
      <c r="J168" s="23"/>
      <c r="K168" s="23"/>
      <c r="L168" s="23"/>
      <c r="M168" s="23"/>
      <c r="N168" s="23"/>
      <c r="O168" s="23"/>
      <c r="P168" s="23"/>
      <c r="Q168" s="31"/>
      <c r="R168" s="32"/>
      <c r="S168" s="32"/>
      <c r="T168" s="33" t="str">
        <f t="shared" si="4"/>
        <v/>
      </c>
      <c r="U168" s="34"/>
      <c r="V168" s="35"/>
      <c r="W168" s="33" t="str">
        <f t="shared" si="5"/>
        <v/>
      </c>
    </row>
    <row r="169" spans="1:23" x14ac:dyDescent="0.35">
      <c r="A169" s="21" t="str">
        <f>IF(COUNTA(B169:H169,J169:S169,U169:V169)=0,"",IF((IF(B169="","PO Ref, ","")&amp;IF(C169="","Vendor, ","")&amp;IF(D169="","Store, ","")&amp;IF(F169="","Product Type, ","")&amp;IF(G169="","Category, ","")&amp;IF(H169="","HSN Code, ","")&amp;IF(Q169="","Qty, ","")&amp;IF(R169="","Purchase Rate, ","")&amp;IF(S169="","MRP, ",""))&lt;&gt;"","Missing: "&amp;LEFT(IF(B169="","PO Ref, ","")&amp;IF(C169="","Vendor, ","")&amp;IF(D169="","Store, ","")&amp;IF(F169="","Product Type, ","")&amp;IF(G169="","Category, ","")&amp;IF(H169="","HSN Code, ","")&amp;IF(Q169="","Qty, ","")&amp;IF(R169="","Purchase Rate, ","")&amp;IF(S169="","MRP, ",""),LEN(IF(B169="","PO Ref, ","")&amp;IF(C169="","Vendor, ","")&amp;IF(D169="","Store, ","")&amp;IF(F169="","Product Type, ","")&amp;IF(G169="","Category, ","")&amp;IF(H169="","HSN Code, ","")&amp;IF(Q169="","Qty, ","")&amp;IF(R169="","Purchase Rate, ","")&amp;IF(S169="","MRP, ",""))-2),IF(COUNTIF(Vendors!$B$3:$B$202,C169)=0,"Add vendor "&amp;C169&amp;" on the Vendors sheet",IF(ISNA(MATCH(H169,Codes!$A$2:$A$13,0)),"Pick the HSN Code from the list",IF(AND(E169&lt;&gt;"",COUNTIFS($C$3:$C$1002,C169,$E$3:$E$1002,E169,$F$3:$F$1002,"&lt;&gt;"&amp;F169)+COUNTIFS($C$3:$C$1002,C169,$E$3:$E$1002,E169,$G$3:$G$1002,"&lt;&gt;"&amp;G169)&gt;0),"Design "&amp;E169&amp;" has another Product Type or Category on another row",IF(COUNTIFS($F$3:$F$1002,F169,$G$3:$G$1002,G169,$H$3:$H$1002,"&lt;&gt;"&amp;H169)&gt;0,F169&amp;" + "&amp;G169&amp;" has another HSN Code on another row",IF(AND(V169&lt;&gt;"",U169=""),"Received Qty needs the Vendor Invoice No",IF(AND(U169&lt;&gt;"",COUNTIFS(Bills!$B$3:$B$302,U169,Bills!$C$3:$C$302,C169)=0),"Add bill "&amp;U169&amp;" of "&amp;C169&amp;" on the Bills sheet",IF(S169&lt;R169,"MRP is below the Purchase Rate","OK")))))))))</f>
        <v/>
      </c>
      <c r="B169" s="29"/>
      <c r="C169" s="22"/>
      <c r="D169" s="22"/>
      <c r="E169" s="24"/>
      <c r="F169" s="22"/>
      <c r="G169" s="22"/>
      <c r="H169" s="22"/>
      <c r="I169" s="30" t="str">
        <f>IF(H169="","",IFERROR(INDEX(Codes!$B$2:$B$13,MATCH(H169,Codes!$A$2:$A$13,0)),""))</f>
        <v/>
      </c>
      <c r="J169" s="23"/>
      <c r="K169" s="23"/>
      <c r="L169" s="23"/>
      <c r="M169" s="23"/>
      <c r="N169" s="23"/>
      <c r="O169" s="23"/>
      <c r="P169" s="23"/>
      <c r="Q169" s="31"/>
      <c r="R169" s="32"/>
      <c r="S169" s="32"/>
      <c r="T169" s="33" t="str">
        <f t="shared" si="4"/>
        <v/>
      </c>
      <c r="U169" s="34"/>
      <c r="V169" s="35"/>
      <c r="W169" s="33" t="str">
        <f t="shared" si="5"/>
        <v/>
      </c>
    </row>
    <row r="170" spans="1:23" x14ac:dyDescent="0.35">
      <c r="A170" s="21" t="str">
        <f>IF(COUNTA(B170:H170,J170:S170,U170:V170)=0,"",IF((IF(B170="","PO Ref, ","")&amp;IF(C170="","Vendor, ","")&amp;IF(D170="","Store, ","")&amp;IF(F170="","Product Type, ","")&amp;IF(G170="","Category, ","")&amp;IF(H170="","HSN Code, ","")&amp;IF(Q170="","Qty, ","")&amp;IF(R170="","Purchase Rate, ","")&amp;IF(S170="","MRP, ",""))&lt;&gt;"","Missing: "&amp;LEFT(IF(B170="","PO Ref, ","")&amp;IF(C170="","Vendor, ","")&amp;IF(D170="","Store, ","")&amp;IF(F170="","Product Type, ","")&amp;IF(G170="","Category, ","")&amp;IF(H170="","HSN Code, ","")&amp;IF(Q170="","Qty, ","")&amp;IF(R170="","Purchase Rate, ","")&amp;IF(S170="","MRP, ",""),LEN(IF(B170="","PO Ref, ","")&amp;IF(C170="","Vendor, ","")&amp;IF(D170="","Store, ","")&amp;IF(F170="","Product Type, ","")&amp;IF(G170="","Category, ","")&amp;IF(H170="","HSN Code, ","")&amp;IF(Q170="","Qty, ","")&amp;IF(R170="","Purchase Rate, ","")&amp;IF(S170="","MRP, ",""))-2),IF(COUNTIF(Vendors!$B$3:$B$202,C170)=0,"Add vendor "&amp;C170&amp;" on the Vendors sheet",IF(ISNA(MATCH(H170,Codes!$A$2:$A$13,0)),"Pick the HSN Code from the list",IF(AND(E170&lt;&gt;"",COUNTIFS($C$3:$C$1002,C170,$E$3:$E$1002,E170,$F$3:$F$1002,"&lt;&gt;"&amp;F170)+COUNTIFS($C$3:$C$1002,C170,$E$3:$E$1002,E170,$G$3:$G$1002,"&lt;&gt;"&amp;G170)&gt;0),"Design "&amp;E170&amp;" has another Product Type or Category on another row",IF(COUNTIFS($F$3:$F$1002,F170,$G$3:$G$1002,G170,$H$3:$H$1002,"&lt;&gt;"&amp;H170)&gt;0,F170&amp;" + "&amp;G170&amp;" has another HSN Code on another row",IF(AND(V170&lt;&gt;"",U170=""),"Received Qty needs the Vendor Invoice No",IF(AND(U170&lt;&gt;"",COUNTIFS(Bills!$B$3:$B$302,U170,Bills!$C$3:$C$302,C170)=0),"Add bill "&amp;U170&amp;" of "&amp;C170&amp;" on the Bills sheet",IF(S170&lt;R170,"MRP is below the Purchase Rate","OK")))))))))</f>
        <v/>
      </c>
      <c r="B170" s="29"/>
      <c r="C170" s="22"/>
      <c r="D170" s="22"/>
      <c r="E170" s="24"/>
      <c r="F170" s="22"/>
      <c r="G170" s="22"/>
      <c r="H170" s="22"/>
      <c r="I170" s="30" t="str">
        <f>IF(H170="","",IFERROR(INDEX(Codes!$B$2:$B$13,MATCH(H170,Codes!$A$2:$A$13,0)),""))</f>
        <v/>
      </c>
      <c r="J170" s="23"/>
      <c r="K170" s="23"/>
      <c r="L170" s="23"/>
      <c r="M170" s="23"/>
      <c r="N170" s="23"/>
      <c r="O170" s="23"/>
      <c r="P170" s="23"/>
      <c r="Q170" s="31"/>
      <c r="R170" s="32"/>
      <c r="S170" s="32"/>
      <c r="T170" s="33" t="str">
        <f t="shared" si="4"/>
        <v/>
      </c>
      <c r="U170" s="34"/>
      <c r="V170" s="35"/>
      <c r="W170" s="33" t="str">
        <f t="shared" si="5"/>
        <v/>
      </c>
    </row>
    <row r="171" spans="1:23" x14ac:dyDescent="0.35">
      <c r="A171" s="21" t="str">
        <f>IF(COUNTA(B171:H171,J171:S171,U171:V171)=0,"",IF((IF(B171="","PO Ref, ","")&amp;IF(C171="","Vendor, ","")&amp;IF(D171="","Store, ","")&amp;IF(F171="","Product Type, ","")&amp;IF(G171="","Category, ","")&amp;IF(H171="","HSN Code, ","")&amp;IF(Q171="","Qty, ","")&amp;IF(R171="","Purchase Rate, ","")&amp;IF(S171="","MRP, ",""))&lt;&gt;"","Missing: "&amp;LEFT(IF(B171="","PO Ref, ","")&amp;IF(C171="","Vendor, ","")&amp;IF(D171="","Store, ","")&amp;IF(F171="","Product Type, ","")&amp;IF(G171="","Category, ","")&amp;IF(H171="","HSN Code, ","")&amp;IF(Q171="","Qty, ","")&amp;IF(R171="","Purchase Rate, ","")&amp;IF(S171="","MRP, ",""),LEN(IF(B171="","PO Ref, ","")&amp;IF(C171="","Vendor, ","")&amp;IF(D171="","Store, ","")&amp;IF(F171="","Product Type, ","")&amp;IF(G171="","Category, ","")&amp;IF(H171="","HSN Code, ","")&amp;IF(Q171="","Qty, ","")&amp;IF(R171="","Purchase Rate, ","")&amp;IF(S171="","MRP, ",""))-2),IF(COUNTIF(Vendors!$B$3:$B$202,C171)=0,"Add vendor "&amp;C171&amp;" on the Vendors sheet",IF(ISNA(MATCH(H171,Codes!$A$2:$A$13,0)),"Pick the HSN Code from the list",IF(AND(E171&lt;&gt;"",COUNTIFS($C$3:$C$1002,C171,$E$3:$E$1002,E171,$F$3:$F$1002,"&lt;&gt;"&amp;F171)+COUNTIFS($C$3:$C$1002,C171,$E$3:$E$1002,E171,$G$3:$G$1002,"&lt;&gt;"&amp;G171)&gt;0),"Design "&amp;E171&amp;" has another Product Type or Category on another row",IF(COUNTIFS($F$3:$F$1002,F171,$G$3:$G$1002,G171,$H$3:$H$1002,"&lt;&gt;"&amp;H171)&gt;0,F171&amp;" + "&amp;G171&amp;" has another HSN Code on another row",IF(AND(V171&lt;&gt;"",U171=""),"Received Qty needs the Vendor Invoice No",IF(AND(U171&lt;&gt;"",COUNTIFS(Bills!$B$3:$B$302,U171,Bills!$C$3:$C$302,C171)=0),"Add bill "&amp;U171&amp;" of "&amp;C171&amp;" on the Bills sheet",IF(S171&lt;R171,"MRP is below the Purchase Rate","OK")))))))))</f>
        <v/>
      </c>
      <c r="B171" s="29"/>
      <c r="C171" s="22"/>
      <c r="D171" s="22"/>
      <c r="E171" s="24"/>
      <c r="F171" s="22"/>
      <c r="G171" s="22"/>
      <c r="H171" s="22"/>
      <c r="I171" s="30" t="str">
        <f>IF(H171="","",IFERROR(INDEX(Codes!$B$2:$B$13,MATCH(H171,Codes!$A$2:$A$13,0)),""))</f>
        <v/>
      </c>
      <c r="J171" s="23"/>
      <c r="K171" s="23"/>
      <c r="L171" s="23"/>
      <c r="M171" s="23"/>
      <c r="N171" s="23"/>
      <c r="O171" s="23"/>
      <c r="P171" s="23"/>
      <c r="Q171" s="31"/>
      <c r="R171" s="32"/>
      <c r="S171" s="32"/>
      <c r="T171" s="33" t="str">
        <f t="shared" si="4"/>
        <v/>
      </c>
      <c r="U171" s="34"/>
      <c r="V171" s="35"/>
      <c r="W171" s="33" t="str">
        <f t="shared" si="5"/>
        <v/>
      </c>
    </row>
    <row r="172" spans="1:23" x14ac:dyDescent="0.35">
      <c r="A172" s="21" t="str">
        <f>IF(COUNTA(B172:H172,J172:S172,U172:V172)=0,"",IF((IF(B172="","PO Ref, ","")&amp;IF(C172="","Vendor, ","")&amp;IF(D172="","Store, ","")&amp;IF(F172="","Product Type, ","")&amp;IF(G172="","Category, ","")&amp;IF(H172="","HSN Code, ","")&amp;IF(Q172="","Qty, ","")&amp;IF(R172="","Purchase Rate, ","")&amp;IF(S172="","MRP, ",""))&lt;&gt;"","Missing: "&amp;LEFT(IF(B172="","PO Ref, ","")&amp;IF(C172="","Vendor, ","")&amp;IF(D172="","Store, ","")&amp;IF(F172="","Product Type, ","")&amp;IF(G172="","Category, ","")&amp;IF(H172="","HSN Code, ","")&amp;IF(Q172="","Qty, ","")&amp;IF(R172="","Purchase Rate, ","")&amp;IF(S172="","MRP, ",""),LEN(IF(B172="","PO Ref, ","")&amp;IF(C172="","Vendor, ","")&amp;IF(D172="","Store, ","")&amp;IF(F172="","Product Type, ","")&amp;IF(G172="","Category, ","")&amp;IF(H172="","HSN Code, ","")&amp;IF(Q172="","Qty, ","")&amp;IF(R172="","Purchase Rate, ","")&amp;IF(S172="","MRP, ",""))-2),IF(COUNTIF(Vendors!$B$3:$B$202,C172)=0,"Add vendor "&amp;C172&amp;" on the Vendors sheet",IF(ISNA(MATCH(H172,Codes!$A$2:$A$13,0)),"Pick the HSN Code from the list",IF(AND(E172&lt;&gt;"",COUNTIFS($C$3:$C$1002,C172,$E$3:$E$1002,E172,$F$3:$F$1002,"&lt;&gt;"&amp;F172)+COUNTIFS($C$3:$C$1002,C172,$E$3:$E$1002,E172,$G$3:$G$1002,"&lt;&gt;"&amp;G172)&gt;0),"Design "&amp;E172&amp;" has another Product Type or Category on another row",IF(COUNTIFS($F$3:$F$1002,F172,$G$3:$G$1002,G172,$H$3:$H$1002,"&lt;&gt;"&amp;H172)&gt;0,F172&amp;" + "&amp;G172&amp;" has another HSN Code on another row",IF(AND(V172&lt;&gt;"",U172=""),"Received Qty needs the Vendor Invoice No",IF(AND(U172&lt;&gt;"",COUNTIFS(Bills!$B$3:$B$302,U172,Bills!$C$3:$C$302,C172)=0),"Add bill "&amp;U172&amp;" of "&amp;C172&amp;" on the Bills sheet",IF(S172&lt;R172,"MRP is below the Purchase Rate","OK")))))))))</f>
        <v/>
      </c>
      <c r="B172" s="29"/>
      <c r="C172" s="22"/>
      <c r="D172" s="22"/>
      <c r="E172" s="24"/>
      <c r="F172" s="22"/>
      <c r="G172" s="22"/>
      <c r="H172" s="22"/>
      <c r="I172" s="30" t="str">
        <f>IF(H172="","",IFERROR(INDEX(Codes!$B$2:$B$13,MATCH(H172,Codes!$A$2:$A$13,0)),""))</f>
        <v/>
      </c>
      <c r="J172" s="23"/>
      <c r="K172" s="23"/>
      <c r="L172" s="23"/>
      <c r="M172" s="23"/>
      <c r="N172" s="23"/>
      <c r="O172" s="23"/>
      <c r="P172" s="23"/>
      <c r="Q172" s="31"/>
      <c r="R172" s="32"/>
      <c r="S172" s="32"/>
      <c r="T172" s="33" t="str">
        <f t="shared" si="4"/>
        <v/>
      </c>
      <c r="U172" s="34"/>
      <c r="V172" s="35"/>
      <c r="W172" s="33" t="str">
        <f t="shared" si="5"/>
        <v/>
      </c>
    </row>
    <row r="173" spans="1:23" x14ac:dyDescent="0.35">
      <c r="A173" s="21" t="str">
        <f>IF(COUNTA(B173:H173,J173:S173,U173:V173)=0,"",IF((IF(B173="","PO Ref, ","")&amp;IF(C173="","Vendor, ","")&amp;IF(D173="","Store, ","")&amp;IF(F173="","Product Type, ","")&amp;IF(G173="","Category, ","")&amp;IF(H173="","HSN Code, ","")&amp;IF(Q173="","Qty, ","")&amp;IF(R173="","Purchase Rate, ","")&amp;IF(S173="","MRP, ",""))&lt;&gt;"","Missing: "&amp;LEFT(IF(B173="","PO Ref, ","")&amp;IF(C173="","Vendor, ","")&amp;IF(D173="","Store, ","")&amp;IF(F173="","Product Type, ","")&amp;IF(G173="","Category, ","")&amp;IF(H173="","HSN Code, ","")&amp;IF(Q173="","Qty, ","")&amp;IF(R173="","Purchase Rate, ","")&amp;IF(S173="","MRP, ",""),LEN(IF(B173="","PO Ref, ","")&amp;IF(C173="","Vendor, ","")&amp;IF(D173="","Store, ","")&amp;IF(F173="","Product Type, ","")&amp;IF(G173="","Category, ","")&amp;IF(H173="","HSN Code, ","")&amp;IF(Q173="","Qty, ","")&amp;IF(R173="","Purchase Rate, ","")&amp;IF(S173="","MRP, ",""))-2),IF(COUNTIF(Vendors!$B$3:$B$202,C173)=0,"Add vendor "&amp;C173&amp;" on the Vendors sheet",IF(ISNA(MATCH(H173,Codes!$A$2:$A$13,0)),"Pick the HSN Code from the list",IF(AND(E173&lt;&gt;"",COUNTIFS($C$3:$C$1002,C173,$E$3:$E$1002,E173,$F$3:$F$1002,"&lt;&gt;"&amp;F173)+COUNTIFS($C$3:$C$1002,C173,$E$3:$E$1002,E173,$G$3:$G$1002,"&lt;&gt;"&amp;G173)&gt;0),"Design "&amp;E173&amp;" has another Product Type or Category on another row",IF(COUNTIFS($F$3:$F$1002,F173,$G$3:$G$1002,G173,$H$3:$H$1002,"&lt;&gt;"&amp;H173)&gt;0,F173&amp;" + "&amp;G173&amp;" has another HSN Code on another row",IF(AND(V173&lt;&gt;"",U173=""),"Received Qty needs the Vendor Invoice No",IF(AND(U173&lt;&gt;"",COUNTIFS(Bills!$B$3:$B$302,U173,Bills!$C$3:$C$302,C173)=0),"Add bill "&amp;U173&amp;" of "&amp;C173&amp;" on the Bills sheet",IF(S173&lt;R173,"MRP is below the Purchase Rate","OK")))))))))</f>
        <v/>
      </c>
      <c r="B173" s="29"/>
      <c r="C173" s="22"/>
      <c r="D173" s="22"/>
      <c r="E173" s="24"/>
      <c r="F173" s="22"/>
      <c r="G173" s="22"/>
      <c r="H173" s="22"/>
      <c r="I173" s="30" t="str">
        <f>IF(H173="","",IFERROR(INDEX(Codes!$B$2:$B$13,MATCH(H173,Codes!$A$2:$A$13,0)),""))</f>
        <v/>
      </c>
      <c r="J173" s="23"/>
      <c r="K173" s="23"/>
      <c r="L173" s="23"/>
      <c r="M173" s="23"/>
      <c r="N173" s="23"/>
      <c r="O173" s="23"/>
      <c r="P173" s="23"/>
      <c r="Q173" s="31"/>
      <c r="R173" s="32"/>
      <c r="S173" s="32"/>
      <c r="T173" s="33" t="str">
        <f t="shared" si="4"/>
        <v/>
      </c>
      <c r="U173" s="34"/>
      <c r="V173" s="35"/>
      <c r="W173" s="33" t="str">
        <f t="shared" si="5"/>
        <v/>
      </c>
    </row>
    <row r="174" spans="1:23" x14ac:dyDescent="0.35">
      <c r="A174" s="21" t="str">
        <f>IF(COUNTA(B174:H174,J174:S174,U174:V174)=0,"",IF((IF(B174="","PO Ref, ","")&amp;IF(C174="","Vendor, ","")&amp;IF(D174="","Store, ","")&amp;IF(F174="","Product Type, ","")&amp;IF(G174="","Category, ","")&amp;IF(H174="","HSN Code, ","")&amp;IF(Q174="","Qty, ","")&amp;IF(R174="","Purchase Rate, ","")&amp;IF(S174="","MRP, ",""))&lt;&gt;"","Missing: "&amp;LEFT(IF(B174="","PO Ref, ","")&amp;IF(C174="","Vendor, ","")&amp;IF(D174="","Store, ","")&amp;IF(F174="","Product Type, ","")&amp;IF(G174="","Category, ","")&amp;IF(H174="","HSN Code, ","")&amp;IF(Q174="","Qty, ","")&amp;IF(R174="","Purchase Rate, ","")&amp;IF(S174="","MRP, ",""),LEN(IF(B174="","PO Ref, ","")&amp;IF(C174="","Vendor, ","")&amp;IF(D174="","Store, ","")&amp;IF(F174="","Product Type, ","")&amp;IF(G174="","Category, ","")&amp;IF(H174="","HSN Code, ","")&amp;IF(Q174="","Qty, ","")&amp;IF(R174="","Purchase Rate, ","")&amp;IF(S174="","MRP, ",""))-2),IF(COUNTIF(Vendors!$B$3:$B$202,C174)=0,"Add vendor "&amp;C174&amp;" on the Vendors sheet",IF(ISNA(MATCH(H174,Codes!$A$2:$A$13,0)),"Pick the HSN Code from the list",IF(AND(E174&lt;&gt;"",COUNTIFS($C$3:$C$1002,C174,$E$3:$E$1002,E174,$F$3:$F$1002,"&lt;&gt;"&amp;F174)+COUNTIFS($C$3:$C$1002,C174,$E$3:$E$1002,E174,$G$3:$G$1002,"&lt;&gt;"&amp;G174)&gt;0),"Design "&amp;E174&amp;" has another Product Type or Category on another row",IF(COUNTIFS($F$3:$F$1002,F174,$G$3:$G$1002,G174,$H$3:$H$1002,"&lt;&gt;"&amp;H174)&gt;0,F174&amp;" + "&amp;G174&amp;" has another HSN Code on another row",IF(AND(V174&lt;&gt;"",U174=""),"Received Qty needs the Vendor Invoice No",IF(AND(U174&lt;&gt;"",COUNTIFS(Bills!$B$3:$B$302,U174,Bills!$C$3:$C$302,C174)=0),"Add bill "&amp;U174&amp;" of "&amp;C174&amp;" on the Bills sheet",IF(S174&lt;R174,"MRP is below the Purchase Rate","OK")))))))))</f>
        <v/>
      </c>
      <c r="B174" s="29"/>
      <c r="C174" s="22"/>
      <c r="D174" s="22"/>
      <c r="E174" s="24"/>
      <c r="F174" s="22"/>
      <c r="G174" s="22"/>
      <c r="H174" s="22"/>
      <c r="I174" s="30" t="str">
        <f>IF(H174="","",IFERROR(INDEX(Codes!$B$2:$B$13,MATCH(H174,Codes!$A$2:$A$13,0)),""))</f>
        <v/>
      </c>
      <c r="J174" s="23"/>
      <c r="K174" s="23"/>
      <c r="L174" s="23"/>
      <c r="M174" s="23"/>
      <c r="N174" s="23"/>
      <c r="O174" s="23"/>
      <c r="P174" s="23"/>
      <c r="Q174" s="31"/>
      <c r="R174" s="32"/>
      <c r="S174" s="32"/>
      <c r="T174" s="33" t="str">
        <f t="shared" si="4"/>
        <v/>
      </c>
      <c r="U174" s="34"/>
      <c r="V174" s="35"/>
      <c r="W174" s="33" t="str">
        <f t="shared" si="5"/>
        <v/>
      </c>
    </row>
    <row r="175" spans="1:23" x14ac:dyDescent="0.35">
      <c r="A175" s="21" t="str">
        <f>IF(COUNTA(B175:H175,J175:S175,U175:V175)=0,"",IF((IF(B175="","PO Ref, ","")&amp;IF(C175="","Vendor, ","")&amp;IF(D175="","Store, ","")&amp;IF(F175="","Product Type, ","")&amp;IF(G175="","Category, ","")&amp;IF(H175="","HSN Code, ","")&amp;IF(Q175="","Qty, ","")&amp;IF(R175="","Purchase Rate, ","")&amp;IF(S175="","MRP, ",""))&lt;&gt;"","Missing: "&amp;LEFT(IF(B175="","PO Ref, ","")&amp;IF(C175="","Vendor, ","")&amp;IF(D175="","Store, ","")&amp;IF(F175="","Product Type, ","")&amp;IF(G175="","Category, ","")&amp;IF(H175="","HSN Code, ","")&amp;IF(Q175="","Qty, ","")&amp;IF(R175="","Purchase Rate, ","")&amp;IF(S175="","MRP, ",""),LEN(IF(B175="","PO Ref, ","")&amp;IF(C175="","Vendor, ","")&amp;IF(D175="","Store, ","")&amp;IF(F175="","Product Type, ","")&amp;IF(G175="","Category, ","")&amp;IF(H175="","HSN Code, ","")&amp;IF(Q175="","Qty, ","")&amp;IF(R175="","Purchase Rate, ","")&amp;IF(S175="","MRP, ",""))-2),IF(COUNTIF(Vendors!$B$3:$B$202,C175)=0,"Add vendor "&amp;C175&amp;" on the Vendors sheet",IF(ISNA(MATCH(H175,Codes!$A$2:$A$13,0)),"Pick the HSN Code from the list",IF(AND(E175&lt;&gt;"",COUNTIFS($C$3:$C$1002,C175,$E$3:$E$1002,E175,$F$3:$F$1002,"&lt;&gt;"&amp;F175)+COUNTIFS($C$3:$C$1002,C175,$E$3:$E$1002,E175,$G$3:$G$1002,"&lt;&gt;"&amp;G175)&gt;0),"Design "&amp;E175&amp;" has another Product Type or Category on another row",IF(COUNTIFS($F$3:$F$1002,F175,$G$3:$G$1002,G175,$H$3:$H$1002,"&lt;&gt;"&amp;H175)&gt;0,F175&amp;" + "&amp;G175&amp;" has another HSN Code on another row",IF(AND(V175&lt;&gt;"",U175=""),"Received Qty needs the Vendor Invoice No",IF(AND(U175&lt;&gt;"",COUNTIFS(Bills!$B$3:$B$302,U175,Bills!$C$3:$C$302,C175)=0),"Add bill "&amp;U175&amp;" of "&amp;C175&amp;" on the Bills sheet",IF(S175&lt;R175,"MRP is below the Purchase Rate","OK")))))))))</f>
        <v/>
      </c>
      <c r="B175" s="29"/>
      <c r="C175" s="22"/>
      <c r="D175" s="22"/>
      <c r="E175" s="24"/>
      <c r="F175" s="22"/>
      <c r="G175" s="22"/>
      <c r="H175" s="22"/>
      <c r="I175" s="30" t="str">
        <f>IF(H175="","",IFERROR(INDEX(Codes!$B$2:$B$13,MATCH(H175,Codes!$A$2:$A$13,0)),""))</f>
        <v/>
      </c>
      <c r="J175" s="23"/>
      <c r="K175" s="23"/>
      <c r="L175" s="23"/>
      <c r="M175" s="23"/>
      <c r="N175" s="23"/>
      <c r="O175" s="23"/>
      <c r="P175" s="23"/>
      <c r="Q175" s="31"/>
      <c r="R175" s="32"/>
      <c r="S175" s="32"/>
      <c r="T175" s="33" t="str">
        <f t="shared" si="4"/>
        <v/>
      </c>
      <c r="U175" s="34"/>
      <c r="V175" s="35"/>
      <c r="W175" s="33" t="str">
        <f t="shared" si="5"/>
        <v/>
      </c>
    </row>
    <row r="176" spans="1:23" x14ac:dyDescent="0.35">
      <c r="A176" s="21" t="str">
        <f>IF(COUNTA(B176:H176,J176:S176,U176:V176)=0,"",IF((IF(B176="","PO Ref, ","")&amp;IF(C176="","Vendor, ","")&amp;IF(D176="","Store, ","")&amp;IF(F176="","Product Type, ","")&amp;IF(G176="","Category, ","")&amp;IF(H176="","HSN Code, ","")&amp;IF(Q176="","Qty, ","")&amp;IF(R176="","Purchase Rate, ","")&amp;IF(S176="","MRP, ",""))&lt;&gt;"","Missing: "&amp;LEFT(IF(B176="","PO Ref, ","")&amp;IF(C176="","Vendor, ","")&amp;IF(D176="","Store, ","")&amp;IF(F176="","Product Type, ","")&amp;IF(G176="","Category, ","")&amp;IF(H176="","HSN Code, ","")&amp;IF(Q176="","Qty, ","")&amp;IF(R176="","Purchase Rate, ","")&amp;IF(S176="","MRP, ",""),LEN(IF(B176="","PO Ref, ","")&amp;IF(C176="","Vendor, ","")&amp;IF(D176="","Store, ","")&amp;IF(F176="","Product Type, ","")&amp;IF(G176="","Category, ","")&amp;IF(H176="","HSN Code, ","")&amp;IF(Q176="","Qty, ","")&amp;IF(R176="","Purchase Rate, ","")&amp;IF(S176="","MRP, ",""))-2),IF(COUNTIF(Vendors!$B$3:$B$202,C176)=0,"Add vendor "&amp;C176&amp;" on the Vendors sheet",IF(ISNA(MATCH(H176,Codes!$A$2:$A$13,0)),"Pick the HSN Code from the list",IF(AND(E176&lt;&gt;"",COUNTIFS($C$3:$C$1002,C176,$E$3:$E$1002,E176,$F$3:$F$1002,"&lt;&gt;"&amp;F176)+COUNTIFS($C$3:$C$1002,C176,$E$3:$E$1002,E176,$G$3:$G$1002,"&lt;&gt;"&amp;G176)&gt;0),"Design "&amp;E176&amp;" has another Product Type or Category on another row",IF(COUNTIFS($F$3:$F$1002,F176,$G$3:$G$1002,G176,$H$3:$H$1002,"&lt;&gt;"&amp;H176)&gt;0,F176&amp;" + "&amp;G176&amp;" has another HSN Code on another row",IF(AND(V176&lt;&gt;"",U176=""),"Received Qty needs the Vendor Invoice No",IF(AND(U176&lt;&gt;"",COUNTIFS(Bills!$B$3:$B$302,U176,Bills!$C$3:$C$302,C176)=0),"Add bill "&amp;U176&amp;" of "&amp;C176&amp;" on the Bills sheet",IF(S176&lt;R176,"MRP is below the Purchase Rate","OK")))))))))</f>
        <v/>
      </c>
      <c r="B176" s="29"/>
      <c r="C176" s="22"/>
      <c r="D176" s="22"/>
      <c r="E176" s="24"/>
      <c r="F176" s="22"/>
      <c r="G176" s="22"/>
      <c r="H176" s="22"/>
      <c r="I176" s="30" t="str">
        <f>IF(H176="","",IFERROR(INDEX(Codes!$B$2:$B$13,MATCH(H176,Codes!$A$2:$A$13,0)),""))</f>
        <v/>
      </c>
      <c r="J176" s="23"/>
      <c r="K176" s="23"/>
      <c r="L176" s="23"/>
      <c r="M176" s="23"/>
      <c r="N176" s="23"/>
      <c r="O176" s="23"/>
      <c r="P176" s="23"/>
      <c r="Q176" s="31"/>
      <c r="R176" s="32"/>
      <c r="S176" s="32"/>
      <c r="T176" s="33" t="str">
        <f t="shared" si="4"/>
        <v/>
      </c>
      <c r="U176" s="34"/>
      <c r="V176" s="35"/>
      <c r="W176" s="33" t="str">
        <f t="shared" si="5"/>
        <v/>
      </c>
    </row>
    <row r="177" spans="1:23" x14ac:dyDescent="0.35">
      <c r="A177" s="21" t="str">
        <f>IF(COUNTA(B177:H177,J177:S177,U177:V177)=0,"",IF((IF(B177="","PO Ref, ","")&amp;IF(C177="","Vendor, ","")&amp;IF(D177="","Store, ","")&amp;IF(F177="","Product Type, ","")&amp;IF(G177="","Category, ","")&amp;IF(H177="","HSN Code, ","")&amp;IF(Q177="","Qty, ","")&amp;IF(R177="","Purchase Rate, ","")&amp;IF(S177="","MRP, ",""))&lt;&gt;"","Missing: "&amp;LEFT(IF(B177="","PO Ref, ","")&amp;IF(C177="","Vendor, ","")&amp;IF(D177="","Store, ","")&amp;IF(F177="","Product Type, ","")&amp;IF(G177="","Category, ","")&amp;IF(H177="","HSN Code, ","")&amp;IF(Q177="","Qty, ","")&amp;IF(R177="","Purchase Rate, ","")&amp;IF(S177="","MRP, ",""),LEN(IF(B177="","PO Ref, ","")&amp;IF(C177="","Vendor, ","")&amp;IF(D177="","Store, ","")&amp;IF(F177="","Product Type, ","")&amp;IF(G177="","Category, ","")&amp;IF(H177="","HSN Code, ","")&amp;IF(Q177="","Qty, ","")&amp;IF(R177="","Purchase Rate, ","")&amp;IF(S177="","MRP, ",""))-2),IF(COUNTIF(Vendors!$B$3:$B$202,C177)=0,"Add vendor "&amp;C177&amp;" on the Vendors sheet",IF(ISNA(MATCH(H177,Codes!$A$2:$A$13,0)),"Pick the HSN Code from the list",IF(AND(E177&lt;&gt;"",COUNTIFS($C$3:$C$1002,C177,$E$3:$E$1002,E177,$F$3:$F$1002,"&lt;&gt;"&amp;F177)+COUNTIFS($C$3:$C$1002,C177,$E$3:$E$1002,E177,$G$3:$G$1002,"&lt;&gt;"&amp;G177)&gt;0),"Design "&amp;E177&amp;" has another Product Type or Category on another row",IF(COUNTIFS($F$3:$F$1002,F177,$G$3:$G$1002,G177,$H$3:$H$1002,"&lt;&gt;"&amp;H177)&gt;0,F177&amp;" + "&amp;G177&amp;" has another HSN Code on another row",IF(AND(V177&lt;&gt;"",U177=""),"Received Qty needs the Vendor Invoice No",IF(AND(U177&lt;&gt;"",COUNTIFS(Bills!$B$3:$B$302,U177,Bills!$C$3:$C$302,C177)=0),"Add bill "&amp;U177&amp;" of "&amp;C177&amp;" on the Bills sheet",IF(S177&lt;R177,"MRP is below the Purchase Rate","OK")))))))))</f>
        <v/>
      </c>
      <c r="B177" s="29"/>
      <c r="C177" s="22"/>
      <c r="D177" s="22"/>
      <c r="E177" s="24"/>
      <c r="F177" s="22"/>
      <c r="G177" s="22"/>
      <c r="H177" s="22"/>
      <c r="I177" s="30" t="str">
        <f>IF(H177="","",IFERROR(INDEX(Codes!$B$2:$B$13,MATCH(H177,Codes!$A$2:$A$13,0)),""))</f>
        <v/>
      </c>
      <c r="J177" s="23"/>
      <c r="K177" s="23"/>
      <c r="L177" s="23"/>
      <c r="M177" s="23"/>
      <c r="N177" s="23"/>
      <c r="O177" s="23"/>
      <c r="P177" s="23"/>
      <c r="Q177" s="31"/>
      <c r="R177" s="32"/>
      <c r="S177" s="32"/>
      <c r="T177" s="33" t="str">
        <f t="shared" si="4"/>
        <v/>
      </c>
      <c r="U177" s="34"/>
      <c r="V177" s="35"/>
      <c r="W177" s="33" t="str">
        <f t="shared" si="5"/>
        <v/>
      </c>
    </row>
    <row r="178" spans="1:23" x14ac:dyDescent="0.35">
      <c r="A178" s="21" t="str">
        <f>IF(COUNTA(B178:H178,J178:S178,U178:V178)=0,"",IF((IF(B178="","PO Ref, ","")&amp;IF(C178="","Vendor, ","")&amp;IF(D178="","Store, ","")&amp;IF(F178="","Product Type, ","")&amp;IF(G178="","Category, ","")&amp;IF(H178="","HSN Code, ","")&amp;IF(Q178="","Qty, ","")&amp;IF(R178="","Purchase Rate, ","")&amp;IF(S178="","MRP, ",""))&lt;&gt;"","Missing: "&amp;LEFT(IF(B178="","PO Ref, ","")&amp;IF(C178="","Vendor, ","")&amp;IF(D178="","Store, ","")&amp;IF(F178="","Product Type, ","")&amp;IF(G178="","Category, ","")&amp;IF(H178="","HSN Code, ","")&amp;IF(Q178="","Qty, ","")&amp;IF(R178="","Purchase Rate, ","")&amp;IF(S178="","MRP, ",""),LEN(IF(B178="","PO Ref, ","")&amp;IF(C178="","Vendor, ","")&amp;IF(D178="","Store, ","")&amp;IF(F178="","Product Type, ","")&amp;IF(G178="","Category, ","")&amp;IF(H178="","HSN Code, ","")&amp;IF(Q178="","Qty, ","")&amp;IF(R178="","Purchase Rate, ","")&amp;IF(S178="","MRP, ",""))-2),IF(COUNTIF(Vendors!$B$3:$B$202,C178)=0,"Add vendor "&amp;C178&amp;" on the Vendors sheet",IF(ISNA(MATCH(H178,Codes!$A$2:$A$13,0)),"Pick the HSN Code from the list",IF(AND(E178&lt;&gt;"",COUNTIFS($C$3:$C$1002,C178,$E$3:$E$1002,E178,$F$3:$F$1002,"&lt;&gt;"&amp;F178)+COUNTIFS($C$3:$C$1002,C178,$E$3:$E$1002,E178,$G$3:$G$1002,"&lt;&gt;"&amp;G178)&gt;0),"Design "&amp;E178&amp;" has another Product Type or Category on another row",IF(COUNTIFS($F$3:$F$1002,F178,$G$3:$G$1002,G178,$H$3:$H$1002,"&lt;&gt;"&amp;H178)&gt;0,F178&amp;" + "&amp;G178&amp;" has another HSN Code on another row",IF(AND(V178&lt;&gt;"",U178=""),"Received Qty needs the Vendor Invoice No",IF(AND(U178&lt;&gt;"",COUNTIFS(Bills!$B$3:$B$302,U178,Bills!$C$3:$C$302,C178)=0),"Add bill "&amp;U178&amp;" of "&amp;C178&amp;" on the Bills sheet",IF(S178&lt;R178,"MRP is below the Purchase Rate","OK")))))))))</f>
        <v/>
      </c>
      <c r="B178" s="29"/>
      <c r="C178" s="22"/>
      <c r="D178" s="22"/>
      <c r="E178" s="24"/>
      <c r="F178" s="22"/>
      <c r="G178" s="22"/>
      <c r="H178" s="22"/>
      <c r="I178" s="30" t="str">
        <f>IF(H178="","",IFERROR(INDEX(Codes!$B$2:$B$13,MATCH(H178,Codes!$A$2:$A$13,0)),""))</f>
        <v/>
      </c>
      <c r="J178" s="23"/>
      <c r="K178" s="23"/>
      <c r="L178" s="23"/>
      <c r="M178" s="23"/>
      <c r="N178" s="23"/>
      <c r="O178" s="23"/>
      <c r="P178" s="23"/>
      <c r="Q178" s="31"/>
      <c r="R178" s="32"/>
      <c r="S178" s="32"/>
      <c r="T178" s="33" t="str">
        <f t="shared" si="4"/>
        <v/>
      </c>
      <c r="U178" s="34"/>
      <c r="V178" s="35"/>
      <c r="W178" s="33" t="str">
        <f t="shared" si="5"/>
        <v/>
      </c>
    </row>
    <row r="179" spans="1:23" x14ac:dyDescent="0.35">
      <c r="A179" s="21" t="str">
        <f>IF(COUNTA(B179:H179,J179:S179,U179:V179)=0,"",IF((IF(B179="","PO Ref, ","")&amp;IF(C179="","Vendor, ","")&amp;IF(D179="","Store, ","")&amp;IF(F179="","Product Type, ","")&amp;IF(G179="","Category, ","")&amp;IF(H179="","HSN Code, ","")&amp;IF(Q179="","Qty, ","")&amp;IF(R179="","Purchase Rate, ","")&amp;IF(S179="","MRP, ",""))&lt;&gt;"","Missing: "&amp;LEFT(IF(B179="","PO Ref, ","")&amp;IF(C179="","Vendor, ","")&amp;IF(D179="","Store, ","")&amp;IF(F179="","Product Type, ","")&amp;IF(G179="","Category, ","")&amp;IF(H179="","HSN Code, ","")&amp;IF(Q179="","Qty, ","")&amp;IF(R179="","Purchase Rate, ","")&amp;IF(S179="","MRP, ",""),LEN(IF(B179="","PO Ref, ","")&amp;IF(C179="","Vendor, ","")&amp;IF(D179="","Store, ","")&amp;IF(F179="","Product Type, ","")&amp;IF(G179="","Category, ","")&amp;IF(H179="","HSN Code, ","")&amp;IF(Q179="","Qty, ","")&amp;IF(R179="","Purchase Rate, ","")&amp;IF(S179="","MRP, ",""))-2),IF(COUNTIF(Vendors!$B$3:$B$202,C179)=0,"Add vendor "&amp;C179&amp;" on the Vendors sheet",IF(ISNA(MATCH(H179,Codes!$A$2:$A$13,0)),"Pick the HSN Code from the list",IF(AND(E179&lt;&gt;"",COUNTIFS($C$3:$C$1002,C179,$E$3:$E$1002,E179,$F$3:$F$1002,"&lt;&gt;"&amp;F179)+COUNTIFS($C$3:$C$1002,C179,$E$3:$E$1002,E179,$G$3:$G$1002,"&lt;&gt;"&amp;G179)&gt;0),"Design "&amp;E179&amp;" has another Product Type or Category on another row",IF(COUNTIFS($F$3:$F$1002,F179,$G$3:$G$1002,G179,$H$3:$H$1002,"&lt;&gt;"&amp;H179)&gt;0,F179&amp;" + "&amp;G179&amp;" has another HSN Code on another row",IF(AND(V179&lt;&gt;"",U179=""),"Received Qty needs the Vendor Invoice No",IF(AND(U179&lt;&gt;"",COUNTIFS(Bills!$B$3:$B$302,U179,Bills!$C$3:$C$302,C179)=0),"Add bill "&amp;U179&amp;" of "&amp;C179&amp;" on the Bills sheet",IF(S179&lt;R179,"MRP is below the Purchase Rate","OK")))))))))</f>
        <v/>
      </c>
      <c r="B179" s="29"/>
      <c r="C179" s="22"/>
      <c r="D179" s="22"/>
      <c r="E179" s="24"/>
      <c r="F179" s="22"/>
      <c r="G179" s="22"/>
      <c r="H179" s="22"/>
      <c r="I179" s="30" t="str">
        <f>IF(H179="","",IFERROR(INDEX(Codes!$B$2:$B$13,MATCH(H179,Codes!$A$2:$A$13,0)),""))</f>
        <v/>
      </c>
      <c r="J179" s="23"/>
      <c r="K179" s="23"/>
      <c r="L179" s="23"/>
      <c r="M179" s="23"/>
      <c r="N179" s="23"/>
      <c r="O179" s="23"/>
      <c r="P179" s="23"/>
      <c r="Q179" s="31"/>
      <c r="R179" s="32"/>
      <c r="S179" s="32"/>
      <c r="T179" s="33" t="str">
        <f t="shared" si="4"/>
        <v/>
      </c>
      <c r="U179" s="34"/>
      <c r="V179" s="35"/>
      <c r="W179" s="33" t="str">
        <f t="shared" si="5"/>
        <v/>
      </c>
    </row>
    <row r="180" spans="1:23" x14ac:dyDescent="0.35">
      <c r="A180" s="21" t="str">
        <f>IF(COUNTA(B180:H180,J180:S180,U180:V180)=0,"",IF((IF(B180="","PO Ref, ","")&amp;IF(C180="","Vendor, ","")&amp;IF(D180="","Store, ","")&amp;IF(F180="","Product Type, ","")&amp;IF(G180="","Category, ","")&amp;IF(H180="","HSN Code, ","")&amp;IF(Q180="","Qty, ","")&amp;IF(R180="","Purchase Rate, ","")&amp;IF(S180="","MRP, ",""))&lt;&gt;"","Missing: "&amp;LEFT(IF(B180="","PO Ref, ","")&amp;IF(C180="","Vendor, ","")&amp;IF(D180="","Store, ","")&amp;IF(F180="","Product Type, ","")&amp;IF(G180="","Category, ","")&amp;IF(H180="","HSN Code, ","")&amp;IF(Q180="","Qty, ","")&amp;IF(R180="","Purchase Rate, ","")&amp;IF(S180="","MRP, ",""),LEN(IF(B180="","PO Ref, ","")&amp;IF(C180="","Vendor, ","")&amp;IF(D180="","Store, ","")&amp;IF(F180="","Product Type, ","")&amp;IF(G180="","Category, ","")&amp;IF(H180="","HSN Code, ","")&amp;IF(Q180="","Qty, ","")&amp;IF(R180="","Purchase Rate, ","")&amp;IF(S180="","MRP, ",""))-2),IF(COUNTIF(Vendors!$B$3:$B$202,C180)=0,"Add vendor "&amp;C180&amp;" on the Vendors sheet",IF(ISNA(MATCH(H180,Codes!$A$2:$A$13,0)),"Pick the HSN Code from the list",IF(AND(E180&lt;&gt;"",COUNTIFS($C$3:$C$1002,C180,$E$3:$E$1002,E180,$F$3:$F$1002,"&lt;&gt;"&amp;F180)+COUNTIFS($C$3:$C$1002,C180,$E$3:$E$1002,E180,$G$3:$G$1002,"&lt;&gt;"&amp;G180)&gt;0),"Design "&amp;E180&amp;" has another Product Type or Category on another row",IF(COUNTIFS($F$3:$F$1002,F180,$G$3:$G$1002,G180,$H$3:$H$1002,"&lt;&gt;"&amp;H180)&gt;0,F180&amp;" + "&amp;G180&amp;" has another HSN Code on another row",IF(AND(V180&lt;&gt;"",U180=""),"Received Qty needs the Vendor Invoice No",IF(AND(U180&lt;&gt;"",COUNTIFS(Bills!$B$3:$B$302,U180,Bills!$C$3:$C$302,C180)=0),"Add bill "&amp;U180&amp;" of "&amp;C180&amp;" on the Bills sheet",IF(S180&lt;R180,"MRP is below the Purchase Rate","OK")))))))))</f>
        <v/>
      </c>
      <c r="B180" s="29"/>
      <c r="C180" s="22"/>
      <c r="D180" s="22"/>
      <c r="E180" s="24"/>
      <c r="F180" s="22"/>
      <c r="G180" s="22"/>
      <c r="H180" s="22"/>
      <c r="I180" s="30" t="str">
        <f>IF(H180="","",IFERROR(INDEX(Codes!$B$2:$B$13,MATCH(H180,Codes!$A$2:$A$13,0)),""))</f>
        <v/>
      </c>
      <c r="J180" s="23"/>
      <c r="K180" s="23"/>
      <c r="L180" s="23"/>
      <c r="M180" s="23"/>
      <c r="N180" s="23"/>
      <c r="O180" s="23"/>
      <c r="P180" s="23"/>
      <c r="Q180" s="31"/>
      <c r="R180" s="32"/>
      <c r="S180" s="32"/>
      <c r="T180" s="33" t="str">
        <f t="shared" si="4"/>
        <v/>
      </c>
      <c r="U180" s="34"/>
      <c r="V180" s="35"/>
      <c r="W180" s="33" t="str">
        <f t="shared" si="5"/>
        <v/>
      </c>
    </row>
    <row r="181" spans="1:23" x14ac:dyDescent="0.35">
      <c r="A181" s="21" t="str">
        <f>IF(COUNTA(B181:H181,J181:S181,U181:V181)=0,"",IF((IF(B181="","PO Ref, ","")&amp;IF(C181="","Vendor, ","")&amp;IF(D181="","Store, ","")&amp;IF(F181="","Product Type, ","")&amp;IF(G181="","Category, ","")&amp;IF(H181="","HSN Code, ","")&amp;IF(Q181="","Qty, ","")&amp;IF(R181="","Purchase Rate, ","")&amp;IF(S181="","MRP, ",""))&lt;&gt;"","Missing: "&amp;LEFT(IF(B181="","PO Ref, ","")&amp;IF(C181="","Vendor, ","")&amp;IF(D181="","Store, ","")&amp;IF(F181="","Product Type, ","")&amp;IF(G181="","Category, ","")&amp;IF(H181="","HSN Code, ","")&amp;IF(Q181="","Qty, ","")&amp;IF(R181="","Purchase Rate, ","")&amp;IF(S181="","MRP, ",""),LEN(IF(B181="","PO Ref, ","")&amp;IF(C181="","Vendor, ","")&amp;IF(D181="","Store, ","")&amp;IF(F181="","Product Type, ","")&amp;IF(G181="","Category, ","")&amp;IF(H181="","HSN Code, ","")&amp;IF(Q181="","Qty, ","")&amp;IF(R181="","Purchase Rate, ","")&amp;IF(S181="","MRP, ",""))-2),IF(COUNTIF(Vendors!$B$3:$B$202,C181)=0,"Add vendor "&amp;C181&amp;" on the Vendors sheet",IF(ISNA(MATCH(H181,Codes!$A$2:$A$13,0)),"Pick the HSN Code from the list",IF(AND(E181&lt;&gt;"",COUNTIFS($C$3:$C$1002,C181,$E$3:$E$1002,E181,$F$3:$F$1002,"&lt;&gt;"&amp;F181)+COUNTIFS($C$3:$C$1002,C181,$E$3:$E$1002,E181,$G$3:$G$1002,"&lt;&gt;"&amp;G181)&gt;0),"Design "&amp;E181&amp;" has another Product Type or Category on another row",IF(COUNTIFS($F$3:$F$1002,F181,$G$3:$G$1002,G181,$H$3:$H$1002,"&lt;&gt;"&amp;H181)&gt;0,F181&amp;" + "&amp;G181&amp;" has another HSN Code on another row",IF(AND(V181&lt;&gt;"",U181=""),"Received Qty needs the Vendor Invoice No",IF(AND(U181&lt;&gt;"",COUNTIFS(Bills!$B$3:$B$302,U181,Bills!$C$3:$C$302,C181)=0),"Add bill "&amp;U181&amp;" of "&amp;C181&amp;" on the Bills sheet",IF(S181&lt;R181,"MRP is below the Purchase Rate","OK")))))))))</f>
        <v/>
      </c>
      <c r="B181" s="29"/>
      <c r="C181" s="22"/>
      <c r="D181" s="22"/>
      <c r="E181" s="24"/>
      <c r="F181" s="22"/>
      <c r="G181" s="22"/>
      <c r="H181" s="22"/>
      <c r="I181" s="30" t="str">
        <f>IF(H181="","",IFERROR(INDEX(Codes!$B$2:$B$13,MATCH(H181,Codes!$A$2:$A$13,0)),""))</f>
        <v/>
      </c>
      <c r="J181" s="23"/>
      <c r="K181" s="23"/>
      <c r="L181" s="23"/>
      <c r="M181" s="23"/>
      <c r="N181" s="23"/>
      <c r="O181" s="23"/>
      <c r="P181" s="23"/>
      <c r="Q181" s="31"/>
      <c r="R181" s="32"/>
      <c r="S181" s="32"/>
      <c r="T181" s="33" t="str">
        <f t="shared" si="4"/>
        <v/>
      </c>
      <c r="U181" s="34"/>
      <c r="V181" s="35"/>
      <c r="W181" s="33" t="str">
        <f t="shared" si="5"/>
        <v/>
      </c>
    </row>
    <row r="182" spans="1:23" x14ac:dyDescent="0.35">
      <c r="A182" s="21" t="str">
        <f>IF(COUNTA(B182:H182,J182:S182,U182:V182)=0,"",IF((IF(B182="","PO Ref, ","")&amp;IF(C182="","Vendor, ","")&amp;IF(D182="","Store, ","")&amp;IF(F182="","Product Type, ","")&amp;IF(G182="","Category, ","")&amp;IF(H182="","HSN Code, ","")&amp;IF(Q182="","Qty, ","")&amp;IF(R182="","Purchase Rate, ","")&amp;IF(S182="","MRP, ",""))&lt;&gt;"","Missing: "&amp;LEFT(IF(B182="","PO Ref, ","")&amp;IF(C182="","Vendor, ","")&amp;IF(D182="","Store, ","")&amp;IF(F182="","Product Type, ","")&amp;IF(G182="","Category, ","")&amp;IF(H182="","HSN Code, ","")&amp;IF(Q182="","Qty, ","")&amp;IF(R182="","Purchase Rate, ","")&amp;IF(S182="","MRP, ",""),LEN(IF(B182="","PO Ref, ","")&amp;IF(C182="","Vendor, ","")&amp;IF(D182="","Store, ","")&amp;IF(F182="","Product Type, ","")&amp;IF(G182="","Category, ","")&amp;IF(H182="","HSN Code, ","")&amp;IF(Q182="","Qty, ","")&amp;IF(R182="","Purchase Rate, ","")&amp;IF(S182="","MRP, ",""))-2),IF(COUNTIF(Vendors!$B$3:$B$202,C182)=0,"Add vendor "&amp;C182&amp;" on the Vendors sheet",IF(ISNA(MATCH(H182,Codes!$A$2:$A$13,0)),"Pick the HSN Code from the list",IF(AND(E182&lt;&gt;"",COUNTIFS($C$3:$C$1002,C182,$E$3:$E$1002,E182,$F$3:$F$1002,"&lt;&gt;"&amp;F182)+COUNTIFS($C$3:$C$1002,C182,$E$3:$E$1002,E182,$G$3:$G$1002,"&lt;&gt;"&amp;G182)&gt;0),"Design "&amp;E182&amp;" has another Product Type or Category on another row",IF(COUNTIFS($F$3:$F$1002,F182,$G$3:$G$1002,G182,$H$3:$H$1002,"&lt;&gt;"&amp;H182)&gt;0,F182&amp;" + "&amp;G182&amp;" has another HSN Code on another row",IF(AND(V182&lt;&gt;"",U182=""),"Received Qty needs the Vendor Invoice No",IF(AND(U182&lt;&gt;"",COUNTIFS(Bills!$B$3:$B$302,U182,Bills!$C$3:$C$302,C182)=0),"Add bill "&amp;U182&amp;" of "&amp;C182&amp;" on the Bills sheet",IF(S182&lt;R182,"MRP is below the Purchase Rate","OK")))))))))</f>
        <v/>
      </c>
      <c r="B182" s="29"/>
      <c r="C182" s="22"/>
      <c r="D182" s="22"/>
      <c r="E182" s="24"/>
      <c r="F182" s="22"/>
      <c r="G182" s="22"/>
      <c r="H182" s="22"/>
      <c r="I182" s="30" t="str">
        <f>IF(H182="","",IFERROR(INDEX(Codes!$B$2:$B$13,MATCH(H182,Codes!$A$2:$A$13,0)),""))</f>
        <v/>
      </c>
      <c r="J182" s="23"/>
      <c r="K182" s="23"/>
      <c r="L182" s="23"/>
      <c r="M182" s="23"/>
      <c r="N182" s="23"/>
      <c r="O182" s="23"/>
      <c r="P182" s="23"/>
      <c r="Q182" s="31"/>
      <c r="R182" s="32"/>
      <c r="S182" s="32"/>
      <c r="T182" s="33" t="str">
        <f t="shared" si="4"/>
        <v/>
      </c>
      <c r="U182" s="34"/>
      <c r="V182" s="35"/>
      <c r="W182" s="33" t="str">
        <f t="shared" si="5"/>
        <v/>
      </c>
    </row>
    <row r="183" spans="1:23" x14ac:dyDescent="0.35">
      <c r="A183" s="21" t="str">
        <f>IF(COUNTA(B183:H183,J183:S183,U183:V183)=0,"",IF((IF(B183="","PO Ref, ","")&amp;IF(C183="","Vendor, ","")&amp;IF(D183="","Store, ","")&amp;IF(F183="","Product Type, ","")&amp;IF(G183="","Category, ","")&amp;IF(H183="","HSN Code, ","")&amp;IF(Q183="","Qty, ","")&amp;IF(R183="","Purchase Rate, ","")&amp;IF(S183="","MRP, ",""))&lt;&gt;"","Missing: "&amp;LEFT(IF(B183="","PO Ref, ","")&amp;IF(C183="","Vendor, ","")&amp;IF(D183="","Store, ","")&amp;IF(F183="","Product Type, ","")&amp;IF(G183="","Category, ","")&amp;IF(H183="","HSN Code, ","")&amp;IF(Q183="","Qty, ","")&amp;IF(R183="","Purchase Rate, ","")&amp;IF(S183="","MRP, ",""),LEN(IF(B183="","PO Ref, ","")&amp;IF(C183="","Vendor, ","")&amp;IF(D183="","Store, ","")&amp;IF(F183="","Product Type, ","")&amp;IF(G183="","Category, ","")&amp;IF(H183="","HSN Code, ","")&amp;IF(Q183="","Qty, ","")&amp;IF(R183="","Purchase Rate, ","")&amp;IF(S183="","MRP, ",""))-2),IF(COUNTIF(Vendors!$B$3:$B$202,C183)=0,"Add vendor "&amp;C183&amp;" on the Vendors sheet",IF(ISNA(MATCH(H183,Codes!$A$2:$A$13,0)),"Pick the HSN Code from the list",IF(AND(E183&lt;&gt;"",COUNTIFS($C$3:$C$1002,C183,$E$3:$E$1002,E183,$F$3:$F$1002,"&lt;&gt;"&amp;F183)+COUNTIFS($C$3:$C$1002,C183,$E$3:$E$1002,E183,$G$3:$G$1002,"&lt;&gt;"&amp;G183)&gt;0),"Design "&amp;E183&amp;" has another Product Type or Category on another row",IF(COUNTIFS($F$3:$F$1002,F183,$G$3:$G$1002,G183,$H$3:$H$1002,"&lt;&gt;"&amp;H183)&gt;0,F183&amp;" + "&amp;G183&amp;" has another HSN Code on another row",IF(AND(V183&lt;&gt;"",U183=""),"Received Qty needs the Vendor Invoice No",IF(AND(U183&lt;&gt;"",COUNTIFS(Bills!$B$3:$B$302,U183,Bills!$C$3:$C$302,C183)=0),"Add bill "&amp;U183&amp;" of "&amp;C183&amp;" on the Bills sheet",IF(S183&lt;R183,"MRP is below the Purchase Rate","OK")))))))))</f>
        <v/>
      </c>
      <c r="B183" s="29"/>
      <c r="C183" s="22"/>
      <c r="D183" s="22"/>
      <c r="E183" s="24"/>
      <c r="F183" s="22"/>
      <c r="G183" s="22"/>
      <c r="H183" s="22"/>
      <c r="I183" s="30" t="str">
        <f>IF(H183="","",IFERROR(INDEX(Codes!$B$2:$B$13,MATCH(H183,Codes!$A$2:$A$13,0)),""))</f>
        <v/>
      </c>
      <c r="J183" s="23"/>
      <c r="K183" s="23"/>
      <c r="L183" s="23"/>
      <c r="M183" s="23"/>
      <c r="N183" s="23"/>
      <c r="O183" s="23"/>
      <c r="P183" s="23"/>
      <c r="Q183" s="31"/>
      <c r="R183" s="32"/>
      <c r="S183" s="32"/>
      <c r="T183" s="33" t="str">
        <f t="shared" si="4"/>
        <v/>
      </c>
      <c r="U183" s="34"/>
      <c r="V183" s="35"/>
      <c r="W183" s="33" t="str">
        <f t="shared" si="5"/>
        <v/>
      </c>
    </row>
    <row r="184" spans="1:23" x14ac:dyDescent="0.35">
      <c r="A184" s="21" t="str">
        <f>IF(COUNTA(B184:H184,J184:S184,U184:V184)=0,"",IF((IF(B184="","PO Ref, ","")&amp;IF(C184="","Vendor, ","")&amp;IF(D184="","Store, ","")&amp;IF(F184="","Product Type, ","")&amp;IF(G184="","Category, ","")&amp;IF(H184="","HSN Code, ","")&amp;IF(Q184="","Qty, ","")&amp;IF(R184="","Purchase Rate, ","")&amp;IF(S184="","MRP, ",""))&lt;&gt;"","Missing: "&amp;LEFT(IF(B184="","PO Ref, ","")&amp;IF(C184="","Vendor, ","")&amp;IF(D184="","Store, ","")&amp;IF(F184="","Product Type, ","")&amp;IF(G184="","Category, ","")&amp;IF(H184="","HSN Code, ","")&amp;IF(Q184="","Qty, ","")&amp;IF(R184="","Purchase Rate, ","")&amp;IF(S184="","MRP, ",""),LEN(IF(B184="","PO Ref, ","")&amp;IF(C184="","Vendor, ","")&amp;IF(D184="","Store, ","")&amp;IF(F184="","Product Type, ","")&amp;IF(G184="","Category, ","")&amp;IF(H184="","HSN Code, ","")&amp;IF(Q184="","Qty, ","")&amp;IF(R184="","Purchase Rate, ","")&amp;IF(S184="","MRP, ",""))-2),IF(COUNTIF(Vendors!$B$3:$B$202,C184)=0,"Add vendor "&amp;C184&amp;" on the Vendors sheet",IF(ISNA(MATCH(H184,Codes!$A$2:$A$13,0)),"Pick the HSN Code from the list",IF(AND(E184&lt;&gt;"",COUNTIFS($C$3:$C$1002,C184,$E$3:$E$1002,E184,$F$3:$F$1002,"&lt;&gt;"&amp;F184)+COUNTIFS($C$3:$C$1002,C184,$E$3:$E$1002,E184,$G$3:$G$1002,"&lt;&gt;"&amp;G184)&gt;0),"Design "&amp;E184&amp;" has another Product Type or Category on another row",IF(COUNTIFS($F$3:$F$1002,F184,$G$3:$G$1002,G184,$H$3:$H$1002,"&lt;&gt;"&amp;H184)&gt;0,F184&amp;" + "&amp;G184&amp;" has another HSN Code on another row",IF(AND(V184&lt;&gt;"",U184=""),"Received Qty needs the Vendor Invoice No",IF(AND(U184&lt;&gt;"",COUNTIFS(Bills!$B$3:$B$302,U184,Bills!$C$3:$C$302,C184)=0),"Add bill "&amp;U184&amp;" of "&amp;C184&amp;" on the Bills sheet",IF(S184&lt;R184,"MRP is below the Purchase Rate","OK")))))))))</f>
        <v/>
      </c>
      <c r="B184" s="29"/>
      <c r="C184" s="22"/>
      <c r="D184" s="22"/>
      <c r="E184" s="24"/>
      <c r="F184" s="22"/>
      <c r="G184" s="22"/>
      <c r="H184" s="22"/>
      <c r="I184" s="30" t="str">
        <f>IF(H184="","",IFERROR(INDEX(Codes!$B$2:$B$13,MATCH(H184,Codes!$A$2:$A$13,0)),""))</f>
        <v/>
      </c>
      <c r="J184" s="23"/>
      <c r="K184" s="23"/>
      <c r="L184" s="23"/>
      <c r="M184" s="23"/>
      <c r="N184" s="23"/>
      <c r="O184" s="23"/>
      <c r="P184" s="23"/>
      <c r="Q184" s="31"/>
      <c r="R184" s="32"/>
      <c r="S184" s="32"/>
      <c r="T184" s="33" t="str">
        <f t="shared" si="4"/>
        <v/>
      </c>
      <c r="U184" s="34"/>
      <c r="V184" s="35"/>
      <c r="W184" s="33" t="str">
        <f t="shared" si="5"/>
        <v/>
      </c>
    </row>
    <row r="185" spans="1:23" x14ac:dyDescent="0.35">
      <c r="A185" s="21" t="str">
        <f>IF(COUNTA(B185:H185,J185:S185,U185:V185)=0,"",IF((IF(B185="","PO Ref, ","")&amp;IF(C185="","Vendor, ","")&amp;IF(D185="","Store, ","")&amp;IF(F185="","Product Type, ","")&amp;IF(G185="","Category, ","")&amp;IF(H185="","HSN Code, ","")&amp;IF(Q185="","Qty, ","")&amp;IF(R185="","Purchase Rate, ","")&amp;IF(S185="","MRP, ",""))&lt;&gt;"","Missing: "&amp;LEFT(IF(B185="","PO Ref, ","")&amp;IF(C185="","Vendor, ","")&amp;IF(D185="","Store, ","")&amp;IF(F185="","Product Type, ","")&amp;IF(G185="","Category, ","")&amp;IF(H185="","HSN Code, ","")&amp;IF(Q185="","Qty, ","")&amp;IF(R185="","Purchase Rate, ","")&amp;IF(S185="","MRP, ",""),LEN(IF(B185="","PO Ref, ","")&amp;IF(C185="","Vendor, ","")&amp;IF(D185="","Store, ","")&amp;IF(F185="","Product Type, ","")&amp;IF(G185="","Category, ","")&amp;IF(H185="","HSN Code, ","")&amp;IF(Q185="","Qty, ","")&amp;IF(R185="","Purchase Rate, ","")&amp;IF(S185="","MRP, ",""))-2),IF(COUNTIF(Vendors!$B$3:$B$202,C185)=0,"Add vendor "&amp;C185&amp;" on the Vendors sheet",IF(ISNA(MATCH(H185,Codes!$A$2:$A$13,0)),"Pick the HSN Code from the list",IF(AND(E185&lt;&gt;"",COUNTIFS($C$3:$C$1002,C185,$E$3:$E$1002,E185,$F$3:$F$1002,"&lt;&gt;"&amp;F185)+COUNTIFS($C$3:$C$1002,C185,$E$3:$E$1002,E185,$G$3:$G$1002,"&lt;&gt;"&amp;G185)&gt;0),"Design "&amp;E185&amp;" has another Product Type or Category on another row",IF(COUNTIFS($F$3:$F$1002,F185,$G$3:$G$1002,G185,$H$3:$H$1002,"&lt;&gt;"&amp;H185)&gt;0,F185&amp;" + "&amp;G185&amp;" has another HSN Code on another row",IF(AND(V185&lt;&gt;"",U185=""),"Received Qty needs the Vendor Invoice No",IF(AND(U185&lt;&gt;"",COUNTIFS(Bills!$B$3:$B$302,U185,Bills!$C$3:$C$302,C185)=0),"Add bill "&amp;U185&amp;" of "&amp;C185&amp;" on the Bills sheet",IF(S185&lt;R185,"MRP is below the Purchase Rate","OK")))))))))</f>
        <v/>
      </c>
      <c r="B185" s="29"/>
      <c r="C185" s="22"/>
      <c r="D185" s="22"/>
      <c r="E185" s="24"/>
      <c r="F185" s="22"/>
      <c r="G185" s="22"/>
      <c r="H185" s="22"/>
      <c r="I185" s="30" t="str">
        <f>IF(H185="","",IFERROR(INDEX(Codes!$B$2:$B$13,MATCH(H185,Codes!$A$2:$A$13,0)),""))</f>
        <v/>
      </c>
      <c r="J185" s="23"/>
      <c r="K185" s="23"/>
      <c r="L185" s="23"/>
      <c r="M185" s="23"/>
      <c r="N185" s="23"/>
      <c r="O185" s="23"/>
      <c r="P185" s="23"/>
      <c r="Q185" s="31"/>
      <c r="R185" s="32"/>
      <c r="S185" s="32"/>
      <c r="T185" s="33" t="str">
        <f t="shared" si="4"/>
        <v/>
      </c>
      <c r="U185" s="34"/>
      <c r="V185" s="35"/>
      <c r="W185" s="33" t="str">
        <f t="shared" si="5"/>
        <v/>
      </c>
    </row>
    <row r="186" spans="1:23" x14ac:dyDescent="0.35">
      <c r="A186" s="21" t="str">
        <f>IF(COUNTA(B186:H186,J186:S186,U186:V186)=0,"",IF((IF(B186="","PO Ref, ","")&amp;IF(C186="","Vendor, ","")&amp;IF(D186="","Store, ","")&amp;IF(F186="","Product Type, ","")&amp;IF(G186="","Category, ","")&amp;IF(H186="","HSN Code, ","")&amp;IF(Q186="","Qty, ","")&amp;IF(R186="","Purchase Rate, ","")&amp;IF(S186="","MRP, ",""))&lt;&gt;"","Missing: "&amp;LEFT(IF(B186="","PO Ref, ","")&amp;IF(C186="","Vendor, ","")&amp;IF(D186="","Store, ","")&amp;IF(F186="","Product Type, ","")&amp;IF(G186="","Category, ","")&amp;IF(H186="","HSN Code, ","")&amp;IF(Q186="","Qty, ","")&amp;IF(R186="","Purchase Rate, ","")&amp;IF(S186="","MRP, ",""),LEN(IF(B186="","PO Ref, ","")&amp;IF(C186="","Vendor, ","")&amp;IF(D186="","Store, ","")&amp;IF(F186="","Product Type, ","")&amp;IF(G186="","Category, ","")&amp;IF(H186="","HSN Code, ","")&amp;IF(Q186="","Qty, ","")&amp;IF(R186="","Purchase Rate, ","")&amp;IF(S186="","MRP, ",""))-2),IF(COUNTIF(Vendors!$B$3:$B$202,C186)=0,"Add vendor "&amp;C186&amp;" on the Vendors sheet",IF(ISNA(MATCH(H186,Codes!$A$2:$A$13,0)),"Pick the HSN Code from the list",IF(AND(E186&lt;&gt;"",COUNTIFS($C$3:$C$1002,C186,$E$3:$E$1002,E186,$F$3:$F$1002,"&lt;&gt;"&amp;F186)+COUNTIFS($C$3:$C$1002,C186,$E$3:$E$1002,E186,$G$3:$G$1002,"&lt;&gt;"&amp;G186)&gt;0),"Design "&amp;E186&amp;" has another Product Type or Category on another row",IF(COUNTIFS($F$3:$F$1002,F186,$G$3:$G$1002,G186,$H$3:$H$1002,"&lt;&gt;"&amp;H186)&gt;0,F186&amp;" + "&amp;G186&amp;" has another HSN Code on another row",IF(AND(V186&lt;&gt;"",U186=""),"Received Qty needs the Vendor Invoice No",IF(AND(U186&lt;&gt;"",COUNTIFS(Bills!$B$3:$B$302,U186,Bills!$C$3:$C$302,C186)=0),"Add bill "&amp;U186&amp;" of "&amp;C186&amp;" on the Bills sheet",IF(S186&lt;R186,"MRP is below the Purchase Rate","OK")))))))))</f>
        <v/>
      </c>
      <c r="B186" s="29"/>
      <c r="C186" s="22"/>
      <c r="D186" s="22"/>
      <c r="E186" s="24"/>
      <c r="F186" s="22"/>
      <c r="G186" s="22"/>
      <c r="H186" s="22"/>
      <c r="I186" s="30" t="str">
        <f>IF(H186="","",IFERROR(INDEX(Codes!$B$2:$B$13,MATCH(H186,Codes!$A$2:$A$13,0)),""))</f>
        <v/>
      </c>
      <c r="J186" s="23"/>
      <c r="K186" s="23"/>
      <c r="L186" s="23"/>
      <c r="M186" s="23"/>
      <c r="N186" s="23"/>
      <c r="O186" s="23"/>
      <c r="P186" s="23"/>
      <c r="Q186" s="31"/>
      <c r="R186" s="32"/>
      <c r="S186" s="32"/>
      <c r="T186" s="33" t="str">
        <f t="shared" si="4"/>
        <v/>
      </c>
      <c r="U186" s="34"/>
      <c r="V186" s="35"/>
      <c r="W186" s="33" t="str">
        <f t="shared" si="5"/>
        <v/>
      </c>
    </row>
    <row r="187" spans="1:23" x14ac:dyDescent="0.35">
      <c r="A187" s="21" t="str">
        <f>IF(COUNTA(B187:H187,J187:S187,U187:V187)=0,"",IF((IF(B187="","PO Ref, ","")&amp;IF(C187="","Vendor, ","")&amp;IF(D187="","Store, ","")&amp;IF(F187="","Product Type, ","")&amp;IF(G187="","Category, ","")&amp;IF(H187="","HSN Code, ","")&amp;IF(Q187="","Qty, ","")&amp;IF(R187="","Purchase Rate, ","")&amp;IF(S187="","MRP, ",""))&lt;&gt;"","Missing: "&amp;LEFT(IF(B187="","PO Ref, ","")&amp;IF(C187="","Vendor, ","")&amp;IF(D187="","Store, ","")&amp;IF(F187="","Product Type, ","")&amp;IF(G187="","Category, ","")&amp;IF(H187="","HSN Code, ","")&amp;IF(Q187="","Qty, ","")&amp;IF(R187="","Purchase Rate, ","")&amp;IF(S187="","MRP, ",""),LEN(IF(B187="","PO Ref, ","")&amp;IF(C187="","Vendor, ","")&amp;IF(D187="","Store, ","")&amp;IF(F187="","Product Type, ","")&amp;IF(G187="","Category, ","")&amp;IF(H187="","HSN Code, ","")&amp;IF(Q187="","Qty, ","")&amp;IF(R187="","Purchase Rate, ","")&amp;IF(S187="","MRP, ",""))-2),IF(COUNTIF(Vendors!$B$3:$B$202,C187)=0,"Add vendor "&amp;C187&amp;" on the Vendors sheet",IF(ISNA(MATCH(H187,Codes!$A$2:$A$13,0)),"Pick the HSN Code from the list",IF(AND(E187&lt;&gt;"",COUNTIFS($C$3:$C$1002,C187,$E$3:$E$1002,E187,$F$3:$F$1002,"&lt;&gt;"&amp;F187)+COUNTIFS($C$3:$C$1002,C187,$E$3:$E$1002,E187,$G$3:$G$1002,"&lt;&gt;"&amp;G187)&gt;0),"Design "&amp;E187&amp;" has another Product Type or Category on another row",IF(COUNTIFS($F$3:$F$1002,F187,$G$3:$G$1002,G187,$H$3:$H$1002,"&lt;&gt;"&amp;H187)&gt;0,F187&amp;" + "&amp;G187&amp;" has another HSN Code on another row",IF(AND(V187&lt;&gt;"",U187=""),"Received Qty needs the Vendor Invoice No",IF(AND(U187&lt;&gt;"",COUNTIFS(Bills!$B$3:$B$302,U187,Bills!$C$3:$C$302,C187)=0),"Add bill "&amp;U187&amp;" of "&amp;C187&amp;" on the Bills sheet",IF(S187&lt;R187,"MRP is below the Purchase Rate","OK")))))))))</f>
        <v/>
      </c>
      <c r="B187" s="29"/>
      <c r="C187" s="22"/>
      <c r="D187" s="22"/>
      <c r="E187" s="24"/>
      <c r="F187" s="22"/>
      <c r="G187" s="22"/>
      <c r="H187" s="22"/>
      <c r="I187" s="30" t="str">
        <f>IF(H187="","",IFERROR(INDEX(Codes!$B$2:$B$13,MATCH(H187,Codes!$A$2:$A$13,0)),""))</f>
        <v/>
      </c>
      <c r="J187" s="23"/>
      <c r="K187" s="23"/>
      <c r="L187" s="23"/>
      <c r="M187" s="23"/>
      <c r="N187" s="23"/>
      <c r="O187" s="23"/>
      <c r="P187" s="23"/>
      <c r="Q187" s="31"/>
      <c r="R187" s="32"/>
      <c r="S187" s="32"/>
      <c r="T187" s="33" t="str">
        <f t="shared" si="4"/>
        <v/>
      </c>
      <c r="U187" s="34"/>
      <c r="V187" s="35"/>
      <c r="W187" s="33" t="str">
        <f t="shared" si="5"/>
        <v/>
      </c>
    </row>
    <row r="188" spans="1:23" x14ac:dyDescent="0.35">
      <c r="A188" s="21" t="str">
        <f>IF(COUNTA(B188:H188,J188:S188,U188:V188)=0,"",IF((IF(B188="","PO Ref, ","")&amp;IF(C188="","Vendor, ","")&amp;IF(D188="","Store, ","")&amp;IF(F188="","Product Type, ","")&amp;IF(G188="","Category, ","")&amp;IF(H188="","HSN Code, ","")&amp;IF(Q188="","Qty, ","")&amp;IF(R188="","Purchase Rate, ","")&amp;IF(S188="","MRP, ",""))&lt;&gt;"","Missing: "&amp;LEFT(IF(B188="","PO Ref, ","")&amp;IF(C188="","Vendor, ","")&amp;IF(D188="","Store, ","")&amp;IF(F188="","Product Type, ","")&amp;IF(G188="","Category, ","")&amp;IF(H188="","HSN Code, ","")&amp;IF(Q188="","Qty, ","")&amp;IF(R188="","Purchase Rate, ","")&amp;IF(S188="","MRP, ",""),LEN(IF(B188="","PO Ref, ","")&amp;IF(C188="","Vendor, ","")&amp;IF(D188="","Store, ","")&amp;IF(F188="","Product Type, ","")&amp;IF(G188="","Category, ","")&amp;IF(H188="","HSN Code, ","")&amp;IF(Q188="","Qty, ","")&amp;IF(R188="","Purchase Rate, ","")&amp;IF(S188="","MRP, ",""))-2),IF(COUNTIF(Vendors!$B$3:$B$202,C188)=0,"Add vendor "&amp;C188&amp;" on the Vendors sheet",IF(ISNA(MATCH(H188,Codes!$A$2:$A$13,0)),"Pick the HSN Code from the list",IF(AND(E188&lt;&gt;"",COUNTIFS($C$3:$C$1002,C188,$E$3:$E$1002,E188,$F$3:$F$1002,"&lt;&gt;"&amp;F188)+COUNTIFS($C$3:$C$1002,C188,$E$3:$E$1002,E188,$G$3:$G$1002,"&lt;&gt;"&amp;G188)&gt;0),"Design "&amp;E188&amp;" has another Product Type or Category on another row",IF(COUNTIFS($F$3:$F$1002,F188,$G$3:$G$1002,G188,$H$3:$H$1002,"&lt;&gt;"&amp;H188)&gt;0,F188&amp;" + "&amp;G188&amp;" has another HSN Code on another row",IF(AND(V188&lt;&gt;"",U188=""),"Received Qty needs the Vendor Invoice No",IF(AND(U188&lt;&gt;"",COUNTIFS(Bills!$B$3:$B$302,U188,Bills!$C$3:$C$302,C188)=0),"Add bill "&amp;U188&amp;" of "&amp;C188&amp;" on the Bills sheet",IF(S188&lt;R188,"MRP is below the Purchase Rate","OK")))))))))</f>
        <v/>
      </c>
      <c r="B188" s="29"/>
      <c r="C188" s="22"/>
      <c r="D188" s="22"/>
      <c r="E188" s="24"/>
      <c r="F188" s="22"/>
      <c r="G188" s="22"/>
      <c r="H188" s="22"/>
      <c r="I188" s="30" t="str">
        <f>IF(H188="","",IFERROR(INDEX(Codes!$B$2:$B$13,MATCH(H188,Codes!$A$2:$A$13,0)),""))</f>
        <v/>
      </c>
      <c r="J188" s="23"/>
      <c r="K188" s="23"/>
      <c r="L188" s="23"/>
      <c r="M188" s="23"/>
      <c r="N188" s="23"/>
      <c r="O188" s="23"/>
      <c r="P188" s="23"/>
      <c r="Q188" s="31"/>
      <c r="R188" s="32"/>
      <c r="S188" s="32"/>
      <c r="T188" s="33" t="str">
        <f t="shared" si="4"/>
        <v/>
      </c>
      <c r="U188" s="34"/>
      <c r="V188" s="35"/>
      <c r="W188" s="33" t="str">
        <f t="shared" si="5"/>
        <v/>
      </c>
    </row>
    <row r="189" spans="1:23" x14ac:dyDescent="0.35">
      <c r="A189" s="21" t="str">
        <f>IF(COUNTA(B189:H189,J189:S189,U189:V189)=0,"",IF((IF(B189="","PO Ref, ","")&amp;IF(C189="","Vendor, ","")&amp;IF(D189="","Store, ","")&amp;IF(F189="","Product Type, ","")&amp;IF(G189="","Category, ","")&amp;IF(H189="","HSN Code, ","")&amp;IF(Q189="","Qty, ","")&amp;IF(R189="","Purchase Rate, ","")&amp;IF(S189="","MRP, ",""))&lt;&gt;"","Missing: "&amp;LEFT(IF(B189="","PO Ref, ","")&amp;IF(C189="","Vendor, ","")&amp;IF(D189="","Store, ","")&amp;IF(F189="","Product Type, ","")&amp;IF(G189="","Category, ","")&amp;IF(H189="","HSN Code, ","")&amp;IF(Q189="","Qty, ","")&amp;IF(R189="","Purchase Rate, ","")&amp;IF(S189="","MRP, ",""),LEN(IF(B189="","PO Ref, ","")&amp;IF(C189="","Vendor, ","")&amp;IF(D189="","Store, ","")&amp;IF(F189="","Product Type, ","")&amp;IF(G189="","Category, ","")&amp;IF(H189="","HSN Code, ","")&amp;IF(Q189="","Qty, ","")&amp;IF(R189="","Purchase Rate, ","")&amp;IF(S189="","MRP, ",""))-2),IF(COUNTIF(Vendors!$B$3:$B$202,C189)=0,"Add vendor "&amp;C189&amp;" on the Vendors sheet",IF(ISNA(MATCH(H189,Codes!$A$2:$A$13,0)),"Pick the HSN Code from the list",IF(AND(E189&lt;&gt;"",COUNTIFS($C$3:$C$1002,C189,$E$3:$E$1002,E189,$F$3:$F$1002,"&lt;&gt;"&amp;F189)+COUNTIFS($C$3:$C$1002,C189,$E$3:$E$1002,E189,$G$3:$G$1002,"&lt;&gt;"&amp;G189)&gt;0),"Design "&amp;E189&amp;" has another Product Type or Category on another row",IF(COUNTIFS($F$3:$F$1002,F189,$G$3:$G$1002,G189,$H$3:$H$1002,"&lt;&gt;"&amp;H189)&gt;0,F189&amp;" + "&amp;G189&amp;" has another HSN Code on another row",IF(AND(V189&lt;&gt;"",U189=""),"Received Qty needs the Vendor Invoice No",IF(AND(U189&lt;&gt;"",COUNTIFS(Bills!$B$3:$B$302,U189,Bills!$C$3:$C$302,C189)=0),"Add bill "&amp;U189&amp;" of "&amp;C189&amp;" on the Bills sheet",IF(S189&lt;R189,"MRP is below the Purchase Rate","OK")))))))))</f>
        <v/>
      </c>
      <c r="B189" s="29"/>
      <c r="C189" s="22"/>
      <c r="D189" s="22"/>
      <c r="E189" s="24"/>
      <c r="F189" s="22"/>
      <c r="G189" s="22"/>
      <c r="H189" s="22"/>
      <c r="I189" s="30" t="str">
        <f>IF(H189="","",IFERROR(INDEX(Codes!$B$2:$B$13,MATCH(H189,Codes!$A$2:$A$13,0)),""))</f>
        <v/>
      </c>
      <c r="J189" s="23"/>
      <c r="K189" s="23"/>
      <c r="L189" s="23"/>
      <c r="M189" s="23"/>
      <c r="N189" s="23"/>
      <c r="O189" s="23"/>
      <c r="P189" s="23"/>
      <c r="Q189" s="31"/>
      <c r="R189" s="32"/>
      <c r="S189" s="32"/>
      <c r="T189" s="33" t="str">
        <f t="shared" si="4"/>
        <v/>
      </c>
      <c r="U189" s="34"/>
      <c r="V189" s="35"/>
      <c r="W189" s="33" t="str">
        <f t="shared" si="5"/>
        <v/>
      </c>
    </row>
    <row r="190" spans="1:23" x14ac:dyDescent="0.35">
      <c r="A190" s="21" t="str">
        <f>IF(COUNTA(B190:H190,J190:S190,U190:V190)=0,"",IF((IF(B190="","PO Ref, ","")&amp;IF(C190="","Vendor, ","")&amp;IF(D190="","Store, ","")&amp;IF(F190="","Product Type, ","")&amp;IF(G190="","Category, ","")&amp;IF(H190="","HSN Code, ","")&amp;IF(Q190="","Qty, ","")&amp;IF(R190="","Purchase Rate, ","")&amp;IF(S190="","MRP, ",""))&lt;&gt;"","Missing: "&amp;LEFT(IF(B190="","PO Ref, ","")&amp;IF(C190="","Vendor, ","")&amp;IF(D190="","Store, ","")&amp;IF(F190="","Product Type, ","")&amp;IF(G190="","Category, ","")&amp;IF(H190="","HSN Code, ","")&amp;IF(Q190="","Qty, ","")&amp;IF(R190="","Purchase Rate, ","")&amp;IF(S190="","MRP, ",""),LEN(IF(B190="","PO Ref, ","")&amp;IF(C190="","Vendor, ","")&amp;IF(D190="","Store, ","")&amp;IF(F190="","Product Type, ","")&amp;IF(G190="","Category, ","")&amp;IF(H190="","HSN Code, ","")&amp;IF(Q190="","Qty, ","")&amp;IF(R190="","Purchase Rate, ","")&amp;IF(S190="","MRP, ",""))-2),IF(COUNTIF(Vendors!$B$3:$B$202,C190)=0,"Add vendor "&amp;C190&amp;" on the Vendors sheet",IF(ISNA(MATCH(H190,Codes!$A$2:$A$13,0)),"Pick the HSN Code from the list",IF(AND(E190&lt;&gt;"",COUNTIFS($C$3:$C$1002,C190,$E$3:$E$1002,E190,$F$3:$F$1002,"&lt;&gt;"&amp;F190)+COUNTIFS($C$3:$C$1002,C190,$E$3:$E$1002,E190,$G$3:$G$1002,"&lt;&gt;"&amp;G190)&gt;0),"Design "&amp;E190&amp;" has another Product Type or Category on another row",IF(COUNTIFS($F$3:$F$1002,F190,$G$3:$G$1002,G190,$H$3:$H$1002,"&lt;&gt;"&amp;H190)&gt;0,F190&amp;" + "&amp;G190&amp;" has another HSN Code on another row",IF(AND(V190&lt;&gt;"",U190=""),"Received Qty needs the Vendor Invoice No",IF(AND(U190&lt;&gt;"",COUNTIFS(Bills!$B$3:$B$302,U190,Bills!$C$3:$C$302,C190)=0),"Add bill "&amp;U190&amp;" of "&amp;C190&amp;" on the Bills sheet",IF(S190&lt;R190,"MRP is below the Purchase Rate","OK")))))))))</f>
        <v/>
      </c>
      <c r="B190" s="29"/>
      <c r="C190" s="22"/>
      <c r="D190" s="22"/>
      <c r="E190" s="24"/>
      <c r="F190" s="22"/>
      <c r="G190" s="22"/>
      <c r="H190" s="22"/>
      <c r="I190" s="30" t="str">
        <f>IF(H190="","",IFERROR(INDEX(Codes!$B$2:$B$13,MATCH(H190,Codes!$A$2:$A$13,0)),""))</f>
        <v/>
      </c>
      <c r="J190" s="23"/>
      <c r="K190" s="23"/>
      <c r="L190" s="23"/>
      <c r="M190" s="23"/>
      <c r="N190" s="23"/>
      <c r="O190" s="23"/>
      <c r="P190" s="23"/>
      <c r="Q190" s="31"/>
      <c r="R190" s="32"/>
      <c r="S190" s="32"/>
      <c r="T190" s="33" t="str">
        <f t="shared" si="4"/>
        <v/>
      </c>
      <c r="U190" s="34"/>
      <c r="V190" s="35"/>
      <c r="W190" s="33" t="str">
        <f t="shared" si="5"/>
        <v/>
      </c>
    </row>
    <row r="191" spans="1:23" x14ac:dyDescent="0.35">
      <c r="A191" s="21" t="str">
        <f>IF(COUNTA(B191:H191,J191:S191,U191:V191)=0,"",IF((IF(B191="","PO Ref, ","")&amp;IF(C191="","Vendor, ","")&amp;IF(D191="","Store, ","")&amp;IF(F191="","Product Type, ","")&amp;IF(G191="","Category, ","")&amp;IF(H191="","HSN Code, ","")&amp;IF(Q191="","Qty, ","")&amp;IF(R191="","Purchase Rate, ","")&amp;IF(S191="","MRP, ",""))&lt;&gt;"","Missing: "&amp;LEFT(IF(B191="","PO Ref, ","")&amp;IF(C191="","Vendor, ","")&amp;IF(D191="","Store, ","")&amp;IF(F191="","Product Type, ","")&amp;IF(G191="","Category, ","")&amp;IF(H191="","HSN Code, ","")&amp;IF(Q191="","Qty, ","")&amp;IF(R191="","Purchase Rate, ","")&amp;IF(S191="","MRP, ",""),LEN(IF(B191="","PO Ref, ","")&amp;IF(C191="","Vendor, ","")&amp;IF(D191="","Store, ","")&amp;IF(F191="","Product Type, ","")&amp;IF(G191="","Category, ","")&amp;IF(H191="","HSN Code, ","")&amp;IF(Q191="","Qty, ","")&amp;IF(R191="","Purchase Rate, ","")&amp;IF(S191="","MRP, ",""))-2),IF(COUNTIF(Vendors!$B$3:$B$202,C191)=0,"Add vendor "&amp;C191&amp;" on the Vendors sheet",IF(ISNA(MATCH(H191,Codes!$A$2:$A$13,0)),"Pick the HSN Code from the list",IF(AND(E191&lt;&gt;"",COUNTIFS($C$3:$C$1002,C191,$E$3:$E$1002,E191,$F$3:$F$1002,"&lt;&gt;"&amp;F191)+COUNTIFS($C$3:$C$1002,C191,$E$3:$E$1002,E191,$G$3:$G$1002,"&lt;&gt;"&amp;G191)&gt;0),"Design "&amp;E191&amp;" has another Product Type or Category on another row",IF(COUNTIFS($F$3:$F$1002,F191,$G$3:$G$1002,G191,$H$3:$H$1002,"&lt;&gt;"&amp;H191)&gt;0,F191&amp;" + "&amp;G191&amp;" has another HSN Code on another row",IF(AND(V191&lt;&gt;"",U191=""),"Received Qty needs the Vendor Invoice No",IF(AND(U191&lt;&gt;"",COUNTIFS(Bills!$B$3:$B$302,U191,Bills!$C$3:$C$302,C191)=0),"Add bill "&amp;U191&amp;" of "&amp;C191&amp;" on the Bills sheet",IF(S191&lt;R191,"MRP is below the Purchase Rate","OK")))))))))</f>
        <v/>
      </c>
      <c r="B191" s="29"/>
      <c r="C191" s="22"/>
      <c r="D191" s="22"/>
      <c r="E191" s="24"/>
      <c r="F191" s="22"/>
      <c r="G191" s="22"/>
      <c r="H191" s="22"/>
      <c r="I191" s="30" t="str">
        <f>IF(H191="","",IFERROR(INDEX(Codes!$B$2:$B$13,MATCH(H191,Codes!$A$2:$A$13,0)),""))</f>
        <v/>
      </c>
      <c r="J191" s="23"/>
      <c r="K191" s="23"/>
      <c r="L191" s="23"/>
      <c r="M191" s="23"/>
      <c r="N191" s="23"/>
      <c r="O191" s="23"/>
      <c r="P191" s="23"/>
      <c r="Q191" s="31"/>
      <c r="R191" s="32"/>
      <c r="S191" s="32"/>
      <c r="T191" s="33" t="str">
        <f t="shared" si="4"/>
        <v/>
      </c>
      <c r="U191" s="34"/>
      <c r="V191" s="35"/>
      <c r="W191" s="33" t="str">
        <f t="shared" si="5"/>
        <v/>
      </c>
    </row>
    <row r="192" spans="1:23" x14ac:dyDescent="0.35">
      <c r="A192" s="21" t="str">
        <f>IF(COUNTA(B192:H192,J192:S192,U192:V192)=0,"",IF((IF(B192="","PO Ref, ","")&amp;IF(C192="","Vendor, ","")&amp;IF(D192="","Store, ","")&amp;IF(F192="","Product Type, ","")&amp;IF(G192="","Category, ","")&amp;IF(H192="","HSN Code, ","")&amp;IF(Q192="","Qty, ","")&amp;IF(R192="","Purchase Rate, ","")&amp;IF(S192="","MRP, ",""))&lt;&gt;"","Missing: "&amp;LEFT(IF(B192="","PO Ref, ","")&amp;IF(C192="","Vendor, ","")&amp;IF(D192="","Store, ","")&amp;IF(F192="","Product Type, ","")&amp;IF(G192="","Category, ","")&amp;IF(H192="","HSN Code, ","")&amp;IF(Q192="","Qty, ","")&amp;IF(R192="","Purchase Rate, ","")&amp;IF(S192="","MRP, ",""),LEN(IF(B192="","PO Ref, ","")&amp;IF(C192="","Vendor, ","")&amp;IF(D192="","Store, ","")&amp;IF(F192="","Product Type, ","")&amp;IF(G192="","Category, ","")&amp;IF(H192="","HSN Code, ","")&amp;IF(Q192="","Qty, ","")&amp;IF(R192="","Purchase Rate, ","")&amp;IF(S192="","MRP, ",""))-2),IF(COUNTIF(Vendors!$B$3:$B$202,C192)=0,"Add vendor "&amp;C192&amp;" on the Vendors sheet",IF(ISNA(MATCH(H192,Codes!$A$2:$A$13,0)),"Pick the HSN Code from the list",IF(AND(E192&lt;&gt;"",COUNTIFS($C$3:$C$1002,C192,$E$3:$E$1002,E192,$F$3:$F$1002,"&lt;&gt;"&amp;F192)+COUNTIFS($C$3:$C$1002,C192,$E$3:$E$1002,E192,$G$3:$G$1002,"&lt;&gt;"&amp;G192)&gt;0),"Design "&amp;E192&amp;" has another Product Type or Category on another row",IF(COUNTIFS($F$3:$F$1002,F192,$G$3:$G$1002,G192,$H$3:$H$1002,"&lt;&gt;"&amp;H192)&gt;0,F192&amp;" + "&amp;G192&amp;" has another HSN Code on another row",IF(AND(V192&lt;&gt;"",U192=""),"Received Qty needs the Vendor Invoice No",IF(AND(U192&lt;&gt;"",COUNTIFS(Bills!$B$3:$B$302,U192,Bills!$C$3:$C$302,C192)=0),"Add bill "&amp;U192&amp;" of "&amp;C192&amp;" on the Bills sheet",IF(S192&lt;R192,"MRP is below the Purchase Rate","OK")))))))))</f>
        <v/>
      </c>
      <c r="B192" s="29"/>
      <c r="C192" s="22"/>
      <c r="D192" s="22"/>
      <c r="E192" s="24"/>
      <c r="F192" s="22"/>
      <c r="G192" s="22"/>
      <c r="H192" s="22"/>
      <c r="I192" s="30" t="str">
        <f>IF(H192="","",IFERROR(INDEX(Codes!$B$2:$B$13,MATCH(H192,Codes!$A$2:$A$13,0)),""))</f>
        <v/>
      </c>
      <c r="J192" s="23"/>
      <c r="K192" s="23"/>
      <c r="L192" s="23"/>
      <c r="M192" s="23"/>
      <c r="N192" s="23"/>
      <c r="O192" s="23"/>
      <c r="P192" s="23"/>
      <c r="Q192" s="31"/>
      <c r="R192" s="32"/>
      <c r="S192" s="32"/>
      <c r="T192" s="33" t="str">
        <f t="shared" si="4"/>
        <v/>
      </c>
      <c r="U192" s="34"/>
      <c r="V192" s="35"/>
      <c r="W192" s="33" t="str">
        <f t="shared" si="5"/>
        <v/>
      </c>
    </row>
    <row r="193" spans="1:23" x14ac:dyDescent="0.35">
      <c r="A193" s="21" t="str">
        <f>IF(COUNTA(B193:H193,J193:S193,U193:V193)=0,"",IF((IF(B193="","PO Ref, ","")&amp;IF(C193="","Vendor, ","")&amp;IF(D193="","Store, ","")&amp;IF(F193="","Product Type, ","")&amp;IF(G193="","Category, ","")&amp;IF(H193="","HSN Code, ","")&amp;IF(Q193="","Qty, ","")&amp;IF(R193="","Purchase Rate, ","")&amp;IF(S193="","MRP, ",""))&lt;&gt;"","Missing: "&amp;LEFT(IF(B193="","PO Ref, ","")&amp;IF(C193="","Vendor, ","")&amp;IF(D193="","Store, ","")&amp;IF(F193="","Product Type, ","")&amp;IF(G193="","Category, ","")&amp;IF(H193="","HSN Code, ","")&amp;IF(Q193="","Qty, ","")&amp;IF(R193="","Purchase Rate, ","")&amp;IF(S193="","MRP, ",""),LEN(IF(B193="","PO Ref, ","")&amp;IF(C193="","Vendor, ","")&amp;IF(D193="","Store, ","")&amp;IF(F193="","Product Type, ","")&amp;IF(G193="","Category, ","")&amp;IF(H193="","HSN Code, ","")&amp;IF(Q193="","Qty, ","")&amp;IF(R193="","Purchase Rate, ","")&amp;IF(S193="","MRP, ",""))-2),IF(COUNTIF(Vendors!$B$3:$B$202,C193)=0,"Add vendor "&amp;C193&amp;" on the Vendors sheet",IF(ISNA(MATCH(H193,Codes!$A$2:$A$13,0)),"Pick the HSN Code from the list",IF(AND(E193&lt;&gt;"",COUNTIFS($C$3:$C$1002,C193,$E$3:$E$1002,E193,$F$3:$F$1002,"&lt;&gt;"&amp;F193)+COUNTIFS($C$3:$C$1002,C193,$E$3:$E$1002,E193,$G$3:$G$1002,"&lt;&gt;"&amp;G193)&gt;0),"Design "&amp;E193&amp;" has another Product Type or Category on another row",IF(COUNTIFS($F$3:$F$1002,F193,$G$3:$G$1002,G193,$H$3:$H$1002,"&lt;&gt;"&amp;H193)&gt;0,F193&amp;" + "&amp;G193&amp;" has another HSN Code on another row",IF(AND(V193&lt;&gt;"",U193=""),"Received Qty needs the Vendor Invoice No",IF(AND(U193&lt;&gt;"",COUNTIFS(Bills!$B$3:$B$302,U193,Bills!$C$3:$C$302,C193)=0),"Add bill "&amp;U193&amp;" of "&amp;C193&amp;" on the Bills sheet",IF(S193&lt;R193,"MRP is below the Purchase Rate","OK")))))))))</f>
        <v/>
      </c>
      <c r="B193" s="29"/>
      <c r="C193" s="22"/>
      <c r="D193" s="22"/>
      <c r="E193" s="24"/>
      <c r="F193" s="22"/>
      <c r="G193" s="22"/>
      <c r="H193" s="22"/>
      <c r="I193" s="30" t="str">
        <f>IF(H193="","",IFERROR(INDEX(Codes!$B$2:$B$13,MATCH(H193,Codes!$A$2:$A$13,0)),""))</f>
        <v/>
      </c>
      <c r="J193" s="23"/>
      <c r="K193" s="23"/>
      <c r="L193" s="23"/>
      <c r="M193" s="23"/>
      <c r="N193" s="23"/>
      <c r="O193" s="23"/>
      <c r="P193" s="23"/>
      <c r="Q193" s="31"/>
      <c r="R193" s="32"/>
      <c r="S193" s="32"/>
      <c r="T193" s="33" t="str">
        <f t="shared" si="4"/>
        <v/>
      </c>
      <c r="U193" s="34"/>
      <c r="V193" s="35"/>
      <c r="W193" s="33" t="str">
        <f t="shared" si="5"/>
        <v/>
      </c>
    </row>
    <row r="194" spans="1:23" x14ac:dyDescent="0.35">
      <c r="A194" s="21" t="str">
        <f>IF(COUNTA(B194:H194,J194:S194,U194:V194)=0,"",IF((IF(B194="","PO Ref, ","")&amp;IF(C194="","Vendor, ","")&amp;IF(D194="","Store, ","")&amp;IF(F194="","Product Type, ","")&amp;IF(G194="","Category, ","")&amp;IF(H194="","HSN Code, ","")&amp;IF(Q194="","Qty, ","")&amp;IF(R194="","Purchase Rate, ","")&amp;IF(S194="","MRP, ",""))&lt;&gt;"","Missing: "&amp;LEFT(IF(B194="","PO Ref, ","")&amp;IF(C194="","Vendor, ","")&amp;IF(D194="","Store, ","")&amp;IF(F194="","Product Type, ","")&amp;IF(G194="","Category, ","")&amp;IF(H194="","HSN Code, ","")&amp;IF(Q194="","Qty, ","")&amp;IF(R194="","Purchase Rate, ","")&amp;IF(S194="","MRP, ",""),LEN(IF(B194="","PO Ref, ","")&amp;IF(C194="","Vendor, ","")&amp;IF(D194="","Store, ","")&amp;IF(F194="","Product Type, ","")&amp;IF(G194="","Category, ","")&amp;IF(H194="","HSN Code, ","")&amp;IF(Q194="","Qty, ","")&amp;IF(R194="","Purchase Rate, ","")&amp;IF(S194="","MRP, ",""))-2),IF(COUNTIF(Vendors!$B$3:$B$202,C194)=0,"Add vendor "&amp;C194&amp;" on the Vendors sheet",IF(ISNA(MATCH(H194,Codes!$A$2:$A$13,0)),"Pick the HSN Code from the list",IF(AND(E194&lt;&gt;"",COUNTIFS($C$3:$C$1002,C194,$E$3:$E$1002,E194,$F$3:$F$1002,"&lt;&gt;"&amp;F194)+COUNTIFS($C$3:$C$1002,C194,$E$3:$E$1002,E194,$G$3:$G$1002,"&lt;&gt;"&amp;G194)&gt;0),"Design "&amp;E194&amp;" has another Product Type or Category on another row",IF(COUNTIFS($F$3:$F$1002,F194,$G$3:$G$1002,G194,$H$3:$H$1002,"&lt;&gt;"&amp;H194)&gt;0,F194&amp;" + "&amp;G194&amp;" has another HSN Code on another row",IF(AND(V194&lt;&gt;"",U194=""),"Received Qty needs the Vendor Invoice No",IF(AND(U194&lt;&gt;"",COUNTIFS(Bills!$B$3:$B$302,U194,Bills!$C$3:$C$302,C194)=0),"Add bill "&amp;U194&amp;" of "&amp;C194&amp;" on the Bills sheet",IF(S194&lt;R194,"MRP is below the Purchase Rate","OK")))))))))</f>
        <v/>
      </c>
      <c r="B194" s="29"/>
      <c r="C194" s="22"/>
      <c r="D194" s="22"/>
      <c r="E194" s="24"/>
      <c r="F194" s="22"/>
      <c r="G194" s="22"/>
      <c r="H194" s="22"/>
      <c r="I194" s="30" t="str">
        <f>IF(H194="","",IFERROR(INDEX(Codes!$B$2:$B$13,MATCH(H194,Codes!$A$2:$A$13,0)),""))</f>
        <v/>
      </c>
      <c r="J194" s="23"/>
      <c r="K194" s="23"/>
      <c r="L194" s="23"/>
      <c r="M194" s="23"/>
      <c r="N194" s="23"/>
      <c r="O194" s="23"/>
      <c r="P194" s="23"/>
      <c r="Q194" s="31"/>
      <c r="R194" s="32"/>
      <c r="S194" s="32"/>
      <c r="T194" s="33" t="str">
        <f t="shared" si="4"/>
        <v/>
      </c>
      <c r="U194" s="34"/>
      <c r="V194" s="35"/>
      <c r="W194" s="33" t="str">
        <f t="shared" si="5"/>
        <v/>
      </c>
    </row>
    <row r="195" spans="1:23" x14ac:dyDescent="0.35">
      <c r="A195" s="21" t="str">
        <f>IF(COUNTA(B195:H195,J195:S195,U195:V195)=0,"",IF((IF(B195="","PO Ref, ","")&amp;IF(C195="","Vendor, ","")&amp;IF(D195="","Store, ","")&amp;IF(F195="","Product Type, ","")&amp;IF(G195="","Category, ","")&amp;IF(H195="","HSN Code, ","")&amp;IF(Q195="","Qty, ","")&amp;IF(R195="","Purchase Rate, ","")&amp;IF(S195="","MRP, ",""))&lt;&gt;"","Missing: "&amp;LEFT(IF(B195="","PO Ref, ","")&amp;IF(C195="","Vendor, ","")&amp;IF(D195="","Store, ","")&amp;IF(F195="","Product Type, ","")&amp;IF(G195="","Category, ","")&amp;IF(H195="","HSN Code, ","")&amp;IF(Q195="","Qty, ","")&amp;IF(R195="","Purchase Rate, ","")&amp;IF(S195="","MRP, ",""),LEN(IF(B195="","PO Ref, ","")&amp;IF(C195="","Vendor, ","")&amp;IF(D195="","Store, ","")&amp;IF(F195="","Product Type, ","")&amp;IF(G195="","Category, ","")&amp;IF(H195="","HSN Code, ","")&amp;IF(Q195="","Qty, ","")&amp;IF(R195="","Purchase Rate, ","")&amp;IF(S195="","MRP, ",""))-2),IF(COUNTIF(Vendors!$B$3:$B$202,C195)=0,"Add vendor "&amp;C195&amp;" on the Vendors sheet",IF(ISNA(MATCH(H195,Codes!$A$2:$A$13,0)),"Pick the HSN Code from the list",IF(AND(E195&lt;&gt;"",COUNTIFS($C$3:$C$1002,C195,$E$3:$E$1002,E195,$F$3:$F$1002,"&lt;&gt;"&amp;F195)+COUNTIFS($C$3:$C$1002,C195,$E$3:$E$1002,E195,$G$3:$G$1002,"&lt;&gt;"&amp;G195)&gt;0),"Design "&amp;E195&amp;" has another Product Type or Category on another row",IF(COUNTIFS($F$3:$F$1002,F195,$G$3:$G$1002,G195,$H$3:$H$1002,"&lt;&gt;"&amp;H195)&gt;0,F195&amp;" + "&amp;G195&amp;" has another HSN Code on another row",IF(AND(V195&lt;&gt;"",U195=""),"Received Qty needs the Vendor Invoice No",IF(AND(U195&lt;&gt;"",COUNTIFS(Bills!$B$3:$B$302,U195,Bills!$C$3:$C$302,C195)=0),"Add bill "&amp;U195&amp;" of "&amp;C195&amp;" on the Bills sheet",IF(S195&lt;R195,"MRP is below the Purchase Rate","OK")))))))))</f>
        <v/>
      </c>
      <c r="B195" s="29"/>
      <c r="C195" s="22"/>
      <c r="D195" s="22"/>
      <c r="E195" s="24"/>
      <c r="F195" s="22"/>
      <c r="G195" s="22"/>
      <c r="H195" s="22"/>
      <c r="I195" s="30" t="str">
        <f>IF(H195="","",IFERROR(INDEX(Codes!$B$2:$B$13,MATCH(H195,Codes!$A$2:$A$13,0)),""))</f>
        <v/>
      </c>
      <c r="J195" s="23"/>
      <c r="K195" s="23"/>
      <c r="L195" s="23"/>
      <c r="M195" s="23"/>
      <c r="N195" s="23"/>
      <c r="O195" s="23"/>
      <c r="P195" s="23"/>
      <c r="Q195" s="31"/>
      <c r="R195" s="32"/>
      <c r="S195" s="32"/>
      <c r="T195" s="33" t="str">
        <f t="shared" ref="T195:T258" si="6">IF(OR(Q195="",R195=""),"",Q195*R195)</f>
        <v/>
      </c>
      <c r="U195" s="34"/>
      <c r="V195" s="35"/>
      <c r="W195" s="33" t="str">
        <f t="shared" ref="W195:W258" si="7">IF(OR(U195="",R195=""),"",IF(V195="",Q195,V195)*R195)</f>
        <v/>
      </c>
    </row>
    <row r="196" spans="1:23" x14ac:dyDescent="0.35">
      <c r="A196" s="21" t="str">
        <f>IF(COUNTA(B196:H196,J196:S196,U196:V196)=0,"",IF((IF(B196="","PO Ref, ","")&amp;IF(C196="","Vendor, ","")&amp;IF(D196="","Store, ","")&amp;IF(F196="","Product Type, ","")&amp;IF(G196="","Category, ","")&amp;IF(H196="","HSN Code, ","")&amp;IF(Q196="","Qty, ","")&amp;IF(R196="","Purchase Rate, ","")&amp;IF(S196="","MRP, ",""))&lt;&gt;"","Missing: "&amp;LEFT(IF(B196="","PO Ref, ","")&amp;IF(C196="","Vendor, ","")&amp;IF(D196="","Store, ","")&amp;IF(F196="","Product Type, ","")&amp;IF(G196="","Category, ","")&amp;IF(H196="","HSN Code, ","")&amp;IF(Q196="","Qty, ","")&amp;IF(R196="","Purchase Rate, ","")&amp;IF(S196="","MRP, ",""),LEN(IF(B196="","PO Ref, ","")&amp;IF(C196="","Vendor, ","")&amp;IF(D196="","Store, ","")&amp;IF(F196="","Product Type, ","")&amp;IF(G196="","Category, ","")&amp;IF(H196="","HSN Code, ","")&amp;IF(Q196="","Qty, ","")&amp;IF(R196="","Purchase Rate, ","")&amp;IF(S196="","MRP, ",""))-2),IF(COUNTIF(Vendors!$B$3:$B$202,C196)=0,"Add vendor "&amp;C196&amp;" on the Vendors sheet",IF(ISNA(MATCH(H196,Codes!$A$2:$A$13,0)),"Pick the HSN Code from the list",IF(AND(E196&lt;&gt;"",COUNTIFS($C$3:$C$1002,C196,$E$3:$E$1002,E196,$F$3:$F$1002,"&lt;&gt;"&amp;F196)+COUNTIFS($C$3:$C$1002,C196,$E$3:$E$1002,E196,$G$3:$G$1002,"&lt;&gt;"&amp;G196)&gt;0),"Design "&amp;E196&amp;" has another Product Type or Category on another row",IF(COUNTIFS($F$3:$F$1002,F196,$G$3:$G$1002,G196,$H$3:$H$1002,"&lt;&gt;"&amp;H196)&gt;0,F196&amp;" + "&amp;G196&amp;" has another HSN Code on another row",IF(AND(V196&lt;&gt;"",U196=""),"Received Qty needs the Vendor Invoice No",IF(AND(U196&lt;&gt;"",COUNTIFS(Bills!$B$3:$B$302,U196,Bills!$C$3:$C$302,C196)=0),"Add bill "&amp;U196&amp;" of "&amp;C196&amp;" on the Bills sheet",IF(S196&lt;R196,"MRP is below the Purchase Rate","OK")))))))))</f>
        <v/>
      </c>
      <c r="B196" s="29"/>
      <c r="C196" s="22"/>
      <c r="D196" s="22"/>
      <c r="E196" s="24"/>
      <c r="F196" s="22"/>
      <c r="G196" s="22"/>
      <c r="H196" s="22"/>
      <c r="I196" s="30" t="str">
        <f>IF(H196="","",IFERROR(INDEX(Codes!$B$2:$B$13,MATCH(H196,Codes!$A$2:$A$13,0)),""))</f>
        <v/>
      </c>
      <c r="J196" s="23"/>
      <c r="K196" s="23"/>
      <c r="L196" s="23"/>
      <c r="M196" s="23"/>
      <c r="N196" s="23"/>
      <c r="O196" s="23"/>
      <c r="P196" s="23"/>
      <c r="Q196" s="31"/>
      <c r="R196" s="32"/>
      <c r="S196" s="32"/>
      <c r="T196" s="33" t="str">
        <f t="shared" si="6"/>
        <v/>
      </c>
      <c r="U196" s="34"/>
      <c r="V196" s="35"/>
      <c r="W196" s="33" t="str">
        <f t="shared" si="7"/>
        <v/>
      </c>
    </row>
    <row r="197" spans="1:23" x14ac:dyDescent="0.35">
      <c r="A197" s="21" t="str">
        <f>IF(COUNTA(B197:H197,J197:S197,U197:V197)=0,"",IF((IF(B197="","PO Ref, ","")&amp;IF(C197="","Vendor, ","")&amp;IF(D197="","Store, ","")&amp;IF(F197="","Product Type, ","")&amp;IF(G197="","Category, ","")&amp;IF(H197="","HSN Code, ","")&amp;IF(Q197="","Qty, ","")&amp;IF(R197="","Purchase Rate, ","")&amp;IF(S197="","MRP, ",""))&lt;&gt;"","Missing: "&amp;LEFT(IF(B197="","PO Ref, ","")&amp;IF(C197="","Vendor, ","")&amp;IF(D197="","Store, ","")&amp;IF(F197="","Product Type, ","")&amp;IF(G197="","Category, ","")&amp;IF(H197="","HSN Code, ","")&amp;IF(Q197="","Qty, ","")&amp;IF(R197="","Purchase Rate, ","")&amp;IF(S197="","MRP, ",""),LEN(IF(B197="","PO Ref, ","")&amp;IF(C197="","Vendor, ","")&amp;IF(D197="","Store, ","")&amp;IF(F197="","Product Type, ","")&amp;IF(G197="","Category, ","")&amp;IF(H197="","HSN Code, ","")&amp;IF(Q197="","Qty, ","")&amp;IF(R197="","Purchase Rate, ","")&amp;IF(S197="","MRP, ",""))-2),IF(COUNTIF(Vendors!$B$3:$B$202,C197)=0,"Add vendor "&amp;C197&amp;" on the Vendors sheet",IF(ISNA(MATCH(H197,Codes!$A$2:$A$13,0)),"Pick the HSN Code from the list",IF(AND(E197&lt;&gt;"",COUNTIFS($C$3:$C$1002,C197,$E$3:$E$1002,E197,$F$3:$F$1002,"&lt;&gt;"&amp;F197)+COUNTIFS($C$3:$C$1002,C197,$E$3:$E$1002,E197,$G$3:$G$1002,"&lt;&gt;"&amp;G197)&gt;0),"Design "&amp;E197&amp;" has another Product Type or Category on another row",IF(COUNTIFS($F$3:$F$1002,F197,$G$3:$G$1002,G197,$H$3:$H$1002,"&lt;&gt;"&amp;H197)&gt;0,F197&amp;" + "&amp;G197&amp;" has another HSN Code on another row",IF(AND(V197&lt;&gt;"",U197=""),"Received Qty needs the Vendor Invoice No",IF(AND(U197&lt;&gt;"",COUNTIFS(Bills!$B$3:$B$302,U197,Bills!$C$3:$C$302,C197)=0),"Add bill "&amp;U197&amp;" of "&amp;C197&amp;" on the Bills sheet",IF(S197&lt;R197,"MRP is below the Purchase Rate","OK")))))))))</f>
        <v/>
      </c>
      <c r="B197" s="29"/>
      <c r="C197" s="22"/>
      <c r="D197" s="22"/>
      <c r="E197" s="24"/>
      <c r="F197" s="22"/>
      <c r="G197" s="22"/>
      <c r="H197" s="22"/>
      <c r="I197" s="30" t="str">
        <f>IF(H197="","",IFERROR(INDEX(Codes!$B$2:$B$13,MATCH(H197,Codes!$A$2:$A$13,0)),""))</f>
        <v/>
      </c>
      <c r="J197" s="23"/>
      <c r="K197" s="23"/>
      <c r="L197" s="23"/>
      <c r="M197" s="23"/>
      <c r="N197" s="23"/>
      <c r="O197" s="23"/>
      <c r="P197" s="23"/>
      <c r="Q197" s="31"/>
      <c r="R197" s="32"/>
      <c r="S197" s="32"/>
      <c r="T197" s="33" t="str">
        <f t="shared" si="6"/>
        <v/>
      </c>
      <c r="U197" s="34"/>
      <c r="V197" s="35"/>
      <c r="W197" s="33" t="str">
        <f t="shared" si="7"/>
        <v/>
      </c>
    </row>
    <row r="198" spans="1:23" x14ac:dyDescent="0.35">
      <c r="A198" s="21" t="str">
        <f>IF(COUNTA(B198:H198,J198:S198,U198:V198)=0,"",IF((IF(B198="","PO Ref, ","")&amp;IF(C198="","Vendor, ","")&amp;IF(D198="","Store, ","")&amp;IF(F198="","Product Type, ","")&amp;IF(G198="","Category, ","")&amp;IF(H198="","HSN Code, ","")&amp;IF(Q198="","Qty, ","")&amp;IF(R198="","Purchase Rate, ","")&amp;IF(S198="","MRP, ",""))&lt;&gt;"","Missing: "&amp;LEFT(IF(B198="","PO Ref, ","")&amp;IF(C198="","Vendor, ","")&amp;IF(D198="","Store, ","")&amp;IF(F198="","Product Type, ","")&amp;IF(G198="","Category, ","")&amp;IF(H198="","HSN Code, ","")&amp;IF(Q198="","Qty, ","")&amp;IF(R198="","Purchase Rate, ","")&amp;IF(S198="","MRP, ",""),LEN(IF(B198="","PO Ref, ","")&amp;IF(C198="","Vendor, ","")&amp;IF(D198="","Store, ","")&amp;IF(F198="","Product Type, ","")&amp;IF(G198="","Category, ","")&amp;IF(H198="","HSN Code, ","")&amp;IF(Q198="","Qty, ","")&amp;IF(R198="","Purchase Rate, ","")&amp;IF(S198="","MRP, ",""))-2),IF(COUNTIF(Vendors!$B$3:$B$202,C198)=0,"Add vendor "&amp;C198&amp;" on the Vendors sheet",IF(ISNA(MATCH(H198,Codes!$A$2:$A$13,0)),"Pick the HSN Code from the list",IF(AND(E198&lt;&gt;"",COUNTIFS($C$3:$C$1002,C198,$E$3:$E$1002,E198,$F$3:$F$1002,"&lt;&gt;"&amp;F198)+COUNTIFS($C$3:$C$1002,C198,$E$3:$E$1002,E198,$G$3:$G$1002,"&lt;&gt;"&amp;G198)&gt;0),"Design "&amp;E198&amp;" has another Product Type or Category on another row",IF(COUNTIFS($F$3:$F$1002,F198,$G$3:$G$1002,G198,$H$3:$H$1002,"&lt;&gt;"&amp;H198)&gt;0,F198&amp;" + "&amp;G198&amp;" has another HSN Code on another row",IF(AND(V198&lt;&gt;"",U198=""),"Received Qty needs the Vendor Invoice No",IF(AND(U198&lt;&gt;"",COUNTIFS(Bills!$B$3:$B$302,U198,Bills!$C$3:$C$302,C198)=0),"Add bill "&amp;U198&amp;" of "&amp;C198&amp;" on the Bills sheet",IF(S198&lt;R198,"MRP is below the Purchase Rate","OK")))))))))</f>
        <v/>
      </c>
      <c r="B198" s="29"/>
      <c r="C198" s="22"/>
      <c r="D198" s="22"/>
      <c r="E198" s="24"/>
      <c r="F198" s="22"/>
      <c r="G198" s="22"/>
      <c r="H198" s="22"/>
      <c r="I198" s="30" t="str">
        <f>IF(H198="","",IFERROR(INDEX(Codes!$B$2:$B$13,MATCH(H198,Codes!$A$2:$A$13,0)),""))</f>
        <v/>
      </c>
      <c r="J198" s="23"/>
      <c r="K198" s="23"/>
      <c r="L198" s="23"/>
      <c r="M198" s="23"/>
      <c r="N198" s="23"/>
      <c r="O198" s="23"/>
      <c r="P198" s="23"/>
      <c r="Q198" s="31"/>
      <c r="R198" s="32"/>
      <c r="S198" s="32"/>
      <c r="T198" s="33" t="str">
        <f t="shared" si="6"/>
        <v/>
      </c>
      <c r="U198" s="34"/>
      <c r="V198" s="35"/>
      <c r="W198" s="33" t="str">
        <f t="shared" si="7"/>
        <v/>
      </c>
    </row>
    <row r="199" spans="1:23" x14ac:dyDescent="0.35">
      <c r="A199" s="21" t="str">
        <f>IF(COUNTA(B199:H199,J199:S199,U199:V199)=0,"",IF((IF(B199="","PO Ref, ","")&amp;IF(C199="","Vendor, ","")&amp;IF(D199="","Store, ","")&amp;IF(F199="","Product Type, ","")&amp;IF(G199="","Category, ","")&amp;IF(H199="","HSN Code, ","")&amp;IF(Q199="","Qty, ","")&amp;IF(R199="","Purchase Rate, ","")&amp;IF(S199="","MRP, ",""))&lt;&gt;"","Missing: "&amp;LEFT(IF(B199="","PO Ref, ","")&amp;IF(C199="","Vendor, ","")&amp;IF(D199="","Store, ","")&amp;IF(F199="","Product Type, ","")&amp;IF(G199="","Category, ","")&amp;IF(H199="","HSN Code, ","")&amp;IF(Q199="","Qty, ","")&amp;IF(R199="","Purchase Rate, ","")&amp;IF(S199="","MRP, ",""),LEN(IF(B199="","PO Ref, ","")&amp;IF(C199="","Vendor, ","")&amp;IF(D199="","Store, ","")&amp;IF(F199="","Product Type, ","")&amp;IF(G199="","Category, ","")&amp;IF(H199="","HSN Code, ","")&amp;IF(Q199="","Qty, ","")&amp;IF(R199="","Purchase Rate, ","")&amp;IF(S199="","MRP, ",""))-2),IF(COUNTIF(Vendors!$B$3:$B$202,C199)=0,"Add vendor "&amp;C199&amp;" on the Vendors sheet",IF(ISNA(MATCH(H199,Codes!$A$2:$A$13,0)),"Pick the HSN Code from the list",IF(AND(E199&lt;&gt;"",COUNTIFS($C$3:$C$1002,C199,$E$3:$E$1002,E199,$F$3:$F$1002,"&lt;&gt;"&amp;F199)+COUNTIFS($C$3:$C$1002,C199,$E$3:$E$1002,E199,$G$3:$G$1002,"&lt;&gt;"&amp;G199)&gt;0),"Design "&amp;E199&amp;" has another Product Type or Category on another row",IF(COUNTIFS($F$3:$F$1002,F199,$G$3:$G$1002,G199,$H$3:$H$1002,"&lt;&gt;"&amp;H199)&gt;0,F199&amp;" + "&amp;G199&amp;" has another HSN Code on another row",IF(AND(V199&lt;&gt;"",U199=""),"Received Qty needs the Vendor Invoice No",IF(AND(U199&lt;&gt;"",COUNTIFS(Bills!$B$3:$B$302,U199,Bills!$C$3:$C$302,C199)=0),"Add bill "&amp;U199&amp;" of "&amp;C199&amp;" on the Bills sheet",IF(S199&lt;R199,"MRP is below the Purchase Rate","OK")))))))))</f>
        <v/>
      </c>
      <c r="B199" s="29"/>
      <c r="C199" s="22"/>
      <c r="D199" s="22"/>
      <c r="E199" s="24"/>
      <c r="F199" s="22"/>
      <c r="G199" s="22"/>
      <c r="H199" s="22"/>
      <c r="I199" s="30" t="str">
        <f>IF(H199="","",IFERROR(INDEX(Codes!$B$2:$B$13,MATCH(H199,Codes!$A$2:$A$13,0)),""))</f>
        <v/>
      </c>
      <c r="J199" s="23"/>
      <c r="K199" s="23"/>
      <c r="L199" s="23"/>
      <c r="M199" s="23"/>
      <c r="N199" s="23"/>
      <c r="O199" s="23"/>
      <c r="P199" s="23"/>
      <c r="Q199" s="31"/>
      <c r="R199" s="32"/>
      <c r="S199" s="32"/>
      <c r="T199" s="33" t="str">
        <f t="shared" si="6"/>
        <v/>
      </c>
      <c r="U199" s="34"/>
      <c r="V199" s="35"/>
      <c r="W199" s="33" t="str">
        <f t="shared" si="7"/>
        <v/>
      </c>
    </row>
    <row r="200" spans="1:23" x14ac:dyDescent="0.35">
      <c r="A200" s="21" t="str">
        <f>IF(COUNTA(B200:H200,J200:S200,U200:V200)=0,"",IF((IF(B200="","PO Ref, ","")&amp;IF(C200="","Vendor, ","")&amp;IF(D200="","Store, ","")&amp;IF(F200="","Product Type, ","")&amp;IF(G200="","Category, ","")&amp;IF(H200="","HSN Code, ","")&amp;IF(Q200="","Qty, ","")&amp;IF(R200="","Purchase Rate, ","")&amp;IF(S200="","MRP, ",""))&lt;&gt;"","Missing: "&amp;LEFT(IF(B200="","PO Ref, ","")&amp;IF(C200="","Vendor, ","")&amp;IF(D200="","Store, ","")&amp;IF(F200="","Product Type, ","")&amp;IF(G200="","Category, ","")&amp;IF(H200="","HSN Code, ","")&amp;IF(Q200="","Qty, ","")&amp;IF(R200="","Purchase Rate, ","")&amp;IF(S200="","MRP, ",""),LEN(IF(B200="","PO Ref, ","")&amp;IF(C200="","Vendor, ","")&amp;IF(D200="","Store, ","")&amp;IF(F200="","Product Type, ","")&amp;IF(G200="","Category, ","")&amp;IF(H200="","HSN Code, ","")&amp;IF(Q200="","Qty, ","")&amp;IF(R200="","Purchase Rate, ","")&amp;IF(S200="","MRP, ",""))-2),IF(COUNTIF(Vendors!$B$3:$B$202,C200)=0,"Add vendor "&amp;C200&amp;" on the Vendors sheet",IF(ISNA(MATCH(H200,Codes!$A$2:$A$13,0)),"Pick the HSN Code from the list",IF(AND(E200&lt;&gt;"",COUNTIFS($C$3:$C$1002,C200,$E$3:$E$1002,E200,$F$3:$F$1002,"&lt;&gt;"&amp;F200)+COUNTIFS($C$3:$C$1002,C200,$E$3:$E$1002,E200,$G$3:$G$1002,"&lt;&gt;"&amp;G200)&gt;0),"Design "&amp;E200&amp;" has another Product Type or Category on another row",IF(COUNTIFS($F$3:$F$1002,F200,$G$3:$G$1002,G200,$H$3:$H$1002,"&lt;&gt;"&amp;H200)&gt;0,F200&amp;" + "&amp;G200&amp;" has another HSN Code on another row",IF(AND(V200&lt;&gt;"",U200=""),"Received Qty needs the Vendor Invoice No",IF(AND(U200&lt;&gt;"",COUNTIFS(Bills!$B$3:$B$302,U200,Bills!$C$3:$C$302,C200)=0),"Add bill "&amp;U200&amp;" of "&amp;C200&amp;" on the Bills sheet",IF(S200&lt;R200,"MRP is below the Purchase Rate","OK")))))))))</f>
        <v/>
      </c>
      <c r="B200" s="29"/>
      <c r="C200" s="22"/>
      <c r="D200" s="22"/>
      <c r="E200" s="24"/>
      <c r="F200" s="22"/>
      <c r="G200" s="22"/>
      <c r="H200" s="22"/>
      <c r="I200" s="30" t="str">
        <f>IF(H200="","",IFERROR(INDEX(Codes!$B$2:$B$13,MATCH(H200,Codes!$A$2:$A$13,0)),""))</f>
        <v/>
      </c>
      <c r="J200" s="23"/>
      <c r="K200" s="23"/>
      <c r="L200" s="23"/>
      <c r="M200" s="23"/>
      <c r="N200" s="23"/>
      <c r="O200" s="23"/>
      <c r="P200" s="23"/>
      <c r="Q200" s="31"/>
      <c r="R200" s="32"/>
      <c r="S200" s="32"/>
      <c r="T200" s="33" t="str">
        <f t="shared" si="6"/>
        <v/>
      </c>
      <c r="U200" s="34"/>
      <c r="V200" s="35"/>
      <c r="W200" s="33" t="str">
        <f t="shared" si="7"/>
        <v/>
      </c>
    </row>
    <row r="201" spans="1:23" x14ac:dyDescent="0.35">
      <c r="A201" s="21" t="str">
        <f>IF(COUNTA(B201:H201,J201:S201,U201:V201)=0,"",IF((IF(B201="","PO Ref, ","")&amp;IF(C201="","Vendor, ","")&amp;IF(D201="","Store, ","")&amp;IF(F201="","Product Type, ","")&amp;IF(G201="","Category, ","")&amp;IF(H201="","HSN Code, ","")&amp;IF(Q201="","Qty, ","")&amp;IF(R201="","Purchase Rate, ","")&amp;IF(S201="","MRP, ",""))&lt;&gt;"","Missing: "&amp;LEFT(IF(B201="","PO Ref, ","")&amp;IF(C201="","Vendor, ","")&amp;IF(D201="","Store, ","")&amp;IF(F201="","Product Type, ","")&amp;IF(G201="","Category, ","")&amp;IF(H201="","HSN Code, ","")&amp;IF(Q201="","Qty, ","")&amp;IF(R201="","Purchase Rate, ","")&amp;IF(S201="","MRP, ",""),LEN(IF(B201="","PO Ref, ","")&amp;IF(C201="","Vendor, ","")&amp;IF(D201="","Store, ","")&amp;IF(F201="","Product Type, ","")&amp;IF(G201="","Category, ","")&amp;IF(H201="","HSN Code, ","")&amp;IF(Q201="","Qty, ","")&amp;IF(R201="","Purchase Rate, ","")&amp;IF(S201="","MRP, ",""))-2),IF(COUNTIF(Vendors!$B$3:$B$202,C201)=0,"Add vendor "&amp;C201&amp;" on the Vendors sheet",IF(ISNA(MATCH(H201,Codes!$A$2:$A$13,0)),"Pick the HSN Code from the list",IF(AND(E201&lt;&gt;"",COUNTIFS($C$3:$C$1002,C201,$E$3:$E$1002,E201,$F$3:$F$1002,"&lt;&gt;"&amp;F201)+COUNTIFS($C$3:$C$1002,C201,$E$3:$E$1002,E201,$G$3:$G$1002,"&lt;&gt;"&amp;G201)&gt;0),"Design "&amp;E201&amp;" has another Product Type or Category on another row",IF(COUNTIFS($F$3:$F$1002,F201,$G$3:$G$1002,G201,$H$3:$H$1002,"&lt;&gt;"&amp;H201)&gt;0,F201&amp;" + "&amp;G201&amp;" has another HSN Code on another row",IF(AND(V201&lt;&gt;"",U201=""),"Received Qty needs the Vendor Invoice No",IF(AND(U201&lt;&gt;"",COUNTIFS(Bills!$B$3:$B$302,U201,Bills!$C$3:$C$302,C201)=0),"Add bill "&amp;U201&amp;" of "&amp;C201&amp;" on the Bills sheet",IF(S201&lt;R201,"MRP is below the Purchase Rate","OK")))))))))</f>
        <v/>
      </c>
      <c r="B201" s="29"/>
      <c r="C201" s="22"/>
      <c r="D201" s="22"/>
      <c r="E201" s="24"/>
      <c r="F201" s="22"/>
      <c r="G201" s="22"/>
      <c r="H201" s="22"/>
      <c r="I201" s="30" t="str">
        <f>IF(H201="","",IFERROR(INDEX(Codes!$B$2:$B$13,MATCH(H201,Codes!$A$2:$A$13,0)),""))</f>
        <v/>
      </c>
      <c r="J201" s="23"/>
      <c r="K201" s="23"/>
      <c r="L201" s="23"/>
      <c r="M201" s="23"/>
      <c r="N201" s="23"/>
      <c r="O201" s="23"/>
      <c r="P201" s="23"/>
      <c r="Q201" s="31"/>
      <c r="R201" s="32"/>
      <c r="S201" s="32"/>
      <c r="T201" s="33" t="str">
        <f t="shared" si="6"/>
        <v/>
      </c>
      <c r="U201" s="34"/>
      <c r="V201" s="35"/>
      <c r="W201" s="33" t="str">
        <f t="shared" si="7"/>
        <v/>
      </c>
    </row>
    <row r="202" spans="1:23" x14ac:dyDescent="0.35">
      <c r="A202" s="21" t="str">
        <f>IF(COUNTA(B202:H202,J202:S202,U202:V202)=0,"",IF((IF(B202="","PO Ref, ","")&amp;IF(C202="","Vendor, ","")&amp;IF(D202="","Store, ","")&amp;IF(F202="","Product Type, ","")&amp;IF(G202="","Category, ","")&amp;IF(H202="","HSN Code, ","")&amp;IF(Q202="","Qty, ","")&amp;IF(R202="","Purchase Rate, ","")&amp;IF(S202="","MRP, ",""))&lt;&gt;"","Missing: "&amp;LEFT(IF(B202="","PO Ref, ","")&amp;IF(C202="","Vendor, ","")&amp;IF(D202="","Store, ","")&amp;IF(F202="","Product Type, ","")&amp;IF(G202="","Category, ","")&amp;IF(H202="","HSN Code, ","")&amp;IF(Q202="","Qty, ","")&amp;IF(R202="","Purchase Rate, ","")&amp;IF(S202="","MRP, ",""),LEN(IF(B202="","PO Ref, ","")&amp;IF(C202="","Vendor, ","")&amp;IF(D202="","Store, ","")&amp;IF(F202="","Product Type, ","")&amp;IF(G202="","Category, ","")&amp;IF(H202="","HSN Code, ","")&amp;IF(Q202="","Qty, ","")&amp;IF(R202="","Purchase Rate, ","")&amp;IF(S202="","MRP, ",""))-2),IF(COUNTIF(Vendors!$B$3:$B$202,C202)=0,"Add vendor "&amp;C202&amp;" on the Vendors sheet",IF(ISNA(MATCH(H202,Codes!$A$2:$A$13,0)),"Pick the HSN Code from the list",IF(AND(E202&lt;&gt;"",COUNTIFS($C$3:$C$1002,C202,$E$3:$E$1002,E202,$F$3:$F$1002,"&lt;&gt;"&amp;F202)+COUNTIFS($C$3:$C$1002,C202,$E$3:$E$1002,E202,$G$3:$G$1002,"&lt;&gt;"&amp;G202)&gt;0),"Design "&amp;E202&amp;" has another Product Type or Category on another row",IF(COUNTIFS($F$3:$F$1002,F202,$G$3:$G$1002,G202,$H$3:$H$1002,"&lt;&gt;"&amp;H202)&gt;0,F202&amp;" + "&amp;G202&amp;" has another HSN Code on another row",IF(AND(V202&lt;&gt;"",U202=""),"Received Qty needs the Vendor Invoice No",IF(AND(U202&lt;&gt;"",COUNTIFS(Bills!$B$3:$B$302,U202,Bills!$C$3:$C$302,C202)=0),"Add bill "&amp;U202&amp;" of "&amp;C202&amp;" on the Bills sheet",IF(S202&lt;R202,"MRP is below the Purchase Rate","OK")))))))))</f>
        <v/>
      </c>
      <c r="B202" s="29"/>
      <c r="C202" s="22"/>
      <c r="D202" s="22"/>
      <c r="E202" s="24"/>
      <c r="F202" s="22"/>
      <c r="G202" s="22"/>
      <c r="H202" s="22"/>
      <c r="I202" s="30" t="str">
        <f>IF(H202="","",IFERROR(INDEX(Codes!$B$2:$B$13,MATCH(H202,Codes!$A$2:$A$13,0)),""))</f>
        <v/>
      </c>
      <c r="J202" s="23"/>
      <c r="K202" s="23"/>
      <c r="L202" s="23"/>
      <c r="M202" s="23"/>
      <c r="N202" s="23"/>
      <c r="O202" s="23"/>
      <c r="P202" s="23"/>
      <c r="Q202" s="31"/>
      <c r="R202" s="32"/>
      <c r="S202" s="32"/>
      <c r="T202" s="33" t="str">
        <f t="shared" si="6"/>
        <v/>
      </c>
      <c r="U202" s="34"/>
      <c r="V202" s="35"/>
      <c r="W202" s="33" t="str">
        <f t="shared" si="7"/>
        <v/>
      </c>
    </row>
    <row r="203" spans="1:23" x14ac:dyDescent="0.35">
      <c r="A203" s="21" t="str">
        <f>IF(COUNTA(B203:H203,J203:S203,U203:V203)=0,"",IF((IF(B203="","PO Ref, ","")&amp;IF(C203="","Vendor, ","")&amp;IF(D203="","Store, ","")&amp;IF(F203="","Product Type, ","")&amp;IF(G203="","Category, ","")&amp;IF(H203="","HSN Code, ","")&amp;IF(Q203="","Qty, ","")&amp;IF(R203="","Purchase Rate, ","")&amp;IF(S203="","MRP, ",""))&lt;&gt;"","Missing: "&amp;LEFT(IF(B203="","PO Ref, ","")&amp;IF(C203="","Vendor, ","")&amp;IF(D203="","Store, ","")&amp;IF(F203="","Product Type, ","")&amp;IF(G203="","Category, ","")&amp;IF(H203="","HSN Code, ","")&amp;IF(Q203="","Qty, ","")&amp;IF(R203="","Purchase Rate, ","")&amp;IF(S203="","MRP, ",""),LEN(IF(B203="","PO Ref, ","")&amp;IF(C203="","Vendor, ","")&amp;IF(D203="","Store, ","")&amp;IF(F203="","Product Type, ","")&amp;IF(G203="","Category, ","")&amp;IF(H203="","HSN Code, ","")&amp;IF(Q203="","Qty, ","")&amp;IF(R203="","Purchase Rate, ","")&amp;IF(S203="","MRP, ",""))-2),IF(COUNTIF(Vendors!$B$3:$B$202,C203)=0,"Add vendor "&amp;C203&amp;" on the Vendors sheet",IF(ISNA(MATCH(H203,Codes!$A$2:$A$13,0)),"Pick the HSN Code from the list",IF(AND(E203&lt;&gt;"",COUNTIFS($C$3:$C$1002,C203,$E$3:$E$1002,E203,$F$3:$F$1002,"&lt;&gt;"&amp;F203)+COUNTIFS($C$3:$C$1002,C203,$E$3:$E$1002,E203,$G$3:$G$1002,"&lt;&gt;"&amp;G203)&gt;0),"Design "&amp;E203&amp;" has another Product Type or Category on another row",IF(COUNTIFS($F$3:$F$1002,F203,$G$3:$G$1002,G203,$H$3:$H$1002,"&lt;&gt;"&amp;H203)&gt;0,F203&amp;" + "&amp;G203&amp;" has another HSN Code on another row",IF(AND(V203&lt;&gt;"",U203=""),"Received Qty needs the Vendor Invoice No",IF(AND(U203&lt;&gt;"",COUNTIFS(Bills!$B$3:$B$302,U203,Bills!$C$3:$C$302,C203)=0),"Add bill "&amp;U203&amp;" of "&amp;C203&amp;" on the Bills sheet",IF(S203&lt;R203,"MRP is below the Purchase Rate","OK")))))))))</f>
        <v/>
      </c>
      <c r="B203" s="29"/>
      <c r="C203" s="22"/>
      <c r="D203" s="22"/>
      <c r="E203" s="24"/>
      <c r="F203" s="22"/>
      <c r="G203" s="22"/>
      <c r="H203" s="22"/>
      <c r="I203" s="30" t="str">
        <f>IF(H203="","",IFERROR(INDEX(Codes!$B$2:$B$13,MATCH(H203,Codes!$A$2:$A$13,0)),""))</f>
        <v/>
      </c>
      <c r="J203" s="23"/>
      <c r="K203" s="23"/>
      <c r="L203" s="23"/>
      <c r="M203" s="23"/>
      <c r="N203" s="23"/>
      <c r="O203" s="23"/>
      <c r="P203" s="23"/>
      <c r="Q203" s="31"/>
      <c r="R203" s="32"/>
      <c r="S203" s="32"/>
      <c r="T203" s="33" t="str">
        <f t="shared" si="6"/>
        <v/>
      </c>
      <c r="U203" s="34"/>
      <c r="V203" s="35"/>
      <c r="W203" s="33" t="str">
        <f t="shared" si="7"/>
        <v/>
      </c>
    </row>
    <row r="204" spans="1:23" x14ac:dyDescent="0.35">
      <c r="A204" s="21" t="str">
        <f>IF(COUNTA(B204:H204,J204:S204,U204:V204)=0,"",IF((IF(B204="","PO Ref, ","")&amp;IF(C204="","Vendor, ","")&amp;IF(D204="","Store, ","")&amp;IF(F204="","Product Type, ","")&amp;IF(G204="","Category, ","")&amp;IF(H204="","HSN Code, ","")&amp;IF(Q204="","Qty, ","")&amp;IF(R204="","Purchase Rate, ","")&amp;IF(S204="","MRP, ",""))&lt;&gt;"","Missing: "&amp;LEFT(IF(B204="","PO Ref, ","")&amp;IF(C204="","Vendor, ","")&amp;IF(D204="","Store, ","")&amp;IF(F204="","Product Type, ","")&amp;IF(G204="","Category, ","")&amp;IF(H204="","HSN Code, ","")&amp;IF(Q204="","Qty, ","")&amp;IF(R204="","Purchase Rate, ","")&amp;IF(S204="","MRP, ",""),LEN(IF(B204="","PO Ref, ","")&amp;IF(C204="","Vendor, ","")&amp;IF(D204="","Store, ","")&amp;IF(F204="","Product Type, ","")&amp;IF(G204="","Category, ","")&amp;IF(H204="","HSN Code, ","")&amp;IF(Q204="","Qty, ","")&amp;IF(R204="","Purchase Rate, ","")&amp;IF(S204="","MRP, ",""))-2),IF(COUNTIF(Vendors!$B$3:$B$202,C204)=0,"Add vendor "&amp;C204&amp;" on the Vendors sheet",IF(ISNA(MATCH(H204,Codes!$A$2:$A$13,0)),"Pick the HSN Code from the list",IF(AND(E204&lt;&gt;"",COUNTIFS($C$3:$C$1002,C204,$E$3:$E$1002,E204,$F$3:$F$1002,"&lt;&gt;"&amp;F204)+COUNTIFS($C$3:$C$1002,C204,$E$3:$E$1002,E204,$G$3:$G$1002,"&lt;&gt;"&amp;G204)&gt;0),"Design "&amp;E204&amp;" has another Product Type or Category on another row",IF(COUNTIFS($F$3:$F$1002,F204,$G$3:$G$1002,G204,$H$3:$H$1002,"&lt;&gt;"&amp;H204)&gt;0,F204&amp;" + "&amp;G204&amp;" has another HSN Code on another row",IF(AND(V204&lt;&gt;"",U204=""),"Received Qty needs the Vendor Invoice No",IF(AND(U204&lt;&gt;"",COUNTIFS(Bills!$B$3:$B$302,U204,Bills!$C$3:$C$302,C204)=0),"Add bill "&amp;U204&amp;" of "&amp;C204&amp;" on the Bills sheet",IF(S204&lt;R204,"MRP is below the Purchase Rate","OK")))))))))</f>
        <v/>
      </c>
      <c r="B204" s="29"/>
      <c r="C204" s="22"/>
      <c r="D204" s="22"/>
      <c r="E204" s="24"/>
      <c r="F204" s="22"/>
      <c r="G204" s="22"/>
      <c r="H204" s="22"/>
      <c r="I204" s="30" t="str">
        <f>IF(H204="","",IFERROR(INDEX(Codes!$B$2:$B$13,MATCH(H204,Codes!$A$2:$A$13,0)),""))</f>
        <v/>
      </c>
      <c r="J204" s="23"/>
      <c r="K204" s="23"/>
      <c r="L204" s="23"/>
      <c r="M204" s="23"/>
      <c r="N204" s="23"/>
      <c r="O204" s="23"/>
      <c r="P204" s="23"/>
      <c r="Q204" s="31"/>
      <c r="R204" s="32"/>
      <c r="S204" s="32"/>
      <c r="T204" s="33" t="str">
        <f t="shared" si="6"/>
        <v/>
      </c>
      <c r="U204" s="34"/>
      <c r="V204" s="35"/>
      <c r="W204" s="33" t="str">
        <f t="shared" si="7"/>
        <v/>
      </c>
    </row>
    <row r="205" spans="1:23" x14ac:dyDescent="0.35">
      <c r="A205" s="21" t="str">
        <f>IF(COUNTA(B205:H205,J205:S205,U205:V205)=0,"",IF((IF(B205="","PO Ref, ","")&amp;IF(C205="","Vendor, ","")&amp;IF(D205="","Store, ","")&amp;IF(F205="","Product Type, ","")&amp;IF(G205="","Category, ","")&amp;IF(H205="","HSN Code, ","")&amp;IF(Q205="","Qty, ","")&amp;IF(R205="","Purchase Rate, ","")&amp;IF(S205="","MRP, ",""))&lt;&gt;"","Missing: "&amp;LEFT(IF(B205="","PO Ref, ","")&amp;IF(C205="","Vendor, ","")&amp;IF(D205="","Store, ","")&amp;IF(F205="","Product Type, ","")&amp;IF(G205="","Category, ","")&amp;IF(H205="","HSN Code, ","")&amp;IF(Q205="","Qty, ","")&amp;IF(R205="","Purchase Rate, ","")&amp;IF(S205="","MRP, ",""),LEN(IF(B205="","PO Ref, ","")&amp;IF(C205="","Vendor, ","")&amp;IF(D205="","Store, ","")&amp;IF(F205="","Product Type, ","")&amp;IF(G205="","Category, ","")&amp;IF(H205="","HSN Code, ","")&amp;IF(Q205="","Qty, ","")&amp;IF(R205="","Purchase Rate, ","")&amp;IF(S205="","MRP, ",""))-2),IF(COUNTIF(Vendors!$B$3:$B$202,C205)=0,"Add vendor "&amp;C205&amp;" on the Vendors sheet",IF(ISNA(MATCH(H205,Codes!$A$2:$A$13,0)),"Pick the HSN Code from the list",IF(AND(E205&lt;&gt;"",COUNTIFS($C$3:$C$1002,C205,$E$3:$E$1002,E205,$F$3:$F$1002,"&lt;&gt;"&amp;F205)+COUNTIFS($C$3:$C$1002,C205,$E$3:$E$1002,E205,$G$3:$G$1002,"&lt;&gt;"&amp;G205)&gt;0),"Design "&amp;E205&amp;" has another Product Type or Category on another row",IF(COUNTIFS($F$3:$F$1002,F205,$G$3:$G$1002,G205,$H$3:$H$1002,"&lt;&gt;"&amp;H205)&gt;0,F205&amp;" + "&amp;G205&amp;" has another HSN Code on another row",IF(AND(V205&lt;&gt;"",U205=""),"Received Qty needs the Vendor Invoice No",IF(AND(U205&lt;&gt;"",COUNTIFS(Bills!$B$3:$B$302,U205,Bills!$C$3:$C$302,C205)=0),"Add bill "&amp;U205&amp;" of "&amp;C205&amp;" on the Bills sheet",IF(S205&lt;R205,"MRP is below the Purchase Rate","OK")))))))))</f>
        <v/>
      </c>
      <c r="B205" s="29"/>
      <c r="C205" s="22"/>
      <c r="D205" s="22"/>
      <c r="E205" s="24"/>
      <c r="F205" s="22"/>
      <c r="G205" s="22"/>
      <c r="H205" s="22"/>
      <c r="I205" s="30" t="str">
        <f>IF(H205="","",IFERROR(INDEX(Codes!$B$2:$B$13,MATCH(H205,Codes!$A$2:$A$13,0)),""))</f>
        <v/>
      </c>
      <c r="J205" s="23"/>
      <c r="K205" s="23"/>
      <c r="L205" s="23"/>
      <c r="M205" s="23"/>
      <c r="N205" s="23"/>
      <c r="O205" s="23"/>
      <c r="P205" s="23"/>
      <c r="Q205" s="31"/>
      <c r="R205" s="32"/>
      <c r="S205" s="32"/>
      <c r="T205" s="33" t="str">
        <f t="shared" si="6"/>
        <v/>
      </c>
      <c r="U205" s="34"/>
      <c r="V205" s="35"/>
      <c r="W205" s="33" t="str">
        <f t="shared" si="7"/>
        <v/>
      </c>
    </row>
    <row r="206" spans="1:23" x14ac:dyDescent="0.35">
      <c r="A206" s="21" t="str">
        <f>IF(COUNTA(B206:H206,J206:S206,U206:V206)=0,"",IF((IF(B206="","PO Ref, ","")&amp;IF(C206="","Vendor, ","")&amp;IF(D206="","Store, ","")&amp;IF(F206="","Product Type, ","")&amp;IF(G206="","Category, ","")&amp;IF(H206="","HSN Code, ","")&amp;IF(Q206="","Qty, ","")&amp;IF(R206="","Purchase Rate, ","")&amp;IF(S206="","MRP, ",""))&lt;&gt;"","Missing: "&amp;LEFT(IF(B206="","PO Ref, ","")&amp;IF(C206="","Vendor, ","")&amp;IF(D206="","Store, ","")&amp;IF(F206="","Product Type, ","")&amp;IF(G206="","Category, ","")&amp;IF(H206="","HSN Code, ","")&amp;IF(Q206="","Qty, ","")&amp;IF(R206="","Purchase Rate, ","")&amp;IF(S206="","MRP, ",""),LEN(IF(B206="","PO Ref, ","")&amp;IF(C206="","Vendor, ","")&amp;IF(D206="","Store, ","")&amp;IF(F206="","Product Type, ","")&amp;IF(G206="","Category, ","")&amp;IF(H206="","HSN Code, ","")&amp;IF(Q206="","Qty, ","")&amp;IF(R206="","Purchase Rate, ","")&amp;IF(S206="","MRP, ",""))-2),IF(COUNTIF(Vendors!$B$3:$B$202,C206)=0,"Add vendor "&amp;C206&amp;" on the Vendors sheet",IF(ISNA(MATCH(H206,Codes!$A$2:$A$13,0)),"Pick the HSN Code from the list",IF(AND(E206&lt;&gt;"",COUNTIFS($C$3:$C$1002,C206,$E$3:$E$1002,E206,$F$3:$F$1002,"&lt;&gt;"&amp;F206)+COUNTIFS($C$3:$C$1002,C206,$E$3:$E$1002,E206,$G$3:$G$1002,"&lt;&gt;"&amp;G206)&gt;0),"Design "&amp;E206&amp;" has another Product Type or Category on another row",IF(COUNTIFS($F$3:$F$1002,F206,$G$3:$G$1002,G206,$H$3:$H$1002,"&lt;&gt;"&amp;H206)&gt;0,F206&amp;" + "&amp;G206&amp;" has another HSN Code on another row",IF(AND(V206&lt;&gt;"",U206=""),"Received Qty needs the Vendor Invoice No",IF(AND(U206&lt;&gt;"",COUNTIFS(Bills!$B$3:$B$302,U206,Bills!$C$3:$C$302,C206)=0),"Add bill "&amp;U206&amp;" of "&amp;C206&amp;" on the Bills sheet",IF(S206&lt;R206,"MRP is below the Purchase Rate","OK")))))))))</f>
        <v/>
      </c>
      <c r="B206" s="29"/>
      <c r="C206" s="22"/>
      <c r="D206" s="22"/>
      <c r="E206" s="24"/>
      <c r="F206" s="22"/>
      <c r="G206" s="22"/>
      <c r="H206" s="22"/>
      <c r="I206" s="30" t="str">
        <f>IF(H206="","",IFERROR(INDEX(Codes!$B$2:$B$13,MATCH(H206,Codes!$A$2:$A$13,0)),""))</f>
        <v/>
      </c>
      <c r="J206" s="23"/>
      <c r="K206" s="23"/>
      <c r="L206" s="23"/>
      <c r="M206" s="23"/>
      <c r="N206" s="23"/>
      <c r="O206" s="23"/>
      <c r="P206" s="23"/>
      <c r="Q206" s="31"/>
      <c r="R206" s="32"/>
      <c r="S206" s="32"/>
      <c r="T206" s="33" t="str">
        <f t="shared" si="6"/>
        <v/>
      </c>
      <c r="U206" s="34"/>
      <c r="V206" s="35"/>
      <c r="W206" s="33" t="str">
        <f t="shared" si="7"/>
        <v/>
      </c>
    </row>
    <row r="207" spans="1:23" x14ac:dyDescent="0.35">
      <c r="A207" s="21" t="str">
        <f>IF(COUNTA(B207:H207,J207:S207,U207:V207)=0,"",IF((IF(B207="","PO Ref, ","")&amp;IF(C207="","Vendor, ","")&amp;IF(D207="","Store, ","")&amp;IF(F207="","Product Type, ","")&amp;IF(G207="","Category, ","")&amp;IF(H207="","HSN Code, ","")&amp;IF(Q207="","Qty, ","")&amp;IF(R207="","Purchase Rate, ","")&amp;IF(S207="","MRP, ",""))&lt;&gt;"","Missing: "&amp;LEFT(IF(B207="","PO Ref, ","")&amp;IF(C207="","Vendor, ","")&amp;IF(D207="","Store, ","")&amp;IF(F207="","Product Type, ","")&amp;IF(G207="","Category, ","")&amp;IF(H207="","HSN Code, ","")&amp;IF(Q207="","Qty, ","")&amp;IF(R207="","Purchase Rate, ","")&amp;IF(S207="","MRP, ",""),LEN(IF(B207="","PO Ref, ","")&amp;IF(C207="","Vendor, ","")&amp;IF(D207="","Store, ","")&amp;IF(F207="","Product Type, ","")&amp;IF(G207="","Category, ","")&amp;IF(H207="","HSN Code, ","")&amp;IF(Q207="","Qty, ","")&amp;IF(R207="","Purchase Rate, ","")&amp;IF(S207="","MRP, ",""))-2),IF(COUNTIF(Vendors!$B$3:$B$202,C207)=0,"Add vendor "&amp;C207&amp;" on the Vendors sheet",IF(ISNA(MATCH(H207,Codes!$A$2:$A$13,0)),"Pick the HSN Code from the list",IF(AND(E207&lt;&gt;"",COUNTIFS($C$3:$C$1002,C207,$E$3:$E$1002,E207,$F$3:$F$1002,"&lt;&gt;"&amp;F207)+COUNTIFS($C$3:$C$1002,C207,$E$3:$E$1002,E207,$G$3:$G$1002,"&lt;&gt;"&amp;G207)&gt;0),"Design "&amp;E207&amp;" has another Product Type or Category on another row",IF(COUNTIFS($F$3:$F$1002,F207,$G$3:$G$1002,G207,$H$3:$H$1002,"&lt;&gt;"&amp;H207)&gt;0,F207&amp;" + "&amp;G207&amp;" has another HSN Code on another row",IF(AND(V207&lt;&gt;"",U207=""),"Received Qty needs the Vendor Invoice No",IF(AND(U207&lt;&gt;"",COUNTIFS(Bills!$B$3:$B$302,U207,Bills!$C$3:$C$302,C207)=0),"Add bill "&amp;U207&amp;" of "&amp;C207&amp;" on the Bills sheet",IF(S207&lt;R207,"MRP is below the Purchase Rate","OK")))))))))</f>
        <v/>
      </c>
      <c r="B207" s="29"/>
      <c r="C207" s="22"/>
      <c r="D207" s="22"/>
      <c r="E207" s="24"/>
      <c r="F207" s="22"/>
      <c r="G207" s="22"/>
      <c r="H207" s="22"/>
      <c r="I207" s="30" t="str">
        <f>IF(H207="","",IFERROR(INDEX(Codes!$B$2:$B$13,MATCH(H207,Codes!$A$2:$A$13,0)),""))</f>
        <v/>
      </c>
      <c r="J207" s="23"/>
      <c r="K207" s="23"/>
      <c r="L207" s="23"/>
      <c r="M207" s="23"/>
      <c r="N207" s="23"/>
      <c r="O207" s="23"/>
      <c r="P207" s="23"/>
      <c r="Q207" s="31"/>
      <c r="R207" s="32"/>
      <c r="S207" s="32"/>
      <c r="T207" s="33" t="str">
        <f t="shared" si="6"/>
        <v/>
      </c>
      <c r="U207" s="34"/>
      <c r="V207" s="35"/>
      <c r="W207" s="33" t="str">
        <f t="shared" si="7"/>
        <v/>
      </c>
    </row>
    <row r="208" spans="1:23" x14ac:dyDescent="0.35">
      <c r="A208" s="21" t="str">
        <f>IF(COUNTA(B208:H208,J208:S208,U208:V208)=0,"",IF((IF(B208="","PO Ref, ","")&amp;IF(C208="","Vendor, ","")&amp;IF(D208="","Store, ","")&amp;IF(F208="","Product Type, ","")&amp;IF(G208="","Category, ","")&amp;IF(H208="","HSN Code, ","")&amp;IF(Q208="","Qty, ","")&amp;IF(R208="","Purchase Rate, ","")&amp;IF(S208="","MRP, ",""))&lt;&gt;"","Missing: "&amp;LEFT(IF(B208="","PO Ref, ","")&amp;IF(C208="","Vendor, ","")&amp;IF(D208="","Store, ","")&amp;IF(F208="","Product Type, ","")&amp;IF(G208="","Category, ","")&amp;IF(H208="","HSN Code, ","")&amp;IF(Q208="","Qty, ","")&amp;IF(R208="","Purchase Rate, ","")&amp;IF(S208="","MRP, ",""),LEN(IF(B208="","PO Ref, ","")&amp;IF(C208="","Vendor, ","")&amp;IF(D208="","Store, ","")&amp;IF(F208="","Product Type, ","")&amp;IF(G208="","Category, ","")&amp;IF(H208="","HSN Code, ","")&amp;IF(Q208="","Qty, ","")&amp;IF(R208="","Purchase Rate, ","")&amp;IF(S208="","MRP, ",""))-2),IF(COUNTIF(Vendors!$B$3:$B$202,C208)=0,"Add vendor "&amp;C208&amp;" on the Vendors sheet",IF(ISNA(MATCH(H208,Codes!$A$2:$A$13,0)),"Pick the HSN Code from the list",IF(AND(E208&lt;&gt;"",COUNTIFS($C$3:$C$1002,C208,$E$3:$E$1002,E208,$F$3:$F$1002,"&lt;&gt;"&amp;F208)+COUNTIFS($C$3:$C$1002,C208,$E$3:$E$1002,E208,$G$3:$G$1002,"&lt;&gt;"&amp;G208)&gt;0),"Design "&amp;E208&amp;" has another Product Type or Category on another row",IF(COUNTIFS($F$3:$F$1002,F208,$G$3:$G$1002,G208,$H$3:$H$1002,"&lt;&gt;"&amp;H208)&gt;0,F208&amp;" + "&amp;G208&amp;" has another HSN Code on another row",IF(AND(V208&lt;&gt;"",U208=""),"Received Qty needs the Vendor Invoice No",IF(AND(U208&lt;&gt;"",COUNTIFS(Bills!$B$3:$B$302,U208,Bills!$C$3:$C$302,C208)=0),"Add bill "&amp;U208&amp;" of "&amp;C208&amp;" on the Bills sheet",IF(S208&lt;R208,"MRP is below the Purchase Rate","OK")))))))))</f>
        <v/>
      </c>
      <c r="B208" s="29"/>
      <c r="C208" s="22"/>
      <c r="D208" s="22"/>
      <c r="E208" s="24"/>
      <c r="F208" s="22"/>
      <c r="G208" s="22"/>
      <c r="H208" s="22"/>
      <c r="I208" s="30" t="str">
        <f>IF(H208="","",IFERROR(INDEX(Codes!$B$2:$B$13,MATCH(H208,Codes!$A$2:$A$13,0)),""))</f>
        <v/>
      </c>
      <c r="J208" s="23"/>
      <c r="K208" s="23"/>
      <c r="L208" s="23"/>
      <c r="M208" s="23"/>
      <c r="N208" s="23"/>
      <c r="O208" s="23"/>
      <c r="P208" s="23"/>
      <c r="Q208" s="31"/>
      <c r="R208" s="32"/>
      <c r="S208" s="32"/>
      <c r="T208" s="33" t="str">
        <f t="shared" si="6"/>
        <v/>
      </c>
      <c r="U208" s="34"/>
      <c r="V208" s="35"/>
      <c r="W208" s="33" t="str">
        <f t="shared" si="7"/>
        <v/>
      </c>
    </row>
    <row r="209" spans="1:23" x14ac:dyDescent="0.35">
      <c r="A209" s="21" t="str">
        <f>IF(COUNTA(B209:H209,J209:S209,U209:V209)=0,"",IF((IF(B209="","PO Ref, ","")&amp;IF(C209="","Vendor, ","")&amp;IF(D209="","Store, ","")&amp;IF(F209="","Product Type, ","")&amp;IF(G209="","Category, ","")&amp;IF(H209="","HSN Code, ","")&amp;IF(Q209="","Qty, ","")&amp;IF(R209="","Purchase Rate, ","")&amp;IF(S209="","MRP, ",""))&lt;&gt;"","Missing: "&amp;LEFT(IF(B209="","PO Ref, ","")&amp;IF(C209="","Vendor, ","")&amp;IF(D209="","Store, ","")&amp;IF(F209="","Product Type, ","")&amp;IF(G209="","Category, ","")&amp;IF(H209="","HSN Code, ","")&amp;IF(Q209="","Qty, ","")&amp;IF(R209="","Purchase Rate, ","")&amp;IF(S209="","MRP, ",""),LEN(IF(B209="","PO Ref, ","")&amp;IF(C209="","Vendor, ","")&amp;IF(D209="","Store, ","")&amp;IF(F209="","Product Type, ","")&amp;IF(G209="","Category, ","")&amp;IF(H209="","HSN Code, ","")&amp;IF(Q209="","Qty, ","")&amp;IF(R209="","Purchase Rate, ","")&amp;IF(S209="","MRP, ",""))-2),IF(COUNTIF(Vendors!$B$3:$B$202,C209)=0,"Add vendor "&amp;C209&amp;" on the Vendors sheet",IF(ISNA(MATCH(H209,Codes!$A$2:$A$13,0)),"Pick the HSN Code from the list",IF(AND(E209&lt;&gt;"",COUNTIFS($C$3:$C$1002,C209,$E$3:$E$1002,E209,$F$3:$F$1002,"&lt;&gt;"&amp;F209)+COUNTIFS($C$3:$C$1002,C209,$E$3:$E$1002,E209,$G$3:$G$1002,"&lt;&gt;"&amp;G209)&gt;0),"Design "&amp;E209&amp;" has another Product Type or Category on another row",IF(COUNTIFS($F$3:$F$1002,F209,$G$3:$G$1002,G209,$H$3:$H$1002,"&lt;&gt;"&amp;H209)&gt;0,F209&amp;" + "&amp;G209&amp;" has another HSN Code on another row",IF(AND(V209&lt;&gt;"",U209=""),"Received Qty needs the Vendor Invoice No",IF(AND(U209&lt;&gt;"",COUNTIFS(Bills!$B$3:$B$302,U209,Bills!$C$3:$C$302,C209)=0),"Add bill "&amp;U209&amp;" of "&amp;C209&amp;" on the Bills sheet",IF(S209&lt;R209,"MRP is below the Purchase Rate","OK")))))))))</f>
        <v/>
      </c>
      <c r="B209" s="29"/>
      <c r="C209" s="22"/>
      <c r="D209" s="22"/>
      <c r="E209" s="24"/>
      <c r="F209" s="22"/>
      <c r="G209" s="22"/>
      <c r="H209" s="22"/>
      <c r="I209" s="30" t="str">
        <f>IF(H209="","",IFERROR(INDEX(Codes!$B$2:$B$13,MATCH(H209,Codes!$A$2:$A$13,0)),""))</f>
        <v/>
      </c>
      <c r="J209" s="23"/>
      <c r="K209" s="23"/>
      <c r="L209" s="23"/>
      <c r="M209" s="23"/>
      <c r="N209" s="23"/>
      <c r="O209" s="23"/>
      <c r="P209" s="23"/>
      <c r="Q209" s="31"/>
      <c r="R209" s="32"/>
      <c r="S209" s="32"/>
      <c r="T209" s="33" t="str">
        <f t="shared" si="6"/>
        <v/>
      </c>
      <c r="U209" s="34"/>
      <c r="V209" s="35"/>
      <c r="W209" s="33" t="str">
        <f t="shared" si="7"/>
        <v/>
      </c>
    </row>
    <row r="210" spans="1:23" x14ac:dyDescent="0.35">
      <c r="A210" s="21" t="str">
        <f>IF(COUNTA(B210:H210,J210:S210,U210:V210)=0,"",IF((IF(B210="","PO Ref, ","")&amp;IF(C210="","Vendor, ","")&amp;IF(D210="","Store, ","")&amp;IF(F210="","Product Type, ","")&amp;IF(G210="","Category, ","")&amp;IF(H210="","HSN Code, ","")&amp;IF(Q210="","Qty, ","")&amp;IF(R210="","Purchase Rate, ","")&amp;IF(S210="","MRP, ",""))&lt;&gt;"","Missing: "&amp;LEFT(IF(B210="","PO Ref, ","")&amp;IF(C210="","Vendor, ","")&amp;IF(D210="","Store, ","")&amp;IF(F210="","Product Type, ","")&amp;IF(G210="","Category, ","")&amp;IF(H210="","HSN Code, ","")&amp;IF(Q210="","Qty, ","")&amp;IF(R210="","Purchase Rate, ","")&amp;IF(S210="","MRP, ",""),LEN(IF(B210="","PO Ref, ","")&amp;IF(C210="","Vendor, ","")&amp;IF(D210="","Store, ","")&amp;IF(F210="","Product Type, ","")&amp;IF(G210="","Category, ","")&amp;IF(H210="","HSN Code, ","")&amp;IF(Q210="","Qty, ","")&amp;IF(R210="","Purchase Rate, ","")&amp;IF(S210="","MRP, ",""))-2),IF(COUNTIF(Vendors!$B$3:$B$202,C210)=0,"Add vendor "&amp;C210&amp;" on the Vendors sheet",IF(ISNA(MATCH(H210,Codes!$A$2:$A$13,0)),"Pick the HSN Code from the list",IF(AND(E210&lt;&gt;"",COUNTIFS($C$3:$C$1002,C210,$E$3:$E$1002,E210,$F$3:$F$1002,"&lt;&gt;"&amp;F210)+COUNTIFS($C$3:$C$1002,C210,$E$3:$E$1002,E210,$G$3:$G$1002,"&lt;&gt;"&amp;G210)&gt;0),"Design "&amp;E210&amp;" has another Product Type or Category on another row",IF(COUNTIFS($F$3:$F$1002,F210,$G$3:$G$1002,G210,$H$3:$H$1002,"&lt;&gt;"&amp;H210)&gt;0,F210&amp;" + "&amp;G210&amp;" has another HSN Code on another row",IF(AND(V210&lt;&gt;"",U210=""),"Received Qty needs the Vendor Invoice No",IF(AND(U210&lt;&gt;"",COUNTIFS(Bills!$B$3:$B$302,U210,Bills!$C$3:$C$302,C210)=0),"Add bill "&amp;U210&amp;" of "&amp;C210&amp;" on the Bills sheet",IF(S210&lt;R210,"MRP is below the Purchase Rate","OK")))))))))</f>
        <v/>
      </c>
      <c r="B210" s="29"/>
      <c r="C210" s="22"/>
      <c r="D210" s="22"/>
      <c r="E210" s="24"/>
      <c r="F210" s="22"/>
      <c r="G210" s="22"/>
      <c r="H210" s="22"/>
      <c r="I210" s="30" t="str">
        <f>IF(H210="","",IFERROR(INDEX(Codes!$B$2:$B$13,MATCH(H210,Codes!$A$2:$A$13,0)),""))</f>
        <v/>
      </c>
      <c r="J210" s="23"/>
      <c r="K210" s="23"/>
      <c r="L210" s="23"/>
      <c r="M210" s="23"/>
      <c r="N210" s="23"/>
      <c r="O210" s="23"/>
      <c r="P210" s="23"/>
      <c r="Q210" s="31"/>
      <c r="R210" s="32"/>
      <c r="S210" s="32"/>
      <c r="T210" s="33" t="str">
        <f t="shared" si="6"/>
        <v/>
      </c>
      <c r="U210" s="34"/>
      <c r="V210" s="35"/>
      <c r="W210" s="33" t="str">
        <f t="shared" si="7"/>
        <v/>
      </c>
    </row>
    <row r="211" spans="1:23" x14ac:dyDescent="0.35">
      <c r="A211" s="21" t="str">
        <f>IF(COUNTA(B211:H211,J211:S211,U211:V211)=0,"",IF((IF(B211="","PO Ref, ","")&amp;IF(C211="","Vendor, ","")&amp;IF(D211="","Store, ","")&amp;IF(F211="","Product Type, ","")&amp;IF(G211="","Category, ","")&amp;IF(H211="","HSN Code, ","")&amp;IF(Q211="","Qty, ","")&amp;IF(R211="","Purchase Rate, ","")&amp;IF(S211="","MRP, ",""))&lt;&gt;"","Missing: "&amp;LEFT(IF(B211="","PO Ref, ","")&amp;IF(C211="","Vendor, ","")&amp;IF(D211="","Store, ","")&amp;IF(F211="","Product Type, ","")&amp;IF(G211="","Category, ","")&amp;IF(H211="","HSN Code, ","")&amp;IF(Q211="","Qty, ","")&amp;IF(R211="","Purchase Rate, ","")&amp;IF(S211="","MRP, ",""),LEN(IF(B211="","PO Ref, ","")&amp;IF(C211="","Vendor, ","")&amp;IF(D211="","Store, ","")&amp;IF(F211="","Product Type, ","")&amp;IF(G211="","Category, ","")&amp;IF(H211="","HSN Code, ","")&amp;IF(Q211="","Qty, ","")&amp;IF(R211="","Purchase Rate, ","")&amp;IF(S211="","MRP, ",""))-2),IF(COUNTIF(Vendors!$B$3:$B$202,C211)=0,"Add vendor "&amp;C211&amp;" on the Vendors sheet",IF(ISNA(MATCH(H211,Codes!$A$2:$A$13,0)),"Pick the HSN Code from the list",IF(AND(E211&lt;&gt;"",COUNTIFS($C$3:$C$1002,C211,$E$3:$E$1002,E211,$F$3:$F$1002,"&lt;&gt;"&amp;F211)+COUNTIFS($C$3:$C$1002,C211,$E$3:$E$1002,E211,$G$3:$G$1002,"&lt;&gt;"&amp;G211)&gt;0),"Design "&amp;E211&amp;" has another Product Type or Category on another row",IF(COUNTIFS($F$3:$F$1002,F211,$G$3:$G$1002,G211,$H$3:$H$1002,"&lt;&gt;"&amp;H211)&gt;0,F211&amp;" + "&amp;G211&amp;" has another HSN Code on another row",IF(AND(V211&lt;&gt;"",U211=""),"Received Qty needs the Vendor Invoice No",IF(AND(U211&lt;&gt;"",COUNTIFS(Bills!$B$3:$B$302,U211,Bills!$C$3:$C$302,C211)=0),"Add bill "&amp;U211&amp;" of "&amp;C211&amp;" on the Bills sheet",IF(S211&lt;R211,"MRP is below the Purchase Rate","OK")))))))))</f>
        <v/>
      </c>
      <c r="B211" s="29"/>
      <c r="C211" s="22"/>
      <c r="D211" s="22"/>
      <c r="E211" s="24"/>
      <c r="F211" s="22"/>
      <c r="G211" s="22"/>
      <c r="H211" s="22"/>
      <c r="I211" s="30" t="str">
        <f>IF(H211="","",IFERROR(INDEX(Codes!$B$2:$B$13,MATCH(H211,Codes!$A$2:$A$13,0)),""))</f>
        <v/>
      </c>
      <c r="J211" s="23"/>
      <c r="K211" s="23"/>
      <c r="L211" s="23"/>
      <c r="M211" s="23"/>
      <c r="N211" s="23"/>
      <c r="O211" s="23"/>
      <c r="P211" s="23"/>
      <c r="Q211" s="31"/>
      <c r="R211" s="32"/>
      <c r="S211" s="32"/>
      <c r="T211" s="33" t="str">
        <f t="shared" si="6"/>
        <v/>
      </c>
      <c r="U211" s="34"/>
      <c r="V211" s="35"/>
      <c r="W211" s="33" t="str">
        <f t="shared" si="7"/>
        <v/>
      </c>
    </row>
    <row r="212" spans="1:23" x14ac:dyDescent="0.35">
      <c r="A212" s="21" t="str">
        <f>IF(COUNTA(B212:H212,J212:S212,U212:V212)=0,"",IF((IF(B212="","PO Ref, ","")&amp;IF(C212="","Vendor, ","")&amp;IF(D212="","Store, ","")&amp;IF(F212="","Product Type, ","")&amp;IF(G212="","Category, ","")&amp;IF(H212="","HSN Code, ","")&amp;IF(Q212="","Qty, ","")&amp;IF(R212="","Purchase Rate, ","")&amp;IF(S212="","MRP, ",""))&lt;&gt;"","Missing: "&amp;LEFT(IF(B212="","PO Ref, ","")&amp;IF(C212="","Vendor, ","")&amp;IF(D212="","Store, ","")&amp;IF(F212="","Product Type, ","")&amp;IF(G212="","Category, ","")&amp;IF(H212="","HSN Code, ","")&amp;IF(Q212="","Qty, ","")&amp;IF(R212="","Purchase Rate, ","")&amp;IF(S212="","MRP, ",""),LEN(IF(B212="","PO Ref, ","")&amp;IF(C212="","Vendor, ","")&amp;IF(D212="","Store, ","")&amp;IF(F212="","Product Type, ","")&amp;IF(G212="","Category, ","")&amp;IF(H212="","HSN Code, ","")&amp;IF(Q212="","Qty, ","")&amp;IF(R212="","Purchase Rate, ","")&amp;IF(S212="","MRP, ",""))-2),IF(COUNTIF(Vendors!$B$3:$B$202,C212)=0,"Add vendor "&amp;C212&amp;" on the Vendors sheet",IF(ISNA(MATCH(H212,Codes!$A$2:$A$13,0)),"Pick the HSN Code from the list",IF(AND(E212&lt;&gt;"",COUNTIFS($C$3:$C$1002,C212,$E$3:$E$1002,E212,$F$3:$F$1002,"&lt;&gt;"&amp;F212)+COUNTIFS($C$3:$C$1002,C212,$E$3:$E$1002,E212,$G$3:$G$1002,"&lt;&gt;"&amp;G212)&gt;0),"Design "&amp;E212&amp;" has another Product Type or Category on another row",IF(COUNTIFS($F$3:$F$1002,F212,$G$3:$G$1002,G212,$H$3:$H$1002,"&lt;&gt;"&amp;H212)&gt;0,F212&amp;" + "&amp;G212&amp;" has another HSN Code on another row",IF(AND(V212&lt;&gt;"",U212=""),"Received Qty needs the Vendor Invoice No",IF(AND(U212&lt;&gt;"",COUNTIFS(Bills!$B$3:$B$302,U212,Bills!$C$3:$C$302,C212)=0),"Add bill "&amp;U212&amp;" of "&amp;C212&amp;" on the Bills sheet",IF(S212&lt;R212,"MRP is below the Purchase Rate","OK")))))))))</f>
        <v/>
      </c>
      <c r="B212" s="29"/>
      <c r="C212" s="22"/>
      <c r="D212" s="22"/>
      <c r="E212" s="24"/>
      <c r="F212" s="22"/>
      <c r="G212" s="22"/>
      <c r="H212" s="22"/>
      <c r="I212" s="30" t="str">
        <f>IF(H212="","",IFERROR(INDEX(Codes!$B$2:$B$13,MATCH(H212,Codes!$A$2:$A$13,0)),""))</f>
        <v/>
      </c>
      <c r="J212" s="23"/>
      <c r="K212" s="23"/>
      <c r="L212" s="23"/>
      <c r="M212" s="23"/>
      <c r="N212" s="23"/>
      <c r="O212" s="23"/>
      <c r="P212" s="23"/>
      <c r="Q212" s="31"/>
      <c r="R212" s="32"/>
      <c r="S212" s="32"/>
      <c r="T212" s="33" t="str">
        <f t="shared" si="6"/>
        <v/>
      </c>
      <c r="U212" s="34"/>
      <c r="V212" s="35"/>
      <c r="W212" s="33" t="str">
        <f t="shared" si="7"/>
        <v/>
      </c>
    </row>
    <row r="213" spans="1:23" x14ac:dyDescent="0.35">
      <c r="A213" s="21" t="str">
        <f>IF(COUNTA(B213:H213,J213:S213,U213:V213)=0,"",IF((IF(B213="","PO Ref, ","")&amp;IF(C213="","Vendor, ","")&amp;IF(D213="","Store, ","")&amp;IF(F213="","Product Type, ","")&amp;IF(G213="","Category, ","")&amp;IF(H213="","HSN Code, ","")&amp;IF(Q213="","Qty, ","")&amp;IF(R213="","Purchase Rate, ","")&amp;IF(S213="","MRP, ",""))&lt;&gt;"","Missing: "&amp;LEFT(IF(B213="","PO Ref, ","")&amp;IF(C213="","Vendor, ","")&amp;IF(D213="","Store, ","")&amp;IF(F213="","Product Type, ","")&amp;IF(G213="","Category, ","")&amp;IF(H213="","HSN Code, ","")&amp;IF(Q213="","Qty, ","")&amp;IF(R213="","Purchase Rate, ","")&amp;IF(S213="","MRP, ",""),LEN(IF(B213="","PO Ref, ","")&amp;IF(C213="","Vendor, ","")&amp;IF(D213="","Store, ","")&amp;IF(F213="","Product Type, ","")&amp;IF(G213="","Category, ","")&amp;IF(H213="","HSN Code, ","")&amp;IF(Q213="","Qty, ","")&amp;IF(R213="","Purchase Rate, ","")&amp;IF(S213="","MRP, ",""))-2),IF(COUNTIF(Vendors!$B$3:$B$202,C213)=0,"Add vendor "&amp;C213&amp;" on the Vendors sheet",IF(ISNA(MATCH(H213,Codes!$A$2:$A$13,0)),"Pick the HSN Code from the list",IF(AND(E213&lt;&gt;"",COUNTIFS($C$3:$C$1002,C213,$E$3:$E$1002,E213,$F$3:$F$1002,"&lt;&gt;"&amp;F213)+COUNTIFS($C$3:$C$1002,C213,$E$3:$E$1002,E213,$G$3:$G$1002,"&lt;&gt;"&amp;G213)&gt;0),"Design "&amp;E213&amp;" has another Product Type or Category on another row",IF(COUNTIFS($F$3:$F$1002,F213,$G$3:$G$1002,G213,$H$3:$H$1002,"&lt;&gt;"&amp;H213)&gt;0,F213&amp;" + "&amp;G213&amp;" has another HSN Code on another row",IF(AND(V213&lt;&gt;"",U213=""),"Received Qty needs the Vendor Invoice No",IF(AND(U213&lt;&gt;"",COUNTIFS(Bills!$B$3:$B$302,U213,Bills!$C$3:$C$302,C213)=0),"Add bill "&amp;U213&amp;" of "&amp;C213&amp;" on the Bills sheet",IF(S213&lt;R213,"MRP is below the Purchase Rate","OK")))))))))</f>
        <v/>
      </c>
      <c r="B213" s="29"/>
      <c r="C213" s="22"/>
      <c r="D213" s="22"/>
      <c r="E213" s="24"/>
      <c r="F213" s="22"/>
      <c r="G213" s="22"/>
      <c r="H213" s="22"/>
      <c r="I213" s="30" t="str">
        <f>IF(H213="","",IFERROR(INDEX(Codes!$B$2:$B$13,MATCH(H213,Codes!$A$2:$A$13,0)),""))</f>
        <v/>
      </c>
      <c r="J213" s="23"/>
      <c r="K213" s="23"/>
      <c r="L213" s="23"/>
      <c r="M213" s="23"/>
      <c r="N213" s="23"/>
      <c r="O213" s="23"/>
      <c r="P213" s="23"/>
      <c r="Q213" s="31"/>
      <c r="R213" s="32"/>
      <c r="S213" s="32"/>
      <c r="T213" s="33" t="str">
        <f t="shared" si="6"/>
        <v/>
      </c>
      <c r="U213" s="34"/>
      <c r="V213" s="35"/>
      <c r="W213" s="33" t="str">
        <f t="shared" si="7"/>
        <v/>
      </c>
    </row>
    <row r="214" spans="1:23" x14ac:dyDescent="0.35">
      <c r="A214" s="21" t="str">
        <f>IF(COUNTA(B214:H214,J214:S214,U214:V214)=0,"",IF((IF(B214="","PO Ref, ","")&amp;IF(C214="","Vendor, ","")&amp;IF(D214="","Store, ","")&amp;IF(F214="","Product Type, ","")&amp;IF(G214="","Category, ","")&amp;IF(H214="","HSN Code, ","")&amp;IF(Q214="","Qty, ","")&amp;IF(R214="","Purchase Rate, ","")&amp;IF(S214="","MRP, ",""))&lt;&gt;"","Missing: "&amp;LEFT(IF(B214="","PO Ref, ","")&amp;IF(C214="","Vendor, ","")&amp;IF(D214="","Store, ","")&amp;IF(F214="","Product Type, ","")&amp;IF(G214="","Category, ","")&amp;IF(H214="","HSN Code, ","")&amp;IF(Q214="","Qty, ","")&amp;IF(R214="","Purchase Rate, ","")&amp;IF(S214="","MRP, ",""),LEN(IF(B214="","PO Ref, ","")&amp;IF(C214="","Vendor, ","")&amp;IF(D214="","Store, ","")&amp;IF(F214="","Product Type, ","")&amp;IF(G214="","Category, ","")&amp;IF(H214="","HSN Code, ","")&amp;IF(Q214="","Qty, ","")&amp;IF(R214="","Purchase Rate, ","")&amp;IF(S214="","MRP, ",""))-2),IF(COUNTIF(Vendors!$B$3:$B$202,C214)=0,"Add vendor "&amp;C214&amp;" on the Vendors sheet",IF(ISNA(MATCH(H214,Codes!$A$2:$A$13,0)),"Pick the HSN Code from the list",IF(AND(E214&lt;&gt;"",COUNTIFS($C$3:$C$1002,C214,$E$3:$E$1002,E214,$F$3:$F$1002,"&lt;&gt;"&amp;F214)+COUNTIFS($C$3:$C$1002,C214,$E$3:$E$1002,E214,$G$3:$G$1002,"&lt;&gt;"&amp;G214)&gt;0),"Design "&amp;E214&amp;" has another Product Type or Category on another row",IF(COUNTIFS($F$3:$F$1002,F214,$G$3:$G$1002,G214,$H$3:$H$1002,"&lt;&gt;"&amp;H214)&gt;0,F214&amp;" + "&amp;G214&amp;" has another HSN Code on another row",IF(AND(V214&lt;&gt;"",U214=""),"Received Qty needs the Vendor Invoice No",IF(AND(U214&lt;&gt;"",COUNTIFS(Bills!$B$3:$B$302,U214,Bills!$C$3:$C$302,C214)=0),"Add bill "&amp;U214&amp;" of "&amp;C214&amp;" on the Bills sheet",IF(S214&lt;R214,"MRP is below the Purchase Rate","OK")))))))))</f>
        <v/>
      </c>
      <c r="B214" s="29"/>
      <c r="C214" s="22"/>
      <c r="D214" s="22"/>
      <c r="E214" s="24"/>
      <c r="F214" s="22"/>
      <c r="G214" s="22"/>
      <c r="H214" s="22"/>
      <c r="I214" s="30" t="str">
        <f>IF(H214="","",IFERROR(INDEX(Codes!$B$2:$B$13,MATCH(H214,Codes!$A$2:$A$13,0)),""))</f>
        <v/>
      </c>
      <c r="J214" s="23"/>
      <c r="K214" s="23"/>
      <c r="L214" s="23"/>
      <c r="M214" s="23"/>
      <c r="N214" s="23"/>
      <c r="O214" s="23"/>
      <c r="P214" s="23"/>
      <c r="Q214" s="31"/>
      <c r="R214" s="32"/>
      <c r="S214" s="32"/>
      <c r="T214" s="33" t="str">
        <f t="shared" si="6"/>
        <v/>
      </c>
      <c r="U214" s="34"/>
      <c r="V214" s="35"/>
      <c r="W214" s="33" t="str">
        <f t="shared" si="7"/>
        <v/>
      </c>
    </row>
    <row r="215" spans="1:23" x14ac:dyDescent="0.35">
      <c r="A215" s="21" t="str">
        <f>IF(COUNTA(B215:H215,J215:S215,U215:V215)=0,"",IF((IF(B215="","PO Ref, ","")&amp;IF(C215="","Vendor, ","")&amp;IF(D215="","Store, ","")&amp;IF(F215="","Product Type, ","")&amp;IF(G215="","Category, ","")&amp;IF(H215="","HSN Code, ","")&amp;IF(Q215="","Qty, ","")&amp;IF(R215="","Purchase Rate, ","")&amp;IF(S215="","MRP, ",""))&lt;&gt;"","Missing: "&amp;LEFT(IF(B215="","PO Ref, ","")&amp;IF(C215="","Vendor, ","")&amp;IF(D215="","Store, ","")&amp;IF(F215="","Product Type, ","")&amp;IF(G215="","Category, ","")&amp;IF(H215="","HSN Code, ","")&amp;IF(Q215="","Qty, ","")&amp;IF(R215="","Purchase Rate, ","")&amp;IF(S215="","MRP, ",""),LEN(IF(B215="","PO Ref, ","")&amp;IF(C215="","Vendor, ","")&amp;IF(D215="","Store, ","")&amp;IF(F215="","Product Type, ","")&amp;IF(G215="","Category, ","")&amp;IF(H215="","HSN Code, ","")&amp;IF(Q215="","Qty, ","")&amp;IF(R215="","Purchase Rate, ","")&amp;IF(S215="","MRP, ",""))-2),IF(COUNTIF(Vendors!$B$3:$B$202,C215)=0,"Add vendor "&amp;C215&amp;" on the Vendors sheet",IF(ISNA(MATCH(H215,Codes!$A$2:$A$13,0)),"Pick the HSN Code from the list",IF(AND(E215&lt;&gt;"",COUNTIFS($C$3:$C$1002,C215,$E$3:$E$1002,E215,$F$3:$F$1002,"&lt;&gt;"&amp;F215)+COUNTIFS($C$3:$C$1002,C215,$E$3:$E$1002,E215,$G$3:$G$1002,"&lt;&gt;"&amp;G215)&gt;0),"Design "&amp;E215&amp;" has another Product Type or Category on another row",IF(COUNTIFS($F$3:$F$1002,F215,$G$3:$G$1002,G215,$H$3:$H$1002,"&lt;&gt;"&amp;H215)&gt;0,F215&amp;" + "&amp;G215&amp;" has another HSN Code on another row",IF(AND(V215&lt;&gt;"",U215=""),"Received Qty needs the Vendor Invoice No",IF(AND(U215&lt;&gt;"",COUNTIFS(Bills!$B$3:$B$302,U215,Bills!$C$3:$C$302,C215)=0),"Add bill "&amp;U215&amp;" of "&amp;C215&amp;" on the Bills sheet",IF(S215&lt;R215,"MRP is below the Purchase Rate","OK")))))))))</f>
        <v/>
      </c>
      <c r="B215" s="29"/>
      <c r="C215" s="22"/>
      <c r="D215" s="22"/>
      <c r="E215" s="24"/>
      <c r="F215" s="22"/>
      <c r="G215" s="22"/>
      <c r="H215" s="22"/>
      <c r="I215" s="30" t="str">
        <f>IF(H215="","",IFERROR(INDEX(Codes!$B$2:$B$13,MATCH(H215,Codes!$A$2:$A$13,0)),""))</f>
        <v/>
      </c>
      <c r="J215" s="23"/>
      <c r="K215" s="23"/>
      <c r="L215" s="23"/>
      <c r="M215" s="23"/>
      <c r="N215" s="23"/>
      <c r="O215" s="23"/>
      <c r="P215" s="23"/>
      <c r="Q215" s="31"/>
      <c r="R215" s="32"/>
      <c r="S215" s="32"/>
      <c r="T215" s="33" t="str">
        <f t="shared" si="6"/>
        <v/>
      </c>
      <c r="U215" s="34"/>
      <c r="V215" s="35"/>
      <c r="W215" s="33" t="str">
        <f t="shared" si="7"/>
        <v/>
      </c>
    </row>
    <row r="216" spans="1:23" x14ac:dyDescent="0.35">
      <c r="A216" s="21" t="str">
        <f>IF(COUNTA(B216:H216,J216:S216,U216:V216)=0,"",IF((IF(B216="","PO Ref, ","")&amp;IF(C216="","Vendor, ","")&amp;IF(D216="","Store, ","")&amp;IF(F216="","Product Type, ","")&amp;IF(G216="","Category, ","")&amp;IF(H216="","HSN Code, ","")&amp;IF(Q216="","Qty, ","")&amp;IF(R216="","Purchase Rate, ","")&amp;IF(S216="","MRP, ",""))&lt;&gt;"","Missing: "&amp;LEFT(IF(B216="","PO Ref, ","")&amp;IF(C216="","Vendor, ","")&amp;IF(D216="","Store, ","")&amp;IF(F216="","Product Type, ","")&amp;IF(G216="","Category, ","")&amp;IF(H216="","HSN Code, ","")&amp;IF(Q216="","Qty, ","")&amp;IF(R216="","Purchase Rate, ","")&amp;IF(S216="","MRP, ",""),LEN(IF(B216="","PO Ref, ","")&amp;IF(C216="","Vendor, ","")&amp;IF(D216="","Store, ","")&amp;IF(F216="","Product Type, ","")&amp;IF(G216="","Category, ","")&amp;IF(H216="","HSN Code, ","")&amp;IF(Q216="","Qty, ","")&amp;IF(R216="","Purchase Rate, ","")&amp;IF(S216="","MRP, ",""))-2),IF(COUNTIF(Vendors!$B$3:$B$202,C216)=0,"Add vendor "&amp;C216&amp;" on the Vendors sheet",IF(ISNA(MATCH(H216,Codes!$A$2:$A$13,0)),"Pick the HSN Code from the list",IF(AND(E216&lt;&gt;"",COUNTIFS($C$3:$C$1002,C216,$E$3:$E$1002,E216,$F$3:$F$1002,"&lt;&gt;"&amp;F216)+COUNTIFS($C$3:$C$1002,C216,$E$3:$E$1002,E216,$G$3:$G$1002,"&lt;&gt;"&amp;G216)&gt;0),"Design "&amp;E216&amp;" has another Product Type or Category on another row",IF(COUNTIFS($F$3:$F$1002,F216,$G$3:$G$1002,G216,$H$3:$H$1002,"&lt;&gt;"&amp;H216)&gt;0,F216&amp;" + "&amp;G216&amp;" has another HSN Code on another row",IF(AND(V216&lt;&gt;"",U216=""),"Received Qty needs the Vendor Invoice No",IF(AND(U216&lt;&gt;"",COUNTIFS(Bills!$B$3:$B$302,U216,Bills!$C$3:$C$302,C216)=0),"Add bill "&amp;U216&amp;" of "&amp;C216&amp;" on the Bills sheet",IF(S216&lt;R216,"MRP is below the Purchase Rate","OK")))))))))</f>
        <v/>
      </c>
      <c r="B216" s="29"/>
      <c r="C216" s="22"/>
      <c r="D216" s="22"/>
      <c r="E216" s="24"/>
      <c r="F216" s="22"/>
      <c r="G216" s="22"/>
      <c r="H216" s="22"/>
      <c r="I216" s="30" t="str">
        <f>IF(H216="","",IFERROR(INDEX(Codes!$B$2:$B$13,MATCH(H216,Codes!$A$2:$A$13,0)),""))</f>
        <v/>
      </c>
      <c r="J216" s="23"/>
      <c r="K216" s="23"/>
      <c r="L216" s="23"/>
      <c r="M216" s="23"/>
      <c r="N216" s="23"/>
      <c r="O216" s="23"/>
      <c r="P216" s="23"/>
      <c r="Q216" s="31"/>
      <c r="R216" s="32"/>
      <c r="S216" s="32"/>
      <c r="T216" s="33" t="str">
        <f t="shared" si="6"/>
        <v/>
      </c>
      <c r="U216" s="34"/>
      <c r="V216" s="35"/>
      <c r="W216" s="33" t="str">
        <f t="shared" si="7"/>
        <v/>
      </c>
    </row>
    <row r="217" spans="1:23" x14ac:dyDescent="0.35">
      <c r="A217" s="21" t="str">
        <f>IF(COUNTA(B217:H217,J217:S217,U217:V217)=0,"",IF((IF(B217="","PO Ref, ","")&amp;IF(C217="","Vendor, ","")&amp;IF(D217="","Store, ","")&amp;IF(F217="","Product Type, ","")&amp;IF(G217="","Category, ","")&amp;IF(H217="","HSN Code, ","")&amp;IF(Q217="","Qty, ","")&amp;IF(R217="","Purchase Rate, ","")&amp;IF(S217="","MRP, ",""))&lt;&gt;"","Missing: "&amp;LEFT(IF(B217="","PO Ref, ","")&amp;IF(C217="","Vendor, ","")&amp;IF(D217="","Store, ","")&amp;IF(F217="","Product Type, ","")&amp;IF(G217="","Category, ","")&amp;IF(H217="","HSN Code, ","")&amp;IF(Q217="","Qty, ","")&amp;IF(R217="","Purchase Rate, ","")&amp;IF(S217="","MRP, ",""),LEN(IF(B217="","PO Ref, ","")&amp;IF(C217="","Vendor, ","")&amp;IF(D217="","Store, ","")&amp;IF(F217="","Product Type, ","")&amp;IF(G217="","Category, ","")&amp;IF(H217="","HSN Code, ","")&amp;IF(Q217="","Qty, ","")&amp;IF(R217="","Purchase Rate, ","")&amp;IF(S217="","MRP, ",""))-2),IF(COUNTIF(Vendors!$B$3:$B$202,C217)=0,"Add vendor "&amp;C217&amp;" on the Vendors sheet",IF(ISNA(MATCH(H217,Codes!$A$2:$A$13,0)),"Pick the HSN Code from the list",IF(AND(E217&lt;&gt;"",COUNTIFS($C$3:$C$1002,C217,$E$3:$E$1002,E217,$F$3:$F$1002,"&lt;&gt;"&amp;F217)+COUNTIFS($C$3:$C$1002,C217,$E$3:$E$1002,E217,$G$3:$G$1002,"&lt;&gt;"&amp;G217)&gt;0),"Design "&amp;E217&amp;" has another Product Type or Category on another row",IF(COUNTIFS($F$3:$F$1002,F217,$G$3:$G$1002,G217,$H$3:$H$1002,"&lt;&gt;"&amp;H217)&gt;0,F217&amp;" + "&amp;G217&amp;" has another HSN Code on another row",IF(AND(V217&lt;&gt;"",U217=""),"Received Qty needs the Vendor Invoice No",IF(AND(U217&lt;&gt;"",COUNTIFS(Bills!$B$3:$B$302,U217,Bills!$C$3:$C$302,C217)=0),"Add bill "&amp;U217&amp;" of "&amp;C217&amp;" on the Bills sheet",IF(S217&lt;R217,"MRP is below the Purchase Rate","OK")))))))))</f>
        <v/>
      </c>
      <c r="B217" s="29"/>
      <c r="C217" s="22"/>
      <c r="D217" s="22"/>
      <c r="E217" s="24"/>
      <c r="F217" s="22"/>
      <c r="G217" s="22"/>
      <c r="H217" s="22"/>
      <c r="I217" s="30" t="str">
        <f>IF(H217="","",IFERROR(INDEX(Codes!$B$2:$B$13,MATCH(H217,Codes!$A$2:$A$13,0)),""))</f>
        <v/>
      </c>
      <c r="J217" s="23"/>
      <c r="K217" s="23"/>
      <c r="L217" s="23"/>
      <c r="M217" s="23"/>
      <c r="N217" s="23"/>
      <c r="O217" s="23"/>
      <c r="P217" s="23"/>
      <c r="Q217" s="31"/>
      <c r="R217" s="32"/>
      <c r="S217" s="32"/>
      <c r="T217" s="33" t="str">
        <f t="shared" si="6"/>
        <v/>
      </c>
      <c r="U217" s="34"/>
      <c r="V217" s="35"/>
      <c r="W217" s="33" t="str">
        <f t="shared" si="7"/>
        <v/>
      </c>
    </row>
    <row r="218" spans="1:23" x14ac:dyDescent="0.35">
      <c r="A218" s="21" t="str">
        <f>IF(COUNTA(B218:H218,J218:S218,U218:V218)=0,"",IF((IF(B218="","PO Ref, ","")&amp;IF(C218="","Vendor, ","")&amp;IF(D218="","Store, ","")&amp;IF(F218="","Product Type, ","")&amp;IF(G218="","Category, ","")&amp;IF(H218="","HSN Code, ","")&amp;IF(Q218="","Qty, ","")&amp;IF(R218="","Purchase Rate, ","")&amp;IF(S218="","MRP, ",""))&lt;&gt;"","Missing: "&amp;LEFT(IF(B218="","PO Ref, ","")&amp;IF(C218="","Vendor, ","")&amp;IF(D218="","Store, ","")&amp;IF(F218="","Product Type, ","")&amp;IF(G218="","Category, ","")&amp;IF(H218="","HSN Code, ","")&amp;IF(Q218="","Qty, ","")&amp;IF(R218="","Purchase Rate, ","")&amp;IF(S218="","MRP, ",""),LEN(IF(B218="","PO Ref, ","")&amp;IF(C218="","Vendor, ","")&amp;IF(D218="","Store, ","")&amp;IF(F218="","Product Type, ","")&amp;IF(G218="","Category, ","")&amp;IF(H218="","HSN Code, ","")&amp;IF(Q218="","Qty, ","")&amp;IF(R218="","Purchase Rate, ","")&amp;IF(S218="","MRP, ",""))-2),IF(COUNTIF(Vendors!$B$3:$B$202,C218)=0,"Add vendor "&amp;C218&amp;" on the Vendors sheet",IF(ISNA(MATCH(H218,Codes!$A$2:$A$13,0)),"Pick the HSN Code from the list",IF(AND(E218&lt;&gt;"",COUNTIFS($C$3:$C$1002,C218,$E$3:$E$1002,E218,$F$3:$F$1002,"&lt;&gt;"&amp;F218)+COUNTIFS($C$3:$C$1002,C218,$E$3:$E$1002,E218,$G$3:$G$1002,"&lt;&gt;"&amp;G218)&gt;0),"Design "&amp;E218&amp;" has another Product Type or Category on another row",IF(COUNTIFS($F$3:$F$1002,F218,$G$3:$G$1002,G218,$H$3:$H$1002,"&lt;&gt;"&amp;H218)&gt;0,F218&amp;" + "&amp;G218&amp;" has another HSN Code on another row",IF(AND(V218&lt;&gt;"",U218=""),"Received Qty needs the Vendor Invoice No",IF(AND(U218&lt;&gt;"",COUNTIFS(Bills!$B$3:$B$302,U218,Bills!$C$3:$C$302,C218)=0),"Add bill "&amp;U218&amp;" of "&amp;C218&amp;" on the Bills sheet",IF(S218&lt;R218,"MRP is below the Purchase Rate","OK")))))))))</f>
        <v/>
      </c>
      <c r="B218" s="29"/>
      <c r="C218" s="22"/>
      <c r="D218" s="22"/>
      <c r="E218" s="24"/>
      <c r="F218" s="22"/>
      <c r="G218" s="22"/>
      <c r="H218" s="22"/>
      <c r="I218" s="30" t="str">
        <f>IF(H218="","",IFERROR(INDEX(Codes!$B$2:$B$13,MATCH(H218,Codes!$A$2:$A$13,0)),""))</f>
        <v/>
      </c>
      <c r="J218" s="23"/>
      <c r="K218" s="23"/>
      <c r="L218" s="23"/>
      <c r="M218" s="23"/>
      <c r="N218" s="23"/>
      <c r="O218" s="23"/>
      <c r="P218" s="23"/>
      <c r="Q218" s="31"/>
      <c r="R218" s="32"/>
      <c r="S218" s="32"/>
      <c r="T218" s="33" t="str">
        <f t="shared" si="6"/>
        <v/>
      </c>
      <c r="U218" s="34"/>
      <c r="V218" s="35"/>
      <c r="W218" s="33" t="str">
        <f t="shared" si="7"/>
        <v/>
      </c>
    </row>
    <row r="219" spans="1:23" x14ac:dyDescent="0.35">
      <c r="A219" s="21" t="str">
        <f>IF(COUNTA(B219:H219,J219:S219,U219:V219)=0,"",IF((IF(B219="","PO Ref, ","")&amp;IF(C219="","Vendor, ","")&amp;IF(D219="","Store, ","")&amp;IF(F219="","Product Type, ","")&amp;IF(G219="","Category, ","")&amp;IF(H219="","HSN Code, ","")&amp;IF(Q219="","Qty, ","")&amp;IF(R219="","Purchase Rate, ","")&amp;IF(S219="","MRP, ",""))&lt;&gt;"","Missing: "&amp;LEFT(IF(B219="","PO Ref, ","")&amp;IF(C219="","Vendor, ","")&amp;IF(D219="","Store, ","")&amp;IF(F219="","Product Type, ","")&amp;IF(G219="","Category, ","")&amp;IF(H219="","HSN Code, ","")&amp;IF(Q219="","Qty, ","")&amp;IF(R219="","Purchase Rate, ","")&amp;IF(S219="","MRP, ",""),LEN(IF(B219="","PO Ref, ","")&amp;IF(C219="","Vendor, ","")&amp;IF(D219="","Store, ","")&amp;IF(F219="","Product Type, ","")&amp;IF(G219="","Category, ","")&amp;IF(H219="","HSN Code, ","")&amp;IF(Q219="","Qty, ","")&amp;IF(R219="","Purchase Rate, ","")&amp;IF(S219="","MRP, ",""))-2),IF(COUNTIF(Vendors!$B$3:$B$202,C219)=0,"Add vendor "&amp;C219&amp;" on the Vendors sheet",IF(ISNA(MATCH(H219,Codes!$A$2:$A$13,0)),"Pick the HSN Code from the list",IF(AND(E219&lt;&gt;"",COUNTIFS($C$3:$C$1002,C219,$E$3:$E$1002,E219,$F$3:$F$1002,"&lt;&gt;"&amp;F219)+COUNTIFS($C$3:$C$1002,C219,$E$3:$E$1002,E219,$G$3:$G$1002,"&lt;&gt;"&amp;G219)&gt;0),"Design "&amp;E219&amp;" has another Product Type or Category on another row",IF(COUNTIFS($F$3:$F$1002,F219,$G$3:$G$1002,G219,$H$3:$H$1002,"&lt;&gt;"&amp;H219)&gt;0,F219&amp;" + "&amp;G219&amp;" has another HSN Code on another row",IF(AND(V219&lt;&gt;"",U219=""),"Received Qty needs the Vendor Invoice No",IF(AND(U219&lt;&gt;"",COUNTIFS(Bills!$B$3:$B$302,U219,Bills!$C$3:$C$302,C219)=0),"Add bill "&amp;U219&amp;" of "&amp;C219&amp;" on the Bills sheet",IF(S219&lt;R219,"MRP is below the Purchase Rate","OK")))))))))</f>
        <v/>
      </c>
      <c r="B219" s="29"/>
      <c r="C219" s="22"/>
      <c r="D219" s="22"/>
      <c r="E219" s="24"/>
      <c r="F219" s="22"/>
      <c r="G219" s="22"/>
      <c r="H219" s="22"/>
      <c r="I219" s="30" t="str">
        <f>IF(H219="","",IFERROR(INDEX(Codes!$B$2:$B$13,MATCH(H219,Codes!$A$2:$A$13,0)),""))</f>
        <v/>
      </c>
      <c r="J219" s="23"/>
      <c r="K219" s="23"/>
      <c r="L219" s="23"/>
      <c r="M219" s="23"/>
      <c r="N219" s="23"/>
      <c r="O219" s="23"/>
      <c r="P219" s="23"/>
      <c r="Q219" s="31"/>
      <c r="R219" s="32"/>
      <c r="S219" s="32"/>
      <c r="T219" s="33" t="str">
        <f t="shared" si="6"/>
        <v/>
      </c>
      <c r="U219" s="34"/>
      <c r="V219" s="35"/>
      <c r="W219" s="33" t="str">
        <f t="shared" si="7"/>
        <v/>
      </c>
    </row>
    <row r="220" spans="1:23" x14ac:dyDescent="0.35">
      <c r="A220" s="21" t="str">
        <f>IF(COUNTA(B220:H220,J220:S220,U220:V220)=0,"",IF((IF(B220="","PO Ref, ","")&amp;IF(C220="","Vendor, ","")&amp;IF(D220="","Store, ","")&amp;IF(F220="","Product Type, ","")&amp;IF(G220="","Category, ","")&amp;IF(H220="","HSN Code, ","")&amp;IF(Q220="","Qty, ","")&amp;IF(R220="","Purchase Rate, ","")&amp;IF(S220="","MRP, ",""))&lt;&gt;"","Missing: "&amp;LEFT(IF(B220="","PO Ref, ","")&amp;IF(C220="","Vendor, ","")&amp;IF(D220="","Store, ","")&amp;IF(F220="","Product Type, ","")&amp;IF(G220="","Category, ","")&amp;IF(H220="","HSN Code, ","")&amp;IF(Q220="","Qty, ","")&amp;IF(R220="","Purchase Rate, ","")&amp;IF(S220="","MRP, ",""),LEN(IF(B220="","PO Ref, ","")&amp;IF(C220="","Vendor, ","")&amp;IF(D220="","Store, ","")&amp;IF(F220="","Product Type, ","")&amp;IF(G220="","Category, ","")&amp;IF(H220="","HSN Code, ","")&amp;IF(Q220="","Qty, ","")&amp;IF(R220="","Purchase Rate, ","")&amp;IF(S220="","MRP, ",""))-2),IF(COUNTIF(Vendors!$B$3:$B$202,C220)=0,"Add vendor "&amp;C220&amp;" on the Vendors sheet",IF(ISNA(MATCH(H220,Codes!$A$2:$A$13,0)),"Pick the HSN Code from the list",IF(AND(E220&lt;&gt;"",COUNTIFS($C$3:$C$1002,C220,$E$3:$E$1002,E220,$F$3:$F$1002,"&lt;&gt;"&amp;F220)+COUNTIFS($C$3:$C$1002,C220,$E$3:$E$1002,E220,$G$3:$G$1002,"&lt;&gt;"&amp;G220)&gt;0),"Design "&amp;E220&amp;" has another Product Type or Category on another row",IF(COUNTIFS($F$3:$F$1002,F220,$G$3:$G$1002,G220,$H$3:$H$1002,"&lt;&gt;"&amp;H220)&gt;0,F220&amp;" + "&amp;G220&amp;" has another HSN Code on another row",IF(AND(V220&lt;&gt;"",U220=""),"Received Qty needs the Vendor Invoice No",IF(AND(U220&lt;&gt;"",COUNTIFS(Bills!$B$3:$B$302,U220,Bills!$C$3:$C$302,C220)=0),"Add bill "&amp;U220&amp;" of "&amp;C220&amp;" on the Bills sheet",IF(S220&lt;R220,"MRP is below the Purchase Rate","OK")))))))))</f>
        <v/>
      </c>
      <c r="B220" s="29"/>
      <c r="C220" s="22"/>
      <c r="D220" s="22"/>
      <c r="E220" s="24"/>
      <c r="F220" s="22"/>
      <c r="G220" s="22"/>
      <c r="H220" s="22"/>
      <c r="I220" s="30" t="str">
        <f>IF(H220="","",IFERROR(INDEX(Codes!$B$2:$B$13,MATCH(H220,Codes!$A$2:$A$13,0)),""))</f>
        <v/>
      </c>
      <c r="J220" s="23"/>
      <c r="K220" s="23"/>
      <c r="L220" s="23"/>
      <c r="M220" s="23"/>
      <c r="N220" s="23"/>
      <c r="O220" s="23"/>
      <c r="P220" s="23"/>
      <c r="Q220" s="31"/>
      <c r="R220" s="32"/>
      <c r="S220" s="32"/>
      <c r="T220" s="33" t="str">
        <f t="shared" si="6"/>
        <v/>
      </c>
      <c r="U220" s="34"/>
      <c r="V220" s="35"/>
      <c r="W220" s="33" t="str">
        <f t="shared" si="7"/>
        <v/>
      </c>
    </row>
    <row r="221" spans="1:23" x14ac:dyDescent="0.35">
      <c r="A221" s="21" t="str">
        <f>IF(COUNTA(B221:H221,J221:S221,U221:V221)=0,"",IF((IF(B221="","PO Ref, ","")&amp;IF(C221="","Vendor, ","")&amp;IF(D221="","Store, ","")&amp;IF(F221="","Product Type, ","")&amp;IF(G221="","Category, ","")&amp;IF(H221="","HSN Code, ","")&amp;IF(Q221="","Qty, ","")&amp;IF(R221="","Purchase Rate, ","")&amp;IF(S221="","MRP, ",""))&lt;&gt;"","Missing: "&amp;LEFT(IF(B221="","PO Ref, ","")&amp;IF(C221="","Vendor, ","")&amp;IF(D221="","Store, ","")&amp;IF(F221="","Product Type, ","")&amp;IF(G221="","Category, ","")&amp;IF(H221="","HSN Code, ","")&amp;IF(Q221="","Qty, ","")&amp;IF(R221="","Purchase Rate, ","")&amp;IF(S221="","MRP, ",""),LEN(IF(B221="","PO Ref, ","")&amp;IF(C221="","Vendor, ","")&amp;IF(D221="","Store, ","")&amp;IF(F221="","Product Type, ","")&amp;IF(G221="","Category, ","")&amp;IF(H221="","HSN Code, ","")&amp;IF(Q221="","Qty, ","")&amp;IF(R221="","Purchase Rate, ","")&amp;IF(S221="","MRP, ",""))-2),IF(COUNTIF(Vendors!$B$3:$B$202,C221)=0,"Add vendor "&amp;C221&amp;" on the Vendors sheet",IF(ISNA(MATCH(H221,Codes!$A$2:$A$13,0)),"Pick the HSN Code from the list",IF(AND(E221&lt;&gt;"",COUNTIFS($C$3:$C$1002,C221,$E$3:$E$1002,E221,$F$3:$F$1002,"&lt;&gt;"&amp;F221)+COUNTIFS($C$3:$C$1002,C221,$E$3:$E$1002,E221,$G$3:$G$1002,"&lt;&gt;"&amp;G221)&gt;0),"Design "&amp;E221&amp;" has another Product Type or Category on another row",IF(COUNTIFS($F$3:$F$1002,F221,$G$3:$G$1002,G221,$H$3:$H$1002,"&lt;&gt;"&amp;H221)&gt;0,F221&amp;" + "&amp;G221&amp;" has another HSN Code on another row",IF(AND(V221&lt;&gt;"",U221=""),"Received Qty needs the Vendor Invoice No",IF(AND(U221&lt;&gt;"",COUNTIFS(Bills!$B$3:$B$302,U221,Bills!$C$3:$C$302,C221)=0),"Add bill "&amp;U221&amp;" of "&amp;C221&amp;" on the Bills sheet",IF(S221&lt;R221,"MRP is below the Purchase Rate","OK")))))))))</f>
        <v/>
      </c>
      <c r="B221" s="29"/>
      <c r="C221" s="22"/>
      <c r="D221" s="22"/>
      <c r="E221" s="24"/>
      <c r="F221" s="22"/>
      <c r="G221" s="22"/>
      <c r="H221" s="22"/>
      <c r="I221" s="30" t="str">
        <f>IF(H221="","",IFERROR(INDEX(Codes!$B$2:$B$13,MATCH(H221,Codes!$A$2:$A$13,0)),""))</f>
        <v/>
      </c>
      <c r="J221" s="23"/>
      <c r="K221" s="23"/>
      <c r="L221" s="23"/>
      <c r="M221" s="23"/>
      <c r="N221" s="23"/>
      <c r="O221" s="23"/>
      <c r="P221" s="23"/>
      <c r="Q221" s="31"/>
      <c r="R221" s="32"/>
      <c r="S221" s="32"/>
      <c r="T221" s="33" t="str">
        <f t="shared" si="6"/>
        <v/>
      </c>
      <c r="U221" s="34"/>
      <c r="V221" s="35"/>
      <c r="W221" s="33" t="str">
        <f t="shared" si="7"/>
        <v/>
      </c>
    </row>
    <row r="222" spans="1:23" x14ac:dyDescent="0.35">
      <c r="A222" s="21" t="str">
        <f>IF(COUNTA(B222:H222,J222:S222,U222:V222)=0,"",IF((IF(B222="","PO Ref, ","")&amp;IF(C222="","Vendor, ","")&amp;IF(D222="","Store, ","")&amp;IF(F222="","Product Type, ","")&amp;IF(G222="","Category, ","")&amp;IF(H222="","HSN Code, ","")&amp;IF(Q222="","Qty, ","")&amp;IF(R222="","Purchase Rate, ","")&amp;IF(S222="","MRP, ",""))&lt;&gt;"","Missing: "&amp;LEFT(IF(B222="","PO Ref, ","")&amp;IF(C222="","Vendor, ","")&amp;IF(D222="","Store, ","")&amp;IF(F222="","Product Type, ","")&amp;IF(G222="","Category, ","")&amp;IF(H222="","HSN Code, ","")&amp;IF(Q222="","Qty, ","")&amp;IF(R222="","Purchase Rate, ","")&amp;IF(S222="","MRP, ",""),LEN(IF(B222="","PO Ref, ","")&amp;IF(C222="","Vendor, ","")&amp;IF(D222="","Store, ","")&amp;IF(F222="","Product Type, ","")&amp;IF(G222="","Category, ","")&amp;IF(H222="","HSN Code, ","")&amp;IF(Q222="","Qty, ","")&amp;IF(R222="","Purchase Rate, ","")&amp;IF(S222="","MRP, ",""))-2),IF(COUNTIF(Vendors!$B$3:$B$202,C222)=0,"Add vendor "&amp;C222&amp;" on the Vendors sheet",IF(ISNA(MATCH(H222,Codes!$A$2:$A$13,0)),"Pick the HSN Code from the list",IF(AND(E222&lt;&gt;"",COUNTIFS($C$3:$C$1002,C222,$E$3:$E$1002,E222,$F$3:$F$1002,"&lt;&gt;"&amp;F222)+COUNTIFS($C$3:$C$1002,C222,$E$3:$E$1002,E222,$G$3:$G$1002,"&lt;&gt;"&amp;G222)&gt;0),"Design "&amp;E222&amp;" has another Product Type or Category on another row",IF(COUNTIFS($F$3:$F$1002,F222,$G$3:$G$1002,G222,$H$3:$H$1002,"&lt;&gt;"&amp;H222)&gt;0,F222&amp;" + "&amp;G222&amp;" has another HSN Code on another row",IF(AND(V222&lt;&gt;"",U222=""),"Received Qty needs the Vendor Invoice No",IF(AND(U222&lt;&gt;"",COUNTIFS(Bills!$B$3:$B$302,U222,Bills!$C$3:$C$302,C222)=0),"Add bill "&amp;U222&amp;" of "&amp;C222&amp;" on the Bills sheet",IF(S222&lt;R222,"MRP is below the Purchase Rate","OK")))))))))</f>
        <v/>
      </c>
      <c r="B222" s="29"/>
      <c r="C222" s="22"/>
      <c r="D222" s="22"/>
      <c r="E222" s="24"/>
      <c r="F222" s="22"/>
      <c r="G222" s="22"/>
      <c r="H222" s="22"/>
      <c r="I222" s="30" t="str">
        <f>IF(H222="","",IFERROR(INDEX(Codes!$B$2:$B$13,MATCH(H222,Codes!$A$2:$A$13,0)),""))</f>
        <v/>
      </c>
      <c r="J222" s="23"/>
      <c r="K222" s="23"/>
      <c r="L222" s="23"/>
      <c r="M222" s="23"/>
      <c r="N222" s="23"/>
      <c r="O222" s="23"/>
      <c r="P222" s="23"/>
      <c r="Q222" s="31"/>
      <c r="R222" s="32"/>
      <c r="S222" s="32"/>
      <c r="T222" s="33" t="str">
        <f t="shared" si="6"/>
        <v/>
      </c>
      <c r="U222" s="34"/>
      <c r="V222" s="35"/>
      <c r="W222" s="33" t="str">
        <f t="shared" si="7"/>
        <v/>
      </c>
    </row>
    <row r="223" spans="1:23" x14ac:dyDescent="0.35">
      <c r="A223" s="21" t="str">
        <f>IF(COUNTA(B223:H223,J223:S223,U223:V223)=0,"",IF((IF(B223="","PO Ref, ","")&amp;IF(C223="","Vendor, ","")&amp;IF(D223="","Store, ","")&amp;IF(F223="","Product Type, ","")&amp;IF(G223="","Category, ","")&amp;IF(H223="","HSN Code, ","")&amp;IF(Q223="","Qty, ","")&amp;IF(R223="","Purchase Rate, ","")&amp;IF(S223="","MRP, ",""))&lt;&gt;"","Missing: "&amp;LEFT(IF(B223="","PO Ref, ","")&amp;IF(C223="","Vendor, ","")&amp;IF(D223="","Store, ","")&amp;IF(F223="","Product Type, ","")&amp;IF(G223="","Category, ","")&amp;IF(H223="","HSN Code, ","")&amp;IF(Q223="","Qty, ","")&amp;IF(R223="","Purchase Rate, ","")&amp;IF(S223="","MRP, ",""),LEN(IF(B223="","PO Ref, ","")&amp;IF(C223="","Vendor, ","")&amp;IF(D223="","Store, ","")&amp;IF(F223="","Product Type, ","")&amp;IF(G223="","Category, ","")&amp;IF(H223="","HSN Code, ","")&amp;IF(Q223="","Qty, ","")&amp;IF(R223="","Purchase Rate, ","")&amp;IF(S223="","MRP, ",""))-2),IF(COUNTIF(Vendors!$B$3:$B$202,C223)=0,"Add vendor "&amp;C223&amp;" on the Vendors sheet",IF(ISNA(MATCH(H223,Codes!$A$2:$A$13,0)),"Pick the HSN Code from the list",IF(AND(E223&lt;&gt;"",COUNTIFS($C$3:$C$1002,C223,$E$3:$E$1002,E223,$F$3:$F$1002,"&lt;&gt;"&amp;F223)+COUNTIFS($C$3:$C$1002,C223,$E$3:$E$1002,E223,$G$3:$G$1002,"&lt;&gt;"&amp;G223)&gt;0),"Design "&amp;E223&amp;" has another Product Type or Category on another row",IF(COUNTIFS($F$3:$F$1002,F223,$G$3:$G$1002,G223,$H$3:$H$1002,"&lt;&gt;"&amp;H223)&gt;0,F223&amp;" + "&amp;G223&amp;" has another HSN Code on another row",IF(AND(V223&lt;&gt;"",U223=""),"Received Qty needs the Vendor Invoice No",IF(AND(U223&lt;&gt;"",COUNTIFS(Bills!$B$3:$B$302,U223,Bills!$C$3:$C$302,C223)=0),"Add bill "&amp;U223&amp;" of "&amp;C223&amp;" on the Bills sheet",IF(S223&lt;R223,"MRP is below the Purchase Rate","OK")))))))))</f>
        <v/>
      </c>
      <c r="B223" s="29"/>
      <c r="C223" s="22"/>
      <c r="D223" s="22"/>
      <c r="E223" s="24"/>
      <c r="F223" s="22"/>
      <c r="G223" s="22"/>
      <c r="H223" s="22"/>
      <c r="I223" s="30" t="str">
        <f>IF(H223="","",IFERROR(INDEX(Codes!$B$2:$B$13,MATCH(H223,Codes!$A$2:$A$13,0)),""))</f>
        <v/>
      </c>
      <c r="J223" s="23"/>
      <c r="K223" s="23"/>
      <c r="L223" s="23"/>
      <c r="M223" s="23"/>
      <c r="N223" s="23"/>
      <c r="O223" s="23"/>
      <c r="P223" s="23"/>
      <c r="Q223" s="31"/>
      <c r="R223" s="32"/>
      <c r="S223" s="32"/>
      <c r="T223" s="33" t="str">
        <f t="shared" si="6"/>
        <v/>
      </c>
      <c r="U223" s="34"/>
      <c r="V223" s="35"/>
      <c r="W223" s="33" t="str">
        <f t="shared" si="7"/>
        <v/>
      </c>
    </row>
    <row r="224" spans="1:23" x14ac:dyDescent="0.35">
      <c r="A224" s="21" t="str">
        <f>IF(COUNTA(B224:H224,J224:S224,U224:V224)=0,"",IF((IF(B224="","PO Ref, ","")&amp;IF(C224="","Vendor, ","")&amp;IF(D224="","Store, ","")&amp;IF(F224="","Product Type, ","")&amp;IF(G224="","Category, ","")&amp;IF(H224="","HSN Code, ","")&amp;IF(Q224="","Qty, ","")&amp;IF(R224="","Purchase Rate, ","")&amp;IF(S224="","MRP, ",""))&lt;&gt;"","Missing: "&amp;LEFT(IF(B224="","PO Ref, ","")&amp;IF(C224="","Vendor, ","")&amp;IF(D224="","Store, ","")&amp;IF(F224="","Product Type, ","")&amp;IF(G224="","Category, ","")&amp;IF(H224="","HSN Code, ","")&amp;IF(Q224="","Qty, ","")&amp;IF(R224="","Purchase Rate, ","")&amp;IF(S224="","MRP, ",""),LEN(IF(B224="","PO Ref, ","")&amp;IF(C224="","Vendor, ","")&amp;IF(D224="","Store, ","")&amp;IF(F224="","Product Type, ","")&amp;IF(G224="","Category, ","")&amp;IF(H224="","HSN Code, ","")&amp;IF(Q224="","Qty, ","")&amp;IF(R224="","Purchase Rate, ","")&amp;IF(S224="","MRP, ",""))-2),IF(COUNTIF(Vendors!$B$3:$B$202,C224)=0,"Add vendor "&amp;C224&amp;" on the Vendors sheet",IF(ISNA(MATCH(H224,Codes!$A$2:$A$13,0)),"Pick the HSN Code from the list",IF(AND(E224&lt;&gt;"",COUNTIFS($C$3:$C$1002,C224,$E$3:$E$1002,E224,$F$3:$F$1002,"&lt;&gt;"&amp;F224)+COUNTIFS($C$3:$C$1002,C224,$E$3:$E$1002,E224,$G$3:$G$1002,"&lt;&gt;"&amp;G224)&gt;0),"Design "&amp;E224&amp;" has another Product Type or Category on another row",IF(COUNTIFS($F$3:$F$1002,F224,$G$3:$G$1002,G224,$H$3:$H$1002,"&lt;&gt;"&amp;H224)&gt;0,F224&amp;" + "&amp;G224&amp;" has another HSN Code on another row",IF(AND(V224&lt;&gt;"",U224=""),"Received Qty needs the Vendor Invoice No",IF(AND(U224&lt;&gt;"",COUNTIFS(Bills!$B$3:$B$302,U224,Bills!$C$3:$C$302,C224)=0),"Add bill "&amp;U224&amp;" of "&amp;C224&amp;" on the Bills sheet",IF(S224&lt;R224,"MRP is below the Purchase Rate","OK")))))))))</f>
        <v/>
      </c>
      <c r="B224" s="29"/>
      <c r="C224" s="22"/>
      <c r="D224" s="22"/>
      <c r="E224" s="24"/>
      <c r="F224" s="22"/>
      <c r="G224" s="22"/>
      <c r="H224" s="22"/>
      <c r="I224" s="30" t="str">
        <f>IF(H224="","",IFERROR(INDEX(Codes!$B$2:$B$13,MATCH(H224,Codes!$A$2:$A$13,0)),""))</f>
        <v/>
      </c>
      <c r="J224" s="23"/>
      <c r="K224" s="23"/>
      <c r="L224" s="23"/>
      <c r="M224" s="23"/>
      <c r="N224" s="23"/>
      <c r="O224" s="23"/>
      <c r="P224" s="23"/>
      <c r="Q224" s="31"/>
      <c r="R224" s="32"/>
      <c r="S224" s="32"/>
      <c r="T224" s="33" t="str">
        <f t="shared" si="6"/>
        <v/>
      </c>
      <c r="U224" s="34"/>
      <c r="V224" s="35"/>
      <c r="W224" s="33" t="str">
        <f t="shared" si="7"/>
        <v/>
      </c>
    </row>
    <row r="225" spans="1:23" x14ac:dyDescent="0.35">
      <c r="A225" s="21" t="str">
        <f>IF(COUNTA(B225:H225,J225:S225,U225:V225)=0,"",IF((IF(B225="","PO Ref, ","")&amp;IF(C225="","Vendor, ","")&amp;IF(D225="","Store, ","")&amp;IF(F225="","Product Type, ","")&amp;IF(G225="","Category, ","")&amp;IF(H225="","HSN Code, ","")&amp;IF(Q225="","Qty, ","")&amp;IF(R225="","Purchase Rate, ","")&amp;IF(S225="","MRP, ",""))&lt;&gt;"","Missing: "&amp;LEFT(IF(B225="","PO Ref, ","")&amp;IF(C225="","Vendor, ","")&amp;IF(D225="","Store, ","")&amp;IF(F225="","Product Type, ","")&amp;IF(G225="","Category, ","")&amp;IF(H225="","HSN Code, ","")&amp;IF(Q225="","Qty, ","")&amp;IF(R225="","Purchase Rate, ","")&amp;IF(S225="","MRP, ",""),LEN(IF(B225="","PO Ref, ","")&amp;IF(C225="","Vendor, ","")&amp;IF(D225="","Store, ","")&amp;IF(F225="","Product Type, ","")&amp;IF(G225="","Category, ","")&amp;IF(H225="","HSN Code, ","")&amp;IF(Q225="","Qty, ","")&amp;IF(R225="","Purchase Rate, ","")&amp;IF(S225="","MRP, ",""))-2),IF(COUNTIF(Vendors!$B$3:$B$202,C225)=0,"Add vendor "&amp;C225&amp;" on the Vendors sheet",IF(ISNA(MATCH(H225,Codes!$A$2:$A$13,0)),"Pick the HSN Code from the list",IF(AND(E225&lt;&gt;"",COUNTIFS($C$3:$C$1002,C225,$E$3:$E$1002,E225,$F$3:$F$1002,"&lt;&gt;"&amp;F225)+COUNTIFS($C$3:$C$1002,C225,$E$3:$E$1002,E225,$G$3:$G$1002,"&lt;&gt;"&amp;G225)&gt;0),"Design "&amp;E225&amp;" has another Product Type or Category on another row",IF(COUNTIFS($F$3:$F$1002,F225,$G$3:$G$1002,G225,$H$3:$H$1002,"&lt;&gt;"&amp;H225)&gt;0,F225&amp;" + "&amp;G225&amp;" has another HSN Code on another row",IF(AND(V225&lt;&gt;"",U225=""),"Received Qty needs the Vendor Invoice No",IF(AND(U225&lt;&gt;"",COUNTIFS(Bills!$B$3:$B$302,U225,Bills!$C$3:$C$302,C225)=0),"Add bill "&amp;U225&amp;" of "&amp;C225&amp;" on the Bills sheet",IF(S225&lt;R225,"MRP is below the Purchase Rate","OK")))))))))</f>
        <v/>
      </c>
      <c r="B225" s="29"/>
      <c r="C225" s="22"/>
      <c r="D225" s="22"/>
      <c r="E225" s="24"/>
      <c r="F225" s="22"/>
      <c r="G225" s="22"/>
      <c r="H225" s="22"/>
      <c r="I225" s="30" t="str">
        <f>IF(H225="","",IFERROR(INDEX(Codes!$B$2:$B$13,MATCH(H225,Codes!$A$2:$A$13,0)),""))</f>
        <v/>
      </c>
      <c r="J225" s="23"/>
      <c r="K225" s="23"/>
      <c r="L225" s="23"/>
      <c r="M225" s="23"/>
      <c r="N225" s="23"/>
      <c r="O225" s="23"/>
      <c r="P225" s="23"/>
      <c r="Q225" s="31"/>
      <c r="R225" s="32"/>
      <c r="S225" s="32"/>
      <c r="T225" s="33" t="str">
        <f t="shared" si="6"/>
        <v/>
      </c>
      <c r="U225" s="34"/>
      <c r="V225" s="35"/>
      <c r="W225" s="33" t="str">
        <f t="shared" si="7"/>
        <v/>
      </c>
    </row>
    <row r="226" spans="1:23" x14ac:dyDescent="0.35">
      <c r="A226" s="21" t="str">
        <f>IF(COUNTA(B226:H226,J226:S226,U226:V226)=0,"",IF((IF(B226="","PO Ref, ","")&amp;IF(C226="","Vendor, ","")&amp;IF(D226="","Store, ","")&amp;IF(F226="","Product Type, ","")&amp;IF(G226="","Category, ","")&amp;IF(H226="","HSN Code, ","")&amp;IF(Q226="","Qty, ","")&amp;IF(R226="","Purchase Rate, ","")&amp;IF(S226="","MRP, ",""))&lt;&gt;"","Missing: "&amp;LEFT(IF(B226="","PO Ref, ","")&amp;IF(C226="","Vendor, ","")&amp;IF(D226="","Store, ","")&amp;IF(F226="","Product Type, ","")&amp;IF(G226="","Category, ","")&amp;IF(H226="","HSN Code, ","")&amp;IF(Q226="","Qty, ","")&amp;IF(R226="","Purchase Rate, ","")&amp;IF(S226="","MRP, ",""),LEN(IF(B226="","PO Ref, ","")&amp;IF(C226="","Vendor, ","")&amp;IF(D226="","Store, ","")&amp;IF(F226="","Product Type, ","")&amp;IF(G226="","Category, ","")&amp;IF(H226="","HSN Code, ","")&amp;IF(Q226="","Qty, ","")&amp;IF(R226="","Purchase Rate, ","")&amp;IF(S226="","MRP, ",""))-2),IF(COUNTIF(Vendors!$B$3:$B$202,C226)=0,"Add vendor "&amp;C226&amp;" on the Vendors sheet",IF(ISNA(MATCH(H226,Codes!$A$2:$A$13,0)),"Pick the HSN Code from the list",IF(AND(E226&lt;&gt;"",COUNTIFS($C$3:$C$1002,C226,$E$3:$E$1002,E226,$F$3:$F$1002,"&lt;&gt;"&amp;F226)+COUNTIFS($C$3:$C$1002,C226,$E$3:$E$1002,E226,$G$3:$G$1002,"&lt;&gt;"&amp;G226)&gt;0),"Design "&amp;E226&amp;" has another Product Type or Category on another row",IF(COUNTIFS($F$3:$F$1002,F226,$G$3:$G$1002,G226,$H$3:$H$1002,"&lt;&gt;"&amp;H226)&gt;0,F226&amp;" + "&amp;G226&amp;" has another HSN Code on another row",IF(AND(V226&lt;&gt;"",U226=""),"Received Qty needs the Vendor Invoice No",IF(AND(U226&lt;&gt;"",COUNTIFS(Bills!$B$3:$B$302,U226,Bills!$C$3:$C$302,C226)=0),"Add bill "&amp;U226&amp;" of "&amp;C226&amp;" on the Bills sheet",IF(S226&lt;R226,"MRP is below the Purchase Rate","OK")))))))))</f>
        <v/>
      </c>
      <c r="B226" s="29"/>
      <c r="C226" s="22"/>
      <c r="D226" s="22"/>
      <c r="E226" s="24"/>
      <c r="F226" s="22"/>
      <c r="G226" s="22"/>
      <c r="H226" s="22"/>
      <c r="I226" s="30" t="str">
        <f>IF(H226="","",IFERROR(INDEX(Codes!$B$2:$B$13,MATCH(H226,Codes!$A$2:$A$13,0)),""))</f>
        <v/>
      </c>
      <c r="J226" s="23"/>
      <c r="K226" s="23"/>
      <c r="L226" s="23"/>
      <c r="M226" s="23"/>
      <c r="N226" s="23"/>
      <c r="O226" s="23"/>
      <c r="P226" s="23"/>
      <c r="Q226" s="31"/>
      <c r="R226" s="32"/>
      <c r="S226" s="32"/>
      <c r="T226" s="33" t="str">
        <f t="shared" si="6"/>
        <v/>
      </c>
      <c r="U226" s="34"/>
      <c r="V226" s="35"/>
      <c r="W226" s="33" t="str">
        <f t="shared" si="7"/>
        <v/>
      </c>
    </row>
    <row r="227" spans="1:23" x14ac:dyDescent="0.35">
      <c r="A227" s="21" t="str">
        <f>IF(COUNTA(B227:H227,J227:S227,U227:V227)=0,"",IF((IF(B227="","PO Ref, ","")&amp;IF(C227="","Vendor, ","")&amp;IF(D227="","Store, ","")&amp;IF(F227="","Product Type, ","")&amp;IF(G227="","Category, ","")&amp;IF(H227="","HSN Code, ","")&amp;IF(Q227="","Qty, ","")&amp;IF(R227="","Purchase Rate, ","")&amp;IF(S227="","MRP, ",""))&lt;&gt;"","Missing: "&amp;LEFT(IF(B227="","PO Ref, ","")&amp;IF(C227="","Vendor, ","")&amp;IF(D227="","Store, ","")&amp;IF(F227="","Product Type, ","")&amp;IF(G227="","Category, ","")&amp;IF(H227="","HSN Code, ","")&amp;IF(Q227="","Qty, ","")&amp;IF(R227="","Purchase Rate, ","")&amp;IF(S227="","MRP, ",""),LEN(IF(B227="","PO Ref, ","")&amp;IF(C227="","Vendor, ","")&amp;IF(D227="","Store, ","")&amp;IF(F227="","Product Type, ","")&amp;IF(G227="","Category, ","")&amp;IF(H227="","HSN Code, ","")&amp;IF(Q227="","Qty, ","")&amp;IF(R227="","Purchase Rate, ","")&amp;IF(S227="","MRP, ",""))-2),IF(COUNTIF(Vendors!$B$3:$B$202,C227)=0,"Add vendor "&amp;C227&amp;" on the Vendors sheet",IF(ISNA(MATCH(H227,Codes!$A$2:$A$13,0)),"Pick the HSN Code from the list",IF(AND(E227&lt;&gt;"",COUNTIFS($C$3:$C$1002,C227,$E$3:$E$1002,E227,$F$3:$F$1002,"&lt;&gt;"&amp;F227)+COUNTIFS($C$3:$C$1002,C227,$E$3:$E$1002,E227,$G$3:$G$1002,"&lt;&gt;"&amp;G227)&gt;0),"Design "&amp;E227&amp;" has another Product Type or Category on another row",IF(COUNTIFS($F$3:$F$1002,F227,$G$3:$G$1002,G227,$H$3:$H$1002,"&lt;&gt;"&amp;H227)&gt;0,F227&amp;" + "&amp;G227&amp;" has another HSN Code on another row",IF(AND(V227&lt;&gt;"",U227=""),"Received Qty needs the Vendor Invoice No",IF(AND(U227&lt;&gt;"",COUNTIFS(Bills!$B$3:$B$302,U227,Bills!$C$3:$C$302,C227)=0),"Add bill "&amp;U227&amp;" of "&amp;C227&amp;" on the Bills sheet",IF(S227&lt;R227,"MRP is below the Purchase Rate","OK")))))))))</f>
        <v/>
      </c>
      <c r="B227" s="29"/>
      <c r="C227" s="22"/>
      <c r="D227" s="22"/>
      <c r="E227" s="24"/>
      <c r="F227" s="22"/>
      <c r="G227" s="22"/>
      <c r="H227" s="22"/>
      <c r="I227" s="30" t="str">
        <f>IF(H227="","",IFERROR(INDEX(Codes!$B$2:$B$13,MATCH(H227,Codes!$A$2:$A$13,0)),""))</f>
        <v/>
      </c>
      <c r="J227" s="23"/>
      <c r="K227" s="23"/>
      <c r="L227" s="23"/>
      <c r="M227" s="23"/>
      <c r="N227" s="23"/>
      <c r="O227" s="23"/>
      <c r="P227" s="23"/>
      <c r="Q227" s="31"/>
      <c r="R227" s="32"/>
      <c r="S227" s="32"/>
      <c r="T227" s="33" t="str">
        <f t="shared" si="6"/>
        <v/>
      </c>
      <c r="U227" s="34"/>
      <c r="V227" s="35"/>
      <c r="W227" s="33" t="str">
        <f t="shared" si="7"/>
        <v/>
      </c>
    </row>
    <row r="228" spans="1:23" x14ac:dyDescent="0.35">
      <c r="A228" s="21" t="str">
        <f>IF(COUNTA(B228:H228,J228:S228,U228:V228)=0,"",IF((IF(B228="","PO Ref, ","")&amp;IF(C228="","Vendor, ","")&amp;IF(D228="","Store, ","")&amp;IF(F228="","Product Type, ","")&amp;IF(G228="","Category, ","")&amp;IF(H228="","HSN Code, ","")&amp;IF(Q228="","Qty, ","")&amp;IF(R228="","Purchase Rate, ","")&amp;IF(S228="","MRP, ",""))&lt;&gt;"","Missing: "&amp;LEFT(IF(B228="","PO Ref, ","")&amp;IF(C228="","Vendor, ","")&amp;IF(D228="","Store, ","")&amp;IF(F228="","Product Type, ","")&amp;IF(G228="","Category, ","")&amp;IF(H228="","HSN Code, ","")&amp;IF(Q228="","Qty, ","")&amp;IF(R228="","Purchase Rate, ","")&amp;IF(S228="","MRP, ",""),LEN(IF(B228="","PO Ref, ","")&amp;IF(C228="","Vendor, ","")&amp;IF(D228="","Store, ","")&amp;IF(F228="","Product Type, ","")&amp;IF(G228="","Category, ","")&amp;IF(H228="","HSN Code, ","")&amp;IF(Q228="","Qty, ","")&amp;IF(R228="","Purchase Rate, ","")&amp;IF(S228="","MRP, ",""))-2),IF(COUNTIF(Vendors!$B$3:$B$202,C228)=0,"Add vendor "&amp;C228&amp;" on the Vendors sheet",IF(ISNA(MATCH(H228,Codes!$A$2:$A$13,0)),"Pick the HSN Code from the list",IF(AND(E228&lt;&gt;"",COUNTIFS($C$3:$C$1002,C228,$E$3:$E$1002,E228,$F$3:$F$1002,"&lt;&gt;"&amp;F228)+COUNTIFS($C$3:$C$1002,C228,$E$3:$E$1002,E228,$G$3:$G$1002,"&lt;&gt;"&amp;G228)&gt;0),"Design "&amp;E228&amp;" has another Product Type or Category on another row",IF(COUNTIFS($F$3:$F$1002,F228,$G$3:$G$1002,G228,$H$3:$H$1002,"&lt;&gt;"&amp;H228)&gt;0,F228&amp;" + "&amp;G228&amp;" has another HSN Code on another row",IF(AND(V228&lt;&gt;"",U228=""),"Received Qty needs the Vendor Invoice No",IF(AND(U228&lt;&gt;"",COUNTIFS(Bills!$B$3:$B$302,U228,Bills!$C$3:$C$302,C228)=0),"Add bill "&amp;U228&amp;" of "&amp;C228&amp;" on the Bills sheet",IF(S228&lt;R228,"MRP is below the Purchase Rate","OK")))))))))</f>
        <v/>
      </c>
      <c r="B228" s="29"/>
      <c r="C228" s="22"/>
      <c r="D228" s="22"/>
      <c r="E228" s="24"/>
      <c r="F228" s="22"/>
      <c r="G228" s="22"/>
      <c r="H228" s="22"/>
      <c r="I228" s="30" t="str">
        <f>IF(H228="","",IFERROR(INDEX(Codes!$B$2:$B$13,MATCH(H228,Codes!$A$2:$A$13,0)),""))</f>
        <v/>
      </c>
      <c r="J228" s="23"/>
      <c r="K228" s="23"/>
      <c r="L228" s="23"/>
      <c r="M228" s="23"/>
      <c r="N228" s="23"/>
      <c r="O228" s="23"/>
      <c r="P228" s="23"/>
      <c r="Q228" s="31"/>
      <c r="R228" s="32"/>
      <c r="S228" s="32"/>
      <c r="T228" s="33" t="str">
        <f t="shared" si="6"/>
        <v/>
      </c>
      <c r="U228" s="34"/>
      <c r="V228" s="35"/>
      <c r="W228" s="33" t="str">
        <f t="shared" si="7"/>
        <v/>
      </c>
    </row>
    <row r="229" spans="1:23" x14ac:dyDescent="0.35">
      <c r="A229" s="21" t="str">
        <f>IF(COUNTA(B229:H229,J229:S229,U229:V229)=0,"",IF((IF(B229="","PO Ref, ","")&amp;IF(C229="","Vendor, ","")&amp;IF(D229="","Store, ","")&amp;IF(F229="","Product Type, ","")&amp;IF(G229="","Category, ","")&amp;IF(H229="","HSN Code, ","")&amp;IF(Q229="","Qty, ","")&amp;IF(R229="","Purchase Rate, ","")&amp;IF(S229="","MRP, ",""))&lt;&gt;"","Missing: "&amp;LEFT(IF(B229="","PO Ref, ","")&amp;IF(C229="","Vendor, ","")&amp;IF(D229="","Store, ","")&amp;IF(F229="","Product Type, ","")&amp;IF(G229="","Category, ","")&amp;IF(H229="","HSN Code, ","")&amp;IF(Q229="","Qty, ","")&amp;IF(R229="","Purchase Rate, ","")&amp;IF(S229="","MRP, ",""),LEN(IF(B229="","PO Ref, ","")&amp;IF(C229="","Vendor, ","")&amp;IF(D229="","Store, ","")&amp;IF(F229="","Product Type, ","")&amp;IF(G229="","Category, ","")&amp;IF(H229="","HSN Code, ","")&amp;IF(Q229="","Qty, ","")&amp;IF(R229="","Purchase Rate, ","")&amp;IF(S229="","MRP, ",""))-2),IF(COUNTIF(Vendors!$B$3:$B$202,C229)=0,"Add vendor "&amp;C229&amp;" on the Vendors sheet",IF(ISNA(MATCH(H229,Codes!$A$2:$A$13,0)),"Pick the HSN Code from the list",IF(AND(E229&lt;&gt;"",COUNTIFS($C$3:$C$1002,C229,$E$3:$E$1002,E229,$F$3:$F$1002,"&lt;&gt;"&amp;F229)+COUNTIFS($C$3:$C$1002,C229,$E$3:$E$1002,E229,$G$3:$G$1002,"&lt;&gt;"&amp;G229)&gt;0),"Design "&amp;E229&amp;" has another Product Type or Category on another row",IF(COUNTIFS($F$3:$F$1002,F229,$G$3:$G$1002,G229,$H$3:$H$1002,"&lt;&gt;"&amp;H229)&gt;0,F229&amp;" + "&amp;G229&amp;" has another HSN Code on another row",IF(AND(V229&lt;&gt;"",U229=""),"Received Qty needs the Vendor Invoice No",IF(AND(U229&lt;&gt;"",COUNTIFS(Bills!$B$3:$B$302,U229,Bills!$C$3:$C$302,C229)=0),"Add bill "&amp;U229&amp;" of "&amp;C229&amp;" on the Bills sheet",IF(S229&lt;R229,"MRP is below the Purchase Rate","OK")))))))))</f>
        <v/>
      </c>
      <c r="B229" s="29"/>
      <c r="C229" s="22"/>
      <c r="D229" s="22"/>
      <c r="E229" s="24"/>
      <c r="F229" s="22"/>
      <c r="G229" s="22"/>
      <c r="H229" s="22"/>
      <c r="I229" s="30" t="str">
        <f>IF(H229="","",IFERROR(INDEX(Codes!$B$2:$B$13,MATCH(H229,Codes!$A$2:$A$13,0)),""))</f>
        <v/>
      </c>
      <c r="J229" s="23"/>
      <c r="K229" s="23"/>
      <c r="L229" s="23"/>
      <c r="M229" s="23"/>
      <c r="N229" s="23"/>
      <c r="O229" s="23"/>
      <c r="P229" s="23"/>
      <c r="Q229" s="31"/>
      <c r="R229" s="32"/>
      <c r="S229" s="32"/>
      <c r="T229" s="33" t="str">
        <f t="shared" si="6"/>
        <v/>
      </c>
      <c r="U229" s="34"/>
      <c r="V229" s="35"/>
      <c r="W229" s="33" t="str">
        <f t="shared" si="7"/>
        <v/>
      </c>
    </row>
    <row r="230" spans="1:23" x14ac:dyDescent="0.35">
      <c r="A230" s="21" t="str">
        <f>IF(COUNTA(B230:H230,J230:S230,U230:V230)=0,"",IF((IF(B230="","PO Ref, ","")&amp;IF(C230="","Vendor, ","")&amp;IF(D230="","Store, ","")&amp;IF(F230="","Product Type, ","")&amp;IF(G230="","Category, ","")&amp;IF(H230="","HSN Code, ","")&amp;IF(Q230="","Qty, ","")&amp;IF(R230="","Purchase Rate, ","")&amp;IF(S230="","MRP, ",""))&lt;&gt;"","Missing: "&amp;LEFT(IF(B230="","PO Ref, ","")&amp;IF(C230="","Vendor, ","")&amp;IF(D230="","Store, ","")&amp;IF(F230="","Product Type, ","")&amp;IF(G230="","Category, ","")&amp;IF(H230="","HSN Code, ","")&amp;IF(Q230="","Qty, ","")&amp;IF(R230="","Purchase Rate, ","")&amp;IF(S230="","MRP, ",""),LEN(IF(B230="","PO Ref, ","")&amp;IF(C230="","Vendor, ","")&amp;IF(D230="","Store, ","")&amp;IF(F230="","Product Type, ","")&amp;IF(G230="","Category, ","")&amp;IF(H230="","HSN Code, ","")&amp;IF(Q230="","Qty, ","")&amp;IF(R230="","Purchase Rate, ","")&amp;IF(S230="","MRP, ",""))-2),IF(COUNTIF(Vendors!$B$3:$B$202,C230)=0,"Add vendor "&amp;C230&amp;" on the Vendors sheet",IF(ISNA(MATCH(H230,Codes!$A$2:$A$13,0)),"Pick the HSN Code from the list",IF(AND(E230&lt;&gt;"",COUNTIFS($C$3:$C$1002,C230,$E$3:$E$1002,E230,$F$3:$F$1002,"&lt;&gt;"&amp;F230)+COUNTIFS($C$3:$C$1002,C230,$E$3:$E$1002,E230,$G$3:$G$1002,"&lt;&gt;"&amp;G230)&gt;0),"Design "&amp;E230&amp;" has another Product Type or Category on another row",IF(COUNTIFS($F$3:$F$1002,F230,$G$3:$G$1002,G230,$H$3:$H$1002,"&lt;&gt;"&amp;H230)&gt;0,F230&amp;" + "&amp;G230&amp;" has another HSN Code on another row",IF(AND(V230&lt;&gt;"",U230=""),"Received Qty needs the Vendor Invoice No",IF(AND(U230&lt;&gt;"",COUNTIFS(Bills!$B$3:$B$302,U230,Bills!$C$3:$C$302,C230)=0),"Add bill "&amp;U230&amp;" of "&amp;C230&amp;" on the Bills sheet",IF(S230&lt;R230,"MRP is below the Purchase Rate","OK")))))))))</f>
        <v/>
      </c>
      <c r="B230" s="29"/>
      <c r="C230" s="22"/>
      <c r="D230" s="22"/>
      <c r="E230" s="24"/>
      <c r="F230" s="22"/>
      <c r="G230" s="22"/>
      <c r="H230" s="22"/>
      <c r="I230" s="30" t="str">
        <f>IF(H230="","",IFERROR(INDEX(Codes!$B$2:$B$13,MATCH(H230,Codes!$A$2:$A$13,0)),""))</f>
        <v/>
      </c>
      <c r="J230" s="23"/>
      <c r="K230" s="23"/>
      <c r="L230" s="23"/>
      <c r="M230" s="23"/>
      <c r="N230" s="23"/>
      <c r="O230" s="23"/>
      <c r="P230" s="23"/>
      <c r="Q230" s="31"/>
      <c r="R230" s="32"/>
      <c r="S230" s="32"/>
      <c r="T230" s="33" t="str">
        <f t="shared" si="6"/>
        <v/>
      </c>
      <c r="U230" s="34"/>
      <c r="V230" s="35"/>
      <c r="W230" s="33" t="str">
        <f t="shared" si="7"/>
        <v/>
      </c>
    </row>
    <row r="231" spans="1:23" x14ac:dyDescent="0.35">
      <c r="A231" s="21" t="str">
        <f>IF(COUNTA(B231:H231,J231:S231,U231:V231)=0,"",IF((IF(B231="","PO Ref, ","")&amp;IF(C231="","Vendor, ","")&amp;IF(D231="","Store, ","")&amp;IF(F231="","Product Type, ","")&amp;IF(G231="","Category, ","")&amp;IF(H231="","HSN Code, ","")&amp;IF(Q231="","Qty, ","")&amp;IF(R231="","Purchase Rate, ","")&amp;IF(S231="","MRP, ",""))&lt;&gt;"","Missing: "&amp;LEFT(IF(B231="","PO Ref, ","")&amp;IF(C231="","Vendor, ","")&amp;IF(D231="","Store, ","")&amp;IF(F231="","Product Type, ","")&amp;IF(G231="","Category, ","")&amp;IF(H231="","HSN Code, ","")&amp;IF(Q231="","Qty, ","")&amp;IF(R231="","Purchase Rate, ","")&amp;IF(S231="","MRP, ",""),LEN(IF(B231="","PO Ref, ","")&amp;IF(C231="","Vendor, ","")&amp;IF(D231="","Store, ","")&amp;IF(F231="","Product Type, ","")&amp;IF(G231="","Category, ","")&amp;IF(H231="","HSN Code, ","")&amp;IF(Q231="","Qty, ","")&amp;IF(R231="","Purchase Rate, ","")&amp;IF(S231="","MRP, ",""))-2),IF(COUNTIF(Vendors!$B$3:$B$202,C231)=0,"Add vendor "&amp;C231&amp;" on the Vendors sheet",IF(ISNA(MATCH(H231,Codes!$A$2:$A$13,0)),"Pick the HSN Code from the list",IF(AND(E231&lt;&gt;"",COUNTIFS($C$3:$C$1002,C231,$E$3:$E$1002,E231,$F$3:$F$1002,"&lt;&gt;"&amp;F231)+COUNTIFS($C$3:$C$1002,C231,$E$3:$E$1002,E231,$G$3:$G$1002,"&lt;&gt;"&amp;G231)&gt;0),"Design "&amp;E231&amp;" has another Product Type or Category on another row",IF(COUNTIFS($F$3:$F$1002,F231,$G$3:$G$1002,G231,$H$3:$H$1002,"&lt;&gt;"&amp;H231)&gt;0,F231&amp;" + "&amp;G231&amp;" has another HSN Code on another row",IF(AND(V231&lt;&gt;"",U231=""),"Received Qty needs the Vendor Invoice No",IF(AND(U231&lt;&gt;"",COUNTIFS(Bills!$B$3:$B$302,U231,Bills!$C$3:$C$302,C231)=0),"Add bill "&amp;U231&amp;" of "&amp;C231&amp;" on the Bills sheet",IF(S231&lt;R231,"MRP is below the Purchase Rate","OK")))))))))</f>
        <v/>
      </c>
      <c r="B231" s="29"/>
      <c r="C231" s="22"/>
      <c r="D231" s="22"/>
      <c r="E231" s="24"/>
      <c r="F231" s="22"/>
      <c r="G231" s="22"/>
      <c r="H231" s="22"/>
      <c r="I231" s="30" t="str">
        <f>IF(H231="","",IFERROR(INDEX(Codes!$B$2:$B$13,MATCH(H231,Codes!$A$2:$A$13,0)),""))</f>
        <v/>
      </c>
      <c r="J231" s="23"/>
      <c r="K231" s="23"/>
      <c r="L231" s="23"/>
      <c r="M231" s="23"/>
      <c r="N231" s="23"/>
      <c r="O231" s="23"/>
      <c r="P231" s="23"/>
      <c r="Q231" s="31"/>
      <c r="R231" s="32"/>
      <c r="S231" s="32"/>
      <c r="T231" s="33" t="str">
        <f t="shared" si="6"/>
        <v/>
      </c>
      <c r="U231" s="34"/>
      <c r="V231" s="35"/>
      <c r="W231" s="33" t="str">
        <f t="shared" si="7"/>
        <v/>
      </c>
    </row>
    <row r="232" spans="1:23" x14ac:dyDescent="0.35">
      <c r="A232" s="21" t="str">
        <f>IF(COUNTA(B232:H232,J232:S232,U232:V232)=0,"",IF((IF(B232="","PO Ref, ","")&amp;IF(C232="","Vendor, ","")&amp;IF(D232="","Store, ","")&amp;IF(F232="","Product Type, ","")&amp;IF(G232="","Category, ","")&amp;IF(H232="","HSN Code, ","")&amp;IF(Q232="","Qty, ","")&amp;IF(R232="","Purchase Rate, ","")&amp;IF(S232="","MRP, ",""))&lt;&gt;"","Missing: "&amp;LEFT(IF(B232="","PO Ref, ","")&amp;IF(C232="","Vendor, ","")&amp;IF(D232="","Store, ","")&amp;IF(F232="","Product Type, ","")&amp;IF(G232="","Category, ","")&amp;IF(H232="","HSN Code, ","")&amp;IF(Q232="","Qty, ","")&amp;IF(R232="","Purchase Rate, ","")&amp;IF(S232="","MRP, ",""),LEN(IF(B232="","PO Ref, ","")&amp;IF(C232="","Vendor, ","")&amp;IF(D232="","Store, ","")&amp;IF(F232="","Product Type, ","")&amp;IF(G232="","Category, ","")&amp;IF(H232="","HSN Code, ","")&amp;IF(Q232="","Qty, ","")&amp;IF(R232="","Purchase Rate, ","")&amp;IF(S232="","MRP, ",""))-2),IF(COUNTIF(Vendors!$B$3:$B$202,C232)=0,"Add vendor "&amp;C232&amp;" on the Vendors sheet",IF(ISNA(MATCH(H232,Codes!$A$2:$A$13,0)),"Pick the HSN Code from the list",IF(AND(E232&lt;&gt;"",COUNTIFS($C$3:$C$1002,C232,$E$3:$E$1002,E232,$F$3:$F$1002,"&lt;&gt;"&amp;F232)+COUNTIFS($C$3:$C$1002,C232,$E$3:$E$1002,E232,$G$3:$G$1002,"&lt;&gt;"&amp;G232)&gt;0),"Design "&amp;E232&amp;" has another Product Type or Category on another row",IF(COUNTIFS($F$3:$F$1002,F232,$G$3:$G$1002,G232,$H$3:$H$1002,"&lt;&gt;"&amp;H232)&gt;0,F232&amp;" + "&amp;G232&amp;" has another HSN Code on another row",IF(AND(V232&lt;&gt;"",U232=""),"Received Qty needs the Vendor Invoice No",IF(AND(U232&lt;&gt;"",COUNTIFS(Bills!$B$3:$B$302,U232,Bills!$C$3:$C$302,C232)=0),"Add bill "&amp;U232&amp;" of "&amp;C232&amp;" on the Bills sheet",IF(S232&lt;R232,"MRP is below the Purchase Rate","OK")))))))))</f>
        <v/>
      </c>
      <c r="B232" s="29"/>
      <c r="C232" s="22"/>
      <c r="D232" s="22"/>
      <c r="E232" s="24"/>
      <c r="F232" s="22"/>
      <c r="G232" s="22"/>
      <c r="H232" s="22"/>
      <c r="I232" s="30" t="str">
        <f>IF(H232="","",IFERROR(INDEX(Codes!$B$2:$B$13,MATCH(H232,Codes!$A$2:$A$13,0)),""))</f>
        <v/>
      </c>
      <c r="J232" s="23"/>
      <c r="K232" s="23"/>
      <c r="L232" s="23"/>
      <c r="M232" s="23"/>
      <c r="N232" s="23"/>
      <c r="O232" s="23"/>
      <c r="P232" s="23"/>
      <c r="Q232" s="31"/>
      <c r="R232" s="32"/>
      <c r="S232" s="32"/>
      <c r="T232" s="33" t="str">
        <f t="shared" si="6"/>
        <v/>
      </c>
      <c r="U232" s="34"/>
      <c r="V232" s="35"/>
      <c r="W232" s="33" t="str">
        <f t="shared" si="7"/>
        <v/>
      </c>
    </row>
    <row r="233" spans="1:23" x14ac:dyDescent="0.35">
      <c r="A233" s="21" t="str">
        <f>IF(COUNTA(B233:H233,J233:S233,U233:V233)=0,"",IF((IF(B233="","PO Ref, ","")&amp;IF(C233="","Vendor, ","")&amp;IF(D233="","Store, ","")&amp;IF(F233="","Product Type, ","")&amp;IF(G233="","Category, ","")&amp;IF(H233="","HSN Code, ","")&amp;IF(Q233="","Qty, ","")&amp;IF(R233="","Purchase Rate, ","")&amp;IF(S233="","MRP, ",""))&lt;&gt;"","Missing: "&amp;LEFT(IF(B233="","PO Ref, ","")&amp;IF(C233="","Vendor, ","")&amp;IF(D233="","Store, ","")&amp;IF(F233="","Product Type, ","")&amp;IF(G233="","Category, ","")&amp;IF(H233="","HSN Code, ","")&amp;IF(Q233="","Qty, ","")&amp;IF(R233="","Purchase Rate, ","")&amp;IF(S233="","MRP, ",""),LEN(IF(B233="","PO Ref, ","")&amp;IF(C233="","Vendor, ","")&amp;IF(D233="","Store, ","")&amp;IF(F233="","Product Type, ","")&amp;IF(G233="","Category, ","")&amp;IF(H233="","HSN Code, ","")&amp;IF(Q233="","Qty, ","")&amp;IF(R233="","Purchase Rate, ","")&amp;IF(S233="","MRP, ",""))-2),IF(COUNTIF(Vendors!$B$3:$B$202,C233)=0,"Add vendor "&amp;C233&amp;" on the Vendors sheet",IF(ISNA(MATCH(H233,Codes!$A$2:$A$13,0)),"Pick the HSN Code from the list",IF(AND(E233&lt;&gt;"",COUNTIFS($C$3:$C$1002,C233,$E$3:$E$1002,E233,$F$3:$F$1002,"&lt;&gt;"&amp;F233)+COUNTIFS($C$3:$C$1002,C233,$E$3:$E$1002,E233,$G$3:$G$1002,"&lt;&gt;"&amp;G233)&gt;0),"Design "&amp;E233&amp;" has another Product Type or Category on another row",IF(COUNTIFS($F$3:$F$1002,F233,$G$3:$G$1002,G233,$H$3:$H$1002,"&lt;&gt;"&amp;H233)&gt;0,F233&amp;" + "&amp;G233&amp;" has another HSN Code on another row",IF(AND(V233&lt;&gt;"",U233=""),"Received Qty needs the Vendor Invoice No",IF(AND(U233&lt;&gt;"",COUNTIFS(Bills!$B$3:$B$302,U233,Bills!$C$3:$C$302,C233)=0),"Add bill "&amp;U233&amp;" of "&amp;C233&amp;" on the Bills sheet",IF(S233&lt;R233,"MRP is below the Purchase Rate","OK")))))))))</f>
        <v/>
      </c>
      <c r="B233" s="29"/>
      <c r="C233" s="22"/>
      <c r="D233" s="22"/>
      <c r="E233" s="24"/>
      <c r="F233" s="22"/>
      <c r="G233" s="22"/>
      <c r="H233" s="22"/>
      <c r="I233" s="30" t="str">
        <f>IF(H233="","",IFERROR(INDEX(Codes!$B$2:$B$13,MATCH(H233,Codes!$A$2:$A$13,0)),""))</f>
        <v/>
      </c>
      <c r="J233" s="23"/>
      <c r="K233" s="23"/>
      <c r="L233" s="23"/>
      <c r="M233" s="23"/>
      <c r="N233" s="23"/>
      <c r="O233" s="23"/>
      <c r="P233" s="23"/>
      <c r="Q233" s="31"/>
      <c r="R233" s="32"/>
      <c r="S233" s="32"/>
      <c r="T233" s="33" t="str">
        <f t="shared" si="6"/>
        <v/>
      </c>
      <c r="U233" s="34"/>
      <c r="V233" s="35"/>
      <c r="W233" s="33" t="str">
        <f t="shared" si="7"/>
        <v/>
      </c>
    </row>
    <row r="234" spans="1:23" x14ac:dyDescent="0.35">
      <c r="A234" s="21" t="str">
        <f>IF(COUNTA(B234:H234,J234:S234,U234:V234)=0,"",IF((IF(B234="","PO Ref, ","")&amp;IF(C234="","Vendor, ","")&amp;IF(D234="","Store, ","")&amp;IF(F234="","Product Type, ","")&amp;IF(G234="","Category, ","")&amp;IF(H234="","HSN Code, ","")&amp;IF(Q234="","Qty, ","")&amp;IF(R234="","Purchase Rate, ","")&amp;IF(S234="","MRP, ",""))&lt;&gt;"","Missing: "&amp;LEFT(IF(B234="","PO Ref, ","")&amp;IF(C234="","Vendor, ","")&amp;IF(D234="","Store, ","")&amp;IF(F234="","Product Type, ","")&amp;IF(G234="","Category, ","")&amp;IF(H234="","HSN Code, ","")&amp;IF(Q234="","Qty, ","")&amp;IF(R234="","Purchase Rate, ","")&amp;IF(S234="","MRP, ",""),LEN(IF(B234="","PO Ref, ","")&amp;IF(C234="","Vendor, ","")&amp;IF(D234="","Store, ","")&amp;IF(F234="","Product Type, ","")&amp;IF(G234="","Category, ","")&amp;IF(H234="","HSN Code, ","")&amp;IF(Q234="","Qty, ","")&amp;IF(R234="","Purchase Rate, ","")&amp;IF(S234="","MRP, ",""))-2),IF(COUNTIF(Vendors!$B$3:$B$202,C234)=0,"Add vendor "&amp;C234&amp;" on the Vendors sheet",IF(ISNA(MATCH(H234,Codes!$A$2:$A$13,0)),"Pick the HSN Code from the list",IF(AND(E234&lt;&gt;"",COUNTIFS($C$3:$C$1002,C234,$E$3:$E$1002,E234,$F$3:$F$1002,"&lt;&gt;"&amp;F234)+COUNTIFS($C$3:$C$1002,C234,$E$3:$E$1002,E234,$G$3:$G$1002,"&lt;&gt;"&amp;G234)&gt;0),"Design "&amp;E234&amp;" has another Product Type or Category on another row",IF(COUNTIFS($F$3:$F$1002,F234,$G$3:$G$1002,G234,$H$3:$H$1002,"&lt;&gt;"&amp;H234)&gt;0,F234&amp;" + "&amp;G234&amp;" has another HSN Code on another row",IF(AND(V234&lt;&gt;"",U234=""),"Received Qty needs the Vendor Invoice No",IF(AND(U234&lt;&gt;"",COUNTIFS(Bills!$B$3:$B$302,U234,Bills!$C$3:$C$302,C234)=0),"Add bill "&amp;U234&amp;" of "&amp;C234&amp;" on the Bills sheet",IF(S234&lt;R234,"MRP is below the Purchase Rate","OK")))))))))</f>
        <v/>
      </c>
      <c r="B234" s="29"/>
      <c r="C234" s="22"/>
      <c r="D234" s="22"/>
      <c r="E234" s="24"/>
      <c r="F234" s="22"/>
      <c r="G234" s="22"/>
      <c r="H234" s="22"/>
      <c r="I234" s="30" t="str">
        <f>IF(H234="","",IFERROR(INDEX(Codes!$B$2:$B$13,MATCH(H234,Codes!$A$2:$A$13,0)),""))</f>
        <v/>
      </c>
      <c r="J234" s="23"/>
      <c r="K234" s="23"/>
      <c r="L234" s="23"/>
      <c r="M234" s="23"/>
      <c r="N234" s="23"/>
      <c r="O234" s="23"/>
      <c r="P234" s="23"/>
      <c r="Q234" s="31"/>
      <c r="R234" s="32"/>
      <c r="S234" s="32"/>
      <c r="T234" s="33" t="str">
        <f t="shared" si="6"/>
        <v/>
      </c>
      <c r="U234" s="34"/>
      <c r="V234" s="35"/>
      <c r="W234" s="33" t="str">
        <f t="shared" si="7"/>
        <v/>
      </c>
    </row>
    <row r="235" spans="1:23" x14ac:dyDescent="0.35">
      <c r="A235" s="21" t="str">
        <f>IF(COUNTA(B235:H235,J235:S235,U235:V235)=0,"",IF((IF(B235="","PO Ref, ","")&amp;IF(C235="","Vendor, ","")&amp;IF(D235="","Store, ","")&amp;IF(F235="","Product Type, ","")&amp;IF(G235="","Category, ","")&amp;IF(H235="","HSN Code, ","")&amp;IF(Q235="","Qty, ","")&amp;IF(R235="","Purchase Rate, ","")&amp;IF(S235="","MRP, ",""))&lt;&gt;"","Missing: "&amp;LEFT(IF(B235="","PO Ref, ","")&amp;IF(C235="","Vendor, ","")&amp;IF(D235="","Store, ","")&amp;IF(F235="","Product Type, ","")&amp;IF(G235="","Category, ","")&amp;IF(H235="","HSN Code, ","")&amp;IF(Q235="","Qty, ","")&amp;IF(R235="","Purchase Rate, ","")&amp;IF(S235="","MRP, ",""),LEN(IF(B235="","PO Ref, ","")&amp;IF(C235="","Vendor, ","")&amp;IF(D235="","Store, ","")&amp;IF(F235="","Product Type, ","")&amp;IF(G235="","Category, ","")&amp;IF(H235="","HSN Code, ","")&amp;IF(Q235="","Qty, ","")&amp;IF(R235="","Purchase Rate, ","")&amp;IF(S235="","MRP, ",""))-2),IF(COUNTIF(Vendors!$B$3:$B$202,C235)=0,"Add vendor "&amp;C235&amp;" on the Vendors sheet",IF(ISNA(MATCH(H235,Codes!$A$2:$A$13,0)),"Pick the HSN Code from the list",IF(AND(E235&lt;&gt;"",COUNTIFS($C$3:$C$1002,C235,$E$3:$E$1002,E235,$F$3:$F$1002,"&lt;&gt;"&amp;F235)+COUNTIFS($C$3:$C$1002,C235,$E$3:$E$1002,E235,$G$3:$G$1002,"&lt;&gt;"&amp;G235)&gt;0),"Design "&amp;E235&amp;" has another Product Type or Category on another row",IF(COUNTIFS($F$3:$F$1002,F235,$G$3:$G$1002,G235,$H$3:$H$1002,"&lt;&gt;"&amp;H235)&gt;0,F235&amp;" + "&amp;G235&amp;" has another HSN Code on another row",IF(AND(V235&lt;&gt;"",U235=""),"Received Qty needs the Vendor Invoice No",IF(AND(U235&lt;&gt;"",COUNTIFS(Bills!$B$3:$B$302,U235,Bills!$C$3:$C$302,C235)=0),"Add bill "&amp;U235&amp;" of "&amp;C235&amp;" on the Bills sheet",IF(S235&lt;R235,"MRP is below the Purchase Rate","OK")))))))))</f>
        <v/>
      </c>
      <c r="B235" s="29"/>
      <c r="C235" s="22"/>
      <c r="D235" s="22"/>
      <c r="E235" s="24"/>
      <c r="F235" s="22"/>
      <c r="G235" s="22"/>
      <c r="H235" s="22"/>
      <c r="I235" s="30" t="str">
        <f>IF(H235="","",IFERROR(INDEX(Codes!$B$2:$B$13,MATCH(H235,Codes!$A$2:$A$13,0)),""))</f>
        <v/>
      </c>
      <c r="J235" s="23"/>
      <c r="K235" s="23"/>
      <c r="L235" s="23"/>
      <c r="M235" s="23"/>
      <c r="N235" s="23"/>
      <c r="O235" s="23"/>
      <c r="P235" s="23"/>
      <c r="Q235" s="31"/>
      <c r="R235" s="32"/>
      <c r="S235" s="32"/>
      <c r="T235" s="33" t="str">
        <f t="shared" si="6"/>
        <v/>
      </c>
      <c r="U235" s="34"/>
      <c r="V235" s="35"/>
      <c r="W235" s="33" t="str">
        <f t="shared" si="7"/>
        <v/>
      </c>
    </row>
    <row r="236" spans="1:23" x14ac:dyDescent="0.35">
      <c r="A236" s="21" t="str">
        <f>IF(COUNTA(B236:H236,J236:S236,U236:V236)=0,"",IF((IF(B236="","PO Ref, ","")&amp;IF(C236="","Vendor, ","")&amp;IF(D236="","Store, ","")&amp;IF(F236="","Product Type, ","")&amp;IF(G236="","Category, ","")&amp;IF(H236="","HSN Code, ","")&amp;IF(Q236="","Qty, ","")&amp;IF(R236="","Purchase Rate, ","")&amp;IF(S236="","MRP, ",""))&lt;&gt;"","Missing: "&amp;LEFT(IF(B236="","PO Ref, ","")&amp;IF(C236="","Vendor, ","")&amp;IF(D236="","Store, ","")&amp;IF(F236="","Product Type, ","")&amp;IF(G236="","Category, ","")&amp;IF(H236="","HSN Code, ","")&amp;IF(Q236="","Qty, ","")&amp;IF(R236="","Purchase Rate, ","")&amp;IF(S236="","MRP, ",""),LEN(IF(B236="","PO Ref, ","")&amp;IF(C236="","Vendor, ","")&amp;IF(D236="","Store, ","")&amp;IF(F236="","Product Type, ","")&amp;IF(G236="","Category, ","")&amp;IF(H236="","HSN Code, ","")&amp;IF(Q236="","Qty, ","")&amp;IF(R236="","Purchase Rate, ","")&amp;IF(S236="","MRP, ",""))-2),IF(COUNTIF(Vendors!$B$3:$B$202,C236)=0,"Add vendor "&amp;C236&amp;" on the Vendors sheet",IF(ISNA(MATCH(H236,Codes!$A$2:$A$13,0)),"Pick the HSN Code from the list",IF(AND(E236&lt;&gt;"",COUNTIFS($C$3:$C$1002,C236,$E$3:$E$1002,E236,$F$3:$F$1002,"&lt;&gt;"&amp;F236)+COUNTIFS($C$3:$C$1002,C236,$E$3:$E$1002,E236,$G$3:$G$1002,"&lt;&gt;"&amp;G236)&gt;0),"Design "&amp;E236&amp;" has another Product Type or Category on another row",IF(COUNTIFS($F$3:$F$1002,F236,$G$3:$G$1002,G236,$H$3:$H$1002,"&lt;&gt;"&amp;H236)&gt;0,F236&amp;" + "&amp;G236&amp;" has another HSN Code on another row",IF(AND(V236&lt;&gt;"",U236=""),"Received Qty needs the Vendor Invoice No",IF(AND(U236&lt;&gt;"",COUNTIFS(Bills!$B$3:$B$302,U236,Bills!$C$3:$C$302,C236)=0),"Add bill "&amp;U236&amp;" of "&amp;C236&amp;" on the Bills sheet",IF(S236&lt;R236,"MRP is below the Purchase Rate","OK")))))))))</f>
        <v/>
      </c>
      <c r="B236" s="29"/>
      <c r="C236" s="22"/>
      <c r="D236" s="22"/>
      <c r="E236" s="24"/>
      <c r="F236" s="22"/>
      <c r="G236" s="22"/>
      <c r="H236" s="22"/>
      <c r="I236" s="30" t="str">
        <f>IF(H236="","",IFERROR(INDEX(Codes!$B$2:$B$13,MATCH(H236,Codes!$A$2:$A$13,0)),""))</f>
        <v/>
      </c>
      <c r="J236" s="23"/>
      <c r="K236" s="23"/>
      <c r="L236" s="23"/>
      <c r="M236" s="23"/>
      <c r="N236" s="23"/>
      <c r="O236" s="23"/>
      <c r="P236" s="23"/>
      <c r="Q236" s="31"/>
      <c r="R236" s="32"/>
      <c r="S236" s="32"/>
      <c r="T236" s="33" t="str">
        <f t="shared" si="6"/>
        <v/>
      </c>
      <c r="U236" s="34"/>
      <c r="V236" s="35"/>
      <c r="W236" s="33" t="str">
        <f t="shared" si="7"/>
        <v/>
      </c>
    </row>
    <row r="237" spans="1:23" x14ac:dyDescent="0.35">
      <c r="A237" s="21" t="str">
        <f>IF(COUNTA(B237:H237,J237:S237,U237:V237)=0,"",IF((IF(B237="","PO Ref, ","")&amp;IF(C237="","Vendor, ","")&amp;IF(D237="","Store, ","")&amp;IF(F237="","Product Type, ","")&amp;IF(G237="","Category, ","")&amp;IF(H237="","HSN Code, ","")&amp;IF(Q237="","Qty, ","")&amp;IF(R237="","Purchase Rate, ","")&amp;IF(S237="","MRP, ",""))&lt;&gt;"","Missing: "&amp;LEFT(IF(B237="","PO Ref, ","")&amp;IF(C237="","Vendor, ","")&amp;IF(D237="","Store, ","")&amp;IF(F237="","Product Type, ","")&amp;IF(G237="","Category, ","")&amp;IF(H237="","HSN Code, ","")&amp;IF(Q237="","Qty, ","")&amp;IF(R237="","Purchase Rate, ","")&amp;IF(S237="","MRP, ",""),LEN(IF(B237="","PO Ref, ","")&amp;IF(C237="","Vendor, ","")&amp;IF(D237="","Store, ","")&amp;IF(F237="","Product Type, ","")&amp;IF(G237="","Category, ","")&amp;IF(H237="","HSN Code, ","")&amp;IF(Q237="","Qty, ","")&amp;IF(R237="","Purchase Rate, ","")&amp;IF(S237="","MRP, ",""))-2),IF(COUNTIF(Vendors!$B$3:$B$202,C237)=0,"Add vendor "&amp;C237&amp;" on the Vendors sheet",IF(ISNA(MATCH(H237,Codes!$A$2:$A$13,0)),"Pick the HSN Code from the list",IF(AND(E237&lt;&gt;"",COUNTIFS($C$3:$C$1002,C237,$E$3:$E$1002,E237,$F$3:$F$1002,"&lt;&gt;"&amp;F237)+COUNTIFS($C$3:$C$1002,C237,$E$3:$E$1002,E237,$G$3:$G$1002,"&lt;&gt;"&amp;G237)&gt;0),"Design "&amp;E237&amp;" has another Product Type or Category on another row",IF(COUNTIFS($F$3:$F$1002,F237,$G$3:$G$1002,G237,$H$3:$H$1002,"&lt;&gt;"&amp;H237)&gt;0,F237&amp;" + "&amp;G237&amp;" has another HSN Code on another row",IF(AND(V237&lt;&gt;"",U237=""),"Received Qty needs the Vendor Invoice No",IF(AND(U237&lt;&gt;"",COUNTIFS(Bills!$B$3:$B$302,U237,Bills!$C$3:$C$302,C237)=0),"Add bill "&amp;U237&amp;" of "&amp;C237&amp;" on the Bills sheet",IF(S237&lt;R237,"MRP is below the Purchase Rate","OK")))))))))</f>
        <v/>
      </c>
      <c r="B237" s="29"/>
      <c r="C237" s="22"/>
      <c r="D237" s="22"/>
      <c r="E237" s="24"/>
      <c r="F237" s="22"/>
      <c r="G237" s="22"/>
      <c r="H237" s="22"/>
      <c r="I237" s="30" t="str">
        <f>IF(H237="","",IFERROR(INDEX(Codes!$B$2:$B$13,MATCH(H237,Codes!$A$2:$A$13,0)),""))</f>
        <v/>
      </c>
      <c r="J237" s="23"/>
      <c r="K237" s="23"/>
      <c r="L237" s="23"/>
      <c r="M237" s="23"/>
      <c r="N237" s="23"/>
      <c r="O237" s="23"/>
      <c r="P237" s="23"/>
      <c r="Q237" s="31"/>
      <c r="R237" s="32"/>
      <c r="S237" s="32"/>
      <c r="T237" s="33" t="str">
        <f t="shared" si="6"/>
        <v/>
      </c>
      <c r="U237" s="34"/>
      <c r="V237" s="35"/>
      <c r="W237" s="33" t="str">
        <f t="shared" si="7"/>
        <v/>
      </c>
    </row>
    <row r="238" spans="1:23" x14ac:dyDescent="0.35">
      <c r="A238" s="21" t="str">
        <f>IF(COUNTA(B238:H238,J238:S238,U238:V238)=0,"",IF((IF(B238="","PO Ref, ","")&amp;IF(C238="","Vendor, ","")&amp;IF(D238="","Store, ","")&amp;IF(F238="","Product Type, ","")&amp;IF(G238="","Category, ","")&amp;IF(H238="","HSN Code, ","")&amp;IF(Q238="","Qty, ","")&amp;IF(R238="","Purchase Rate, ","")&amp;IF(S238="","MRP, ",""))&lt;&gt;"","Missing: "&amp;LEFT(IF(B238="","PO Ref, ","")&amp;IF(C238="","Vendor, ","")&amp;IF(D238="","Store, ","")&amp;IF(F238="","Product Type, ","")&amp;IF(G238="","Category, ","")&amp;IF(H238="","HSN Code, ","")&amp;IF(Q238="","Qty, ","")&amp;IF(R238="","Purchase Rate, ","")&amp;IF(S238="","MRP, ",""),LEN(IF(B238="","PO Ref, ","")&amp;IF(C238="","Vendor, ","")&amp;IF(D238="","Store, ","")&amp;IF(F238="","Product Type, ","")&amp;IF(G238="","Category, ","")&amp;IF(H238="","HSN Code, ","")&amp;IF(Q238="","Qty, ","")&amp;IF(R238="","Purchase Rate, ","")&amp;IF(S238="","MRP, ",""))-2),IF(COUNTIF(Vendors!$B$3:$B$202,C238)=0,"Add vendor "&amp;C238&amp;" on the Vendors sheet",IF(ISNA(MATCH(H238,Codes!$A$2:$A$13,0)),"Pick the HSN Code from the list",IF(AND(E238&lt;&gt;"",COUNTIFS($C$3:$C$1002,C238,$E$3:$E$1002,E238,$F$3:$F$1002,"&lt;&gt;"&amp;F238)+COUNTIFS($C$3:$C$1002,C238,$E$3:$E$1002,E238,$G$3:$G$1002,"&lt;&gt;"&amp;G238)&gt;0),"Design "&amp;E238&amp;" has another Product Type or Category on another row",IF(COUNTIFS($F$3:$F$1002,F238,$G$3:$G$1002,G238,$H$3:$H$1002,"&lt;&gt;"&amp;H238)&gt;0,F238&amp;" + "&amp;G238&amp;" has another HSN Code on another row",IF(AND(V238&lt;&gt;"",U238=""),"Received Qty needs the Vendor Invoice No",IF(AND(U238&lt;&gt;"",COUNTIFS(Bills!$B$3:$B$302,U238,Bills!$C$3:$C$302,C238)=0),"Add bill "&amp;U238&amp;" of "&amp;C238&amp;" on the Bills sheet",IF(S238&lt;R238,"MRP is below the Purchase Rate","OK")))))))))</f>
        <v/>
      </c>
      <c r="B238" s="29"/>
      <c r="C238" s="22"/>
      <c r="D238" s="22"/>
      <c r="E238" s="24"/>
      <c r="F238" s="22"/>
      <c r="G238" s="22"/>
      <c r="H238" s="22"/>
      <c r="I238" s="30" t="str">
        <f>IF(H238="","",IFERROR(INDEX(Codes!$B$2:$B$13,MATCH(H238,Codes!$A$2:$A$13,0)),""))</f>
        <v/>
      </c>
      <c r="J238" s="23"/>
      <c r="K238" s="23"/>
      <c r="L238" s="23"/>
      <c r="M238" s="23"/>
      <c r="N238" s="23"/>
      <c r="O238" s="23"/>
      <c r="P238" s="23"/>
      <c r="Q238" s="31"/>
      <c r="R238" s="32"/>
      <c r="S238" s="32"/>
      <c r="T238" s="33" t="str">
        <f t="shared" si="6"/>
        <v/>
      </c>
      <c r="U238" s="34"/>
      <c r="V238" s="35"/>
      <c r="W238" s="33" t="str">
        <f t="shared" si="7"/>
        <v/>
      </c>
    </row>
    <row r="239" spans="1:23" x14ac:dyDescent="0.35">
      <c r="A239" s="21" t="str">
        <f>IF(COUNTA(B239:H239,J239:S239,U239:V239)=0,"",IF((IF(B239="","PO Ref, ","")&amp;IF(C239="","Vendor, ","")&amp;IF(D239="","Store, ","")&amp;IF(F239="","Product Type, ","")&amp;IF(G239="","Category, ","")&amp;IF(H239="","HSN Code, ","")&amp;IF(Q239="","Qty, ","")&amp;IF(R239="","Purchase Rate, ","")&amp;IF(S239="","MRP, ",""))&lt;&gt;"","Missing: "&amp;LEFT(IF(B239="","PO Ref, ","")&amp;IF(C239="","Vendor, ","")&amp;IF(D239="","Store, ","")&amp;IF(F239="","Product Type, ","")&amp;IF(G239="","Category, ","")&amp;IF(H239="","HSN Code, ","")&amp;IF(Q239="","Qty, ","")&amp;IF(R239="","Purchase Rate, ","")&amp;IF(S239="","MRP, ",""),LEN(IF(B239="","PO Ref, ","")&amp;IF(C239="","Vendor, ","")&amp;IF(D239="","Store, ","")&amp;IF(F239="","Product Type, ","")&amp;IF(G239="","Category, ","")&amp;IF(H239="","HSN Code, ","")&amp;IF(Q239="","Qty, ","")&amp;IF(R239="","Purchase Rate, ","")&amp;IF(S239="","MRP, ",""))-2),IF(COUNTIF(Vendors!$B$3:$B$202,C239)=0,"Add vendor "&amp;C239&amp;" on the Vendors sheet",IF(ISNA(MATCH(H239,Codes!$A$2:$A$13,0)),"Pick the HSN Code from the list",IF(AND(E239&lt;&gt;"",COUNTIFS($C$3:$C$1002,C239,$E$3:$E$1002,E239,$F$3:$F$1002,"&lt;&gt;"&amp;F239)+COUNTIFS($C$3:$C$1002,C239,$E$3:$E$1002,E239,$G$3:$G$1002,"&lt;&gt;"&amp;G239)&gt;0),"Design "&amp;E239&amp;" has another Product Type or Category on another row",IF(COUNTIFS($F$3:$F$1002,F239,$G$3:$G$1002,G239,$H$3:$H$1002,"&lt;&gt;"&amp;H239)&gt;0,F239&amp;" + "&amp;G239&amp;" has another HSN Code on another row",IF(AND(V239&lt;&gt;"",U239=""),"Received Qty needs the Vendor Invoice No",IF(AND(U239&lt;&gt;"",COUNTIFS(Bills!$B$3:$B$302,U239,Bills!$C$3:$C$302,C239)=0),"Add bill "&amp;U239&amp;" of "&amp;C239&amp;" on the Bills sheet",IF(S239&lt;R239,"MRP is below the Purchase Rate","OK")))))))))</f>
        <v/>
      </c>
      <c r="B239" s="29"/>
      <c r="C239" s="22"/>
      <c r="D239" s="22"/>
      <c r="E239" s="24"/>
      <c r="F239" s="22"/>
      <c r="G239" s="22"/>
      <c r="H239" s="22"/>
      <c r="I239" s="30" t="str">
        <f>IF(H239="","",IFERROR(INDEX(Codes!$B$2:$B$13,MATCH(H239,Codes!$A$2:$A$13,0)),""))</f>
        <v/>
      </c>
      <c r="J239" s="23"/>
      <c r="K239" s="23"/>
      <c r="L239" s="23"/>
      <c r="M239" s="23"/>
      <c r="N239" s="23"/>
      <c r="O239" s="23"/>
      <c r="P239" s="23"/>
      <c r="Q239" s="31"/>
      <c r="R239" s="32"/>
      <c r="S239" s="32"/>
      <c r="T239" s="33" t="str">
        <f t="shared" si="6"/>
        <v/>
      </c>
      <c r="U239" s="34"/>
      <c r="V239" s="35"/>
      <c r="W239" s="33" t="str">
        <f t="shared" si="7"/>
        <v/>
      </c>
    </row>
    <row r="240" spans="1:23" x14ac:dyDescent="0.35">
      <c r="A240" s="21" t="str">
        <f>IF(COUNTA(B240:H240,J240:S240,U240:V240)=0,"",IF((IF(B240="","PO Ref, ","")&amp;IF(C240="","Vendor, ","")&amp;IF(D240="","Store, ","")&amp;IF(F240="","Product Type, ","")&amp;IF(G240="","Category, ","")&amp;IF(H240="","HSN Code, ","")&amp;IF(Q240="","Qty, ","")&amp;IF(R240="","Purchase Rate, ","")&amp;IF(S240="","MRP, ",""))&lt;&gt;"","Missing: "&amp;LEFT(IF(B240="","PO Ref, ","")&amp;IF(C240="","Vendor, ","")&amp;IF(D240="","Store, ","")&amp;IF(F240="","Product Type, ","")&amp;IF(G240="","Category, ","")&amp;IF(H240="","HSN Code, ","")&amp;IF(Q240="","Qty, ","")&amp;IF(R240="","Purchase Rate, ","")&amp;IF(S240="","MRP, ",""),LEN(IF(B240="","PO Ref, ","")&amp;IF(C240="","Vendor, ","")&amp;IF(D240="","Store, ","")&amp;IF(F240="","Product Type, ","")&amp;IF(G240="","Category, ","")&amp;IF(H240="","HSN Code, ","")&amp;IF(Q240="","Qty, ","")&amp;IF(R240="","Purchase Rate, ","")&amp;IF(S240="","MRP, ",""))-2),IF(COUNTIF(Vendors!$B$3:$B$202,C240)=0,"Add vendor "&amp;C240&amp;" on the Vendors sheet",IF(ISNA(MATCH(H240,Codes!$A$2:$A$13,0)),"Pick the HSN Code from the list",IF(AND(E240&lt;&gt;"",COUNTIFS($C$3:$C$1002,C240,$E$3:$E$1002,E240,$F$3:$F$1002,"&lt;&gt;"&amp;F240)+COUNTIFS($C$3:$C$1002,C240,$E$3:$E$1002,E240,$G$3:$G$1002,"&lt;&gt;"&amp;G240)&gt;0),"Design "&amp;E240&amp;" has another Product Type or Category on another row",IF(COUNTIFS($F$3:$F$1002,F240,$G$3:$G$1002,G240,$H$3:$H$1002,"&lt;&gt;"&amp;H240)&gt;0,F240&amp;" + "&amp;G240&amp;" has another HSN Code on another row",IF(AND(V240&lt;&gt;"",U240=""),"Received Qty needs the Vendor Invoice No",IF(AND(U240&lt;&gt;"",COUNTIFS(Bills!$B$3:$B$302,U240,Bills!$C$3:$C$302,C240)=0),"Add bill "&amp;U240&amp;" of "&amp;C240&amp;" on the Bills sheet",IF(S240&lt;R240,"MRP is below the Purchase Rate","OK")))))))))</f>
        <v/>
      </c>
      <c r="B240" s="29"/>
      <c r="C240" s="22"/>
      <c r="D240" s="22"/>
      <c r="E240" s="24"/>
      <c r="F240" s="22"/>
      <c r="G240" s="22"/>
      <c r="H240" s="22"/>
      <c r="I240" s="30" t="str">
        <f>IF(H240="","",IFERROR(INDEX(Codes!$B$2:$B$13,MATCH(H240,Codes!$A$2:$A$13,0)),""))</f>
        <v/>
      </c>
      <c r="J240" s="23"/>
      <c r="K240" s="23"/>
      <c r="L240" s="23"/>
      <c r="M240" s="23"/>
      <c r="N240" s="23"/>
      <c r="O240" s="23"/>
      <c r="P240" s="23"/>
      <c r="Q240" s="31"/>
      <c r="R240" s="32"/>
      <c r="S240" s="32"/>
      <c r="T240" s="33" t="str">
        <f t="shared" si="6"/>
        <v/>
      </c>
      <c r="U240" s="34"/>
      <c r="V240" s="35"/>
      <c r="W240" s="33" t="str">
        <f t="shared" si="7"/>
        <v/>
      </c>
    </row>
    <row r="241" spans="1:23" x14ac:dyDescent="0.35">
      <c r="A241" s="21" t="str">
        <f>IF(COUNTA(B241:H241,J241:S241,U241:V241)=0,"",IF((IF(B241="","PO Ref, ","")&amp;IF(C241="","Vendor, ","")&amp;IF(D241="","Store, ","")&amp;IF(F241="","Product Type, ","")&amp;IF(G241="","Category, ","")&amp;IF(H241="","HSN Code, ","")&amp;IF(Q241="","Qty, ","")&amp;IF(R241="","Purchase Rate, ","")&amp;IF(S241="","MRP, ",""))&lt;&gt;"","Missing: "&amp;LEFT(IF(B241="","PO Ref, ","")&amp;IF(C241="","Vendor, ","")&amp;IF(D241="","Store, ","")&amp;IF(F241="","Product Type, ","")&amp;IF(G241="","Category, ","")&amp;IF(H241="","HSN Code, ","")&amp;IF(Q241="","Qty, ","")&amp;IF(R241="","Purchase Rate, ","")&amp;IF(S241="","MRP, ",""),LEN(IF(B241="","PO Ref, ","")&amp;IF(C241="","Vendor, ","")&amp;IF(D241="","Store, ","")&amp;IF(F241="","Product Type, ","")&amp;IF(G241="","Category, ","")&amp;IF(H241="","HSN Code, ","")&amp;IF(Q241="","Qty, ","")&amp;IF(R241="","Purchase Rate, ","")&amp;IF(S241="","MRP, ",""))-2),IF(COUNTIF(Vendors!$B$3:$B$202,C241)=0,"Add vendor "&amp;C241&amp;" on the Vendors sheet",IF(ISNA(MATCH(H241,Codes!$A$2:$A$13,0)),"Pick the HSN Code from the list",IF(AND(E241&lt;&gt;"",COUNTIFS($C$3:$C$1002,C241,$E$3:$E$1002,E241,$F$3:$F$1002,"&lt;&gt;"&amp;F241)+COUNTIFS($C$3:$C$1002,C241,$E$3:$E$1002,E241,$G$3:$G$1002,"&lt;&gt;"&amp;G241)&gt;0),"Design "&amp;E241&amp;" has another Product Type or Category on another row",IF(COUNTIFS($F$3:$F$1002,F241,$G$3:$G$1002,G241,$H$3:$H$1002,"&lt;&gt;"&amp;H241)&gt;0,F241&amp;" + "&amp;G241&amp;" has another HSN Code on another row",IF(AND(V241&lt;&gt;"",U241=""),"Received Qty needs the Vendor Invoice No",IF(AND(U241&lt;&gt;"",COUNTIFS(Bills!$B$3:$B$302,U241,Bills!$C$3:$C$302,C241)=0),"Add bill "&amp;U241&amp;" of "&amp;C241&amp;" on the Bills sheet",IF(S241&lt;R241,"MRP is below the Purchase Rate","OK")))))))))</f>
        <v/>
      </c>
      <c r="B241" s="29"/>
      <c r="C241" s="22"/>
      <c r="D241" s="22"/>
      <c r="E241" s="24"/>
      <c r="F241" s="22"/>
      <c r="G241" s="22"/>
      <c r="H241" s="22"/>
      <c r="I241" s="30" t="str">
        <f>IF(H241="","",IFERROR(INDEX(Codes!$B$2:$B$13,MATCH(H241,Codes!$A$2:$A$13,0)),""))</f>
        <v/>
      </c>
      <c r="J241" s="23"/>
      <c r="K241" s="23"/>
      <c r="L241" s="23"/>
      <c r="M241" s="23"/>
      <c r="N241" s="23"/>
      <c r="O241" s="23"/>
      <c r="P241" s="23"/>
      <c r="Q241" s="31"/>
      <c r="R241" s="32"/>
      <c r="S241" s="32"/>
      <c r="T241" s="33" t="str">
        <f t="shared" si="6"/>
        <v/>
      </c>
      <c r="U241" s="34"/>
      <c r="V241" s="35"/>
      <c r="W241" s="33" t="str">
        <f t="shared" si="7"/>
        <v/>
      </c>
    </row>
    <row r="242" spans="1:23" x14ac:dyDescent="0.35">
      <c r="A242" s="21" t="str">
        <f>IF(COUNTA(B242:H242,J242:S242,U242:V242)=0,"",IF((IF(B242="","PO Ref, ","")&amp;IF(C242="","Vendor, ","")&amp;IF(D242="","Store, ","")&amp;IF(F242="","Product Type, ","")&amp;IF(G242="","Category, ","")&amp;IF(H242="","HSN Code, ","")&amp;IF(Q242="","Qty, ","")&amp;IF(R242="","Purchase Rate, ","")&amp;IF(S242="","MRP, ",""))&lt;&gt;"","Missing: "&amp;LEFT(IF(B242="","PO Ref, ","")&amp;IF(C242="","Vendor, ","")&amp;IF(D242="","Store, ","")&amp;IF(F242="","Product Type, ","")&amp;IF(G242="","Category, ","")&amp;IF(H242="","HSN Code, ","")&amp;IF(Q242="","Qty, ","")&amp;IF(R242="","Purchase Rate, ","")&amp;IF(S242="","MRP, ",""),LEN(IF(B242="","PO Ref, ","")&amp;IF(C242="","Vendor, ","")&amp;IF(D242="","Store, ","")&amp;IF(F242="","Product Type, ","")&amp;IF(G242="","Category, ","")&amp;IF(H242="","HSN Code, ","")&amp;IF(Q242="","Qty, ","")&amp;IF(R242="","Purchase Rate, ","")&amp;IF(S242="","MRP, ",""))-2),IF(COUNTIF(Vendors!$B$3:$B$202,C242)=0,"Add vendor "&amp;C242&amp;" on the Vendors sheet",IF(ISNA(MATCH(H242,Codes!$A$2:$A$13,0)),"Pick the HSN Code from the list",IF(AND(E242&lt;&gt;"",COUNTIFS($C$3:$C$1002,C242,$E$3:$E$1002,E242,$F$3:$F$1002,"&lt;&gt;"&amp;F242)+COUNTIFS($C$3:$C$1002,C242,$E$3:$E$1002,E242,$G$3:$G$1002,"&lt;&gt;"&amp;G242)&gt;0),"Design "&amp;E242&amp;" has another Product Type or Category on another row",IF(COUNTIFS($F$3:$F$1002,F242,$G$3:$G$1002,G242,$H$3:$H$1002,"&lt;&gt;"&amp;H242)&gt;0,F242&amp;" + "&amp;G242&amp;" has another HSN Code on another row",IF(AND(V242&lt;&gt;"",U242=""),"Received Qty needs the Vendor Invoice No",IF(AND(U242&lt;&gt;"",COUNTIFS(Bills!$B$3:$B$302,U242,Bills!$C$3:$C$302,C242)=0),"Add bill "&amp;U242&amp;" of "&amp;C242&amp;" on the Bills sheet",IF(S242&lt;R242,"MRP is below the Purchase Rate","OK")))))))))</f>
        <v/>
      </c>
      <c r="B242" s="29"/>
      <c r="C242" s="22"/>
      <c r="D242" s="22"/>
      <c r="E242" s="24"/>
      <c r="F242" s="22"/>
      <c r="G242" s="22"/>
      <c r="H242" s="22"/>
      <c r="I242" s="30" t="str">
        <f>IF(H242="","",IFERROR(INDEX(Codes!$B$2:$B$13,MATCH(H242,Codes!$A$2:$A$13,0)),""))</f>
        <v/>
      </c>
      <c r="J242" s="23"/>
      <c r="K242" s="23"/>
      <c r="L242" s="23"/>
      <c r="M242" s="23"/>
      <c r="N242" s="23"/>
      <c r="O242" s="23"/>
      <c r="P242" s="23"/>
      <c r="Q242" s="31"/>
      <c r="R242" s="32"/>
      <c r="S242" s="32"/>
      <c r="T242" s="33" t="str">
        <f t="shared" si="6"/>
        <v/>
      </c>
      <c r="U242" s="34"/>
      <c r="V242" s="35"/>
      <c r="W242" s="33" t="str">
        <f t="shared" si="7"/>
        <v/>
      </c>
    </row>
    <row r="243" spans="1:23" x14ac:dyDescent="0.35">
      <c r="A243" s="21" t="str">
        <f>IF(COUNTA(B243:H243,J243:S243,U243:V243)=0,"",IF((IF(B243="","PO Ref, ","")&amp;IF(C243="","Vendor, ","")&amp;IF(D243="","Store, ","")&amp;IF(F243="","Product Type, ","")&amp;IF(G243="","Category, ","")&amp;IF(H243="","HSN Code, ","")&amp;IF(Q243="","Qty, ","")&amp;IF(R243="","Purchase Rate, ","")&amp;IF(S243="","MRP, ",""))&lt;&gt;"","Missing: "&amp;LEFT(IF(B243="","PO Ref, ","")&amp;IF(C243="","Vendor, ","")&amp;IF(D243="","Store, ","")&amp;IF(F243="","Product Type, ","")&amp;IF(G243="","Category, ","")&amp;IF(H243="","HSN Code, ","")&amp;IF(Q243="","Qty, ","")&amp;IF(R243="","Purchase Rate, ","")&amp;IF(S243="","MRP, ",""),LEN(IF(B243="","PO Ref, ","")&amp;IF(C243="","Vendor, ","")&amp;IF(D243="","Store, ","")&amp;IF(F243="","Product Type, ","")&amp;IF(G243="","Category, ","")&amp;IF(H243="","HSN Code, ","")&amp;IF(Q243="","Qty, ","")&amp;IF(R243="","Purchase Rate, ","")&amp;IF(S243="","MRP, ",""))-2),IF(COUNTIF(Vendors!$B$3:$B$202,C243)=0,"Add vendor "&amp;C243&amp;" on the Vendors sheet",IF(ISNA(MATCH(H243,Codes!$A$2:$A$13,0)),"Pick the HSN Code from the list",IF(AND(E243&lt;&gt;"",COUNTIFS($C$3:$C$1002,C243,$E$3:$E$1002,E243,$F$3:$F$1002,"&lt;&gt;"&amp;F243)+COUNTIFS($C$3:$C$1002,C243,$E$3:$E$1002,E243,$G$3:$G$1002,"&lt;&gt;"&amp;G243)&gt;0),"Design "&amp;E243&amp;" has another Product Type or Category on another row",IF(COUNTIFS($F$3:$F$1002,F243,$G$3:$G$1002,G243,$H$3:$H$1002,"&lt;&gt;"&amp;H243)&gt;0,F243&amp;" + "&amp;G243&amp;" has another HSN Code on another row",IF(AND(V243&lt;&gt;"",U243=""),"Received Qty needs the Vendor Invoice No",IF(AND(U243&lt;&gt;"",COUNTIFS(Bills!$B$3:$B$302,U243,Bills!$C$3:$C$302,C243)=0),"Add bill "&amp;U243&amp;" of "&amp;C243&amp;" on the Bills sheet",IF(S243&lt;R243,"MRP is below the Purchase Rate","OK")))))))))</f>
        <v/>
      </c>
      <c r="B243" s="29"/>
      <c r="C243" s="22"/>
      <c r="D243" s="22"/>
      <c r="E243" s="24"/>
      <c r="F243" s="22"/>
      <c r="G243" s="22"/>
      <c r="H243" s="22"/>
      <c r="I243" s="30" t="str">
        <f>IF(H243="","",IFERROR(INDEX(Codes!$B$2:$B$13,MATCH(H243,Codes!$A$2:$A$13,0)),""))</f>
        <v/>
      </c>
      <c r="J243" s="23"/>
      <c r="K243" s="23"/>
      <c r="L243" s="23"/>
      <c r="M243" s="23"/>
      <c r="N243" s="23"/>
      <c r="O243" s="23"/>
      <c r="P243" s="23"/>
      <c r="Q243" s="31"/>
      <c r="R243" s="32"/>
      <c r="S243" s="32"/>
      <c r="T243" s="33" t="str">
        <f t="shared" si="6"/>
        <v/>
      </c>
      <c r="U243" s="34"/>
      <c r="V243" s="35"/>
      <c r="W243" s="33" t="str">
        <f t="shared" si="7"/>
        <v/>
      </c>
    </row>
    <row r="244" spans="1:23" x14ac:dyDescent="0.35">
      <c r="A244" s="21" t="str">
        <f>IF(COUNTA(B244:H244,J244:S244,U244:V244)=0,"",IF((IF(B244="","PO Ref, ","")&amp;IF(C244="","Vendor, ","")&amp;IF(D244="","Store, ","")&amp;IF(F244="","Product Type, ","")&amp;IF(G244="","Category, ","")&amp;IF(H244="","HSN Code, ","")&amp;IF(Q244="","Qty, ","")&amp;IF(R244="","Purchase Rate, ","")&amp;IF(S244="","MRP, ",""))&lt;&gt;"","Missing: "&amp;LEFT(IF(B244="","PO Ref, ","")&amp;IF(C244="","Vendor, ","")&amp;IF(D244="","Store, ","")&amp;IF(F244="","Product Type, ","")&amp;IF(G244="","Category, ","")&amp;IF(H244="","HSN Code, ","")&amp;IF(Q244="","Qty, ","")&amp;IF(R244="","Purchase Rate, ","")&amp;IF(S244="","MRP, ",""),LEN(IF(B244="","PO Ref, ","")&amp;IF(C244="","Vendor, ","")&amp;IF(D244="","Store, ","")&amp;IF(F244="","Product Type, ","")&amp;IF(G244="","Category, ","")&amp;IF(H244="","HSN Code, ","")&amp;IF(Q244="","Qty, ","")&amp;IF(R244="","Purchase Rate, ","")&amp;IF(S244="","MRP, ",""))-2),IF(COUNTIF(Vendors!$B$3:$B$202,C244)=0,"Add vendor "&amp;C244&amp;" on the Vendors sheet",IF(ISNA(MATCH(H244,Codes!$A$2:$A$13,0)),"Pick the HSN Code from the list",IF(AND(E244&lt;&gt;"",COUNTIFS($C$3:$C$1002,C244,$E$3:$E$1002,E244,$F$3:$F$1002,"&lt;&gt;"&amp;F244)+COUNTIFS($C$3:$C$1002,C244,$E$3:$E$1002,E244,$G$3:$G$1002,"&lt;&gt;"&amp;G244)&gt;0),"Design "&amp;E244&amp;" has another Product Type or Category on another row",IF(COUNTIFS($F$3:$F$1002,F244,$G$3:$G$1002,G244,$H$3:$H$1002,"&lt;&gt;"&amp;H244)&gt;0,F244&amp;" + "&amp;G244&amp;" has another HSN Code on another row",IF(AND(V244&lt;&gt;"",U244=""),"Received Qty needs the Vendor Invoice No",IF(AND(U244&lt;&gt;"",COUNTIFS(Bills!$B$3:$B$302,U244,Bills!$C$3:$C$302,C244)=0),"Add bill "&amp;U244&amp;" of "&amp;C244&amp;" on the Bills sheet",IF(S244&lt;R244,"MRP is below the Purchase Rate","OK")))))))))</f>
        <v/>
      </c>
      <c r="B244" s="29"/>
      <c r="C244" s="22"/>
      <c r="D244" s="22"/>
      <c r="E244" s="24"/>
      <c r="F244" s="22"/>
      <c r="G244" s="22"/>
      <c r="H244" s="22"/>
      <c r="I244" s="30" t="str">
        <f>IF(H244="","",IFERROR(INDEX(Codes!$B$2:$B$13,MATCH(H244,Codes!$A$2:$A$13,0)),""))</f>
        <v/>
      </c>
      <c r="J244" s="23"/>
      <c r="K244" s="23"/>
      <c r="L244" s="23"/>
      <c r="M244" s="23"/>
      <c r="N244" s="23"/>
      <c r="O244" s="23"/>
      <c r="P244" s="23"/>
      <c r="Q244" s="31"/>
      <c r="R244" s="32"/>
      <c r="S244" s="32"/>
      <c r="T244" s="33" t="str">
        <f t="shared" si="6"/>
        <v/>
      </c>
      <c r="U244" s="34"/>
      <c r="V244" s="35"/>
      <c r="W244" s="33" t="str">
        <f t="shared" si="7"/>
        <v/>
      </c>
    </row>
    <row r="245" spans="1:23" x14ac:dyDescent="0.35">
      <c r="A245" s="21" t="str">
        <f>IF(COUNTA(B245:H245,J245:S245,U245:V245)=0,"",IF((IF(B245="","PO Ref, ","")&amp;IF(C245="","Vendor, ","")&amp;IF(D245="","Store, ","")&amp;IF(F245="","Product Type, ","")&amp;IF(G245="","Category, ","")&amp;IF(H245="","HSN Code, ","")&amp;IF(Q245="","Qty, ","")&amp;IF(R245="","Purchase Rate, ","")&amp;IF(S245="","MRP, ",""))&lt;&gt;"","Missing: "&amp;LEFT(IF(B245="","PO Ref, ","")&amp;IF(C245="","Vendor, ","")&amp;IF(D245="","Store, ","")&amp;IF(F245="","Product Type, ","")&amp;IF(G245="","Category, ","")&amp;IF(H245="","HSN Code, ","")&amp;IF(Q245="","Qty, ","")&amp;IF(R245="","Purchase Rate, ","")&amp;IF(S245="","MRP, ",""),LEN(IF(B245="","PO Ref, ","")&amp;IF(C245="","Vendor, ","")&amp;IF(D245="","Store, ","")&amp;IF(F245="","Product Type, ","")&amp;IF(G245="","Category, ","")&amp;IF(H245="","HSN Code, ","")&amp;IF(Q245="","Qty, ","")&amp;IF(R245="","Purchase Rate, ","")&amp;IF(S245="","MRP, ",""))-2),IF(COUNTIF(Vendors!$B$3:$B$202,C245)=0,"Add vendor "&amp;C245&amp;" on the Vendors sheet",IF(ISNA(MATCH(H245,Codes!$A$2:$A$13,0)),"Pick the HSN Code from the list",IF(AND(E245&lt;&gt;"",COUNTIFS($C$3:$C$1002,C245,$E$3:$E$1002,E245,$F$3:$F$1002,"&lt;&gt;"&amp;F245)+COUNTIFS($C$3:$C$1002,C245,$E$3:$E$1002,E245,$G$3:$G$1002,"&lt;&gt;"&amp;G245)&gt;0),"Design "&amp;E245&amp;" has another Product Type or Category on another row",IF(COUNTIFS($F$3:$F$1002,F245,$G$3:$G$1002,G245,$H$3:$H$1002,"&lt;&gt;"&amp;H245)&gt;0,F245&amp;" + "&amp;G245&amp;" has another HSN Code on another row",IF(AND(V245&lt;&gt;"",U245=""),"Received Qty needs the Vendor Invoice No",IF(AND(U245&lt;&gt;"",COUNTIFS(Bills!$B$3:$B$302,U245,Bills!$C$3:$C$302,C245)=0),"Add bill "&amp;U245&amp;" of "&amp;C245&amp;" on the Bills sheet",IF(S245&lt;R245,"MRP is below the Purchase Rate","OK")))))))))</f>
        <v/>
      </c>
      <c r="B245" s="29"/>
      <c r="C245" s="22"/>
      <c r="D245" s="22"/>
      <c r="E245" s="24"/>
      <c r="F245" s="22"/>
      <c r="G245" s="22"/>
      <c r="H245" s="22"/>
      <c r="I245" s="30" t="str">
        <f>IF(H245="","",IFERROR(INDEX(Codes!$B$2:$B$13,MATCH(H245,Codes!$A$2:$A$13,0)),""))</f>
        <v/>
      </c>
      <c r="J245" s="23"/>
      <c r="K245" s="23"/>
      <c r="L245" s="23"/>
      <c r="M245" s="23"/>
      <c r="N245" s="23"/>
      <c r="O245" s="23"/>
      <c r="P245" s="23"/>
      <c r="Q245" s="31"/>
      <c r="R245" s="32"/>
      <c r="S245" s="32"/>
      <c r="T245" s="33" t="str">
        <f t="shared" si="6"/>
        <v/>
      </c>
      <c r="U245" s="34"/>
      <c r="V245" s="35"/>
      <c r="W245" s="33" t="str">
        <f t="shared" si="7"/>
        <v/>
      </c>
    </row>
    <row r="246" spans="1:23" x14ac:dyDescent="0.35">
      <c r="A246" s="21" t="str">
        <f>IF(COUNTA(B246:H246,J246:S246,U246:V246)=0,"",IF((IF(B246="","PO Ref, ","")&amp;IF(C246="","Vendor, ","")&amp;IF(D246="","Store, ","")&amp;IF(F246="","Product Type, ","")&amp;IF(G246="","Category, ","")&amp;IF(H246="","HSN Code, ","")&amp;IF(Q246="","Qty, ","")&amp;IF(R246="","Purchase Rate, ","")&amp;IF(S246="","MRP, ",""))&lt;&gt;"","Missing: "&amp;LEFT(IF(B246="","PO Ref, ","")&amp;IF(C246="","Vendor, ","")&amp;IF(D246="","Store, ","")&amp;IF(F246="","Product Type, ","")&amp;IF(G246="","Category, ","")&amp;IF(H246="","HSN Code, ","")&amp;IF(Q246="","Qty, ","")&amp;IF(R246="","Purchase Rate, ","")&amp;IF(S246="","MRP, ",""),LEN(IF(B246="","PO Ref, ","")&amp;IF(C246="","Vendor, ","")&amp;IF(D246="","Store, ","")&amp;IF(F246="","Product Type, ","")&amp;IF(G246="","Category, ","")&amp;IF(H246="","HSN Code, ","")&amp;IF(Q246="","Qty, ","")&amp;IF(R246="","Purchase Rate, ","")&amp;IF(S246="","MRP, ",""))-2),IF(COUNTIF(Vendors!$B$3:$B$202,C246)=0,"Add vendor "&amp;C246&amp;" on the Vendors sheet",IF(ISNA(MATCH(H246,Codes!$A$2:$A$13,0)),"Pick the HSN Code from the list",IF(AND(E246&lt;&gt;"",COUNTIFS($C$3:$C$1002,C246,$E$3:$E$1002,E246,$F$3:$F$1002,"&lt;&gt;"&amp;F246)+COUNTIFS($C$3:$C$1002,C246,$E$3:$E$1002,E246,$G$3:$G$1002,"&lt;&gt;"&amp;G246)&gt;0),"Design "&amp;E246&amp;" has another Product Type or Category on another row",IF(COUNTIFS($F$3:$F$1002,F246,$G$3:$G$1002,G246,$H$3:$H$1002,"&lt;&gt;"&amp;H246)&gt;0,F246&amp;" + "&amp;G246&amp;" has another HSN Code on another row",IF(AND(V246&lt;&gt;"",U246=""),"Received Qty needs the Vendor Invoice No",IF(AND(U246&lt;&gt;"",COUNTIFS(Bills!$B$3:$B$302,U246,Bills!$C$3:$C$302,C246)=0),"Add bill "&amp;U246&amp;" of "&amp;C246&amp;" on the Bills sheet",IF(S246&lt;R246,"MRP is below the Purchase Rate","OK")))))))))</f>
        <v/>
      </c>
      <c r="B246" s="29"/>
      <c r="C246" s="22"/>
      <c r="D246" s="22"/>
      <c r="E246" s="24"/>
      <c r="F246" s="22"/>
      <c r="G246" s="22"/>
      <c r="H246" s="22"/>
      <c r="I246" s="30" t="str">
        <f>IF(H246="","",IFERROR(INDEX(Codes!$B$2:$B$13,MATCH(H246,Codes!$A$2:$A$13,0)),""))</f>
        <v/>
      </c>
      <c r="J246" s="23"/>
      <c r="K246" s="23"/>
      <c r="L246" s="23"/>
      <c r="M246" s="23"/>
      <c r="N246" s="23"/>
      <c r="O246" s="23"/>
      <c r="P246" s="23"/>
      <c r="Q246" s="31"/>
      <c r="R246" s="32"/>
      <c r="S246" s="32"/>
      <c r="T246" s="33" t="str">
        <f t="shared" si="6"/>
        <v/>
      </c>
      <c r="U246" s="34"/>
      <c r="V246" s="35"/>
      <c r="W246" s="33" t="str">
        <f t="shared" si="7"/>
        <v/>
      </c>
    </row>
    <row r="247" spans="1:23" x14ac:dyDescent="0.35">
      <c r="A247" s="21" t="str">
        <f>IF(COUNTA(B247:H247,J247:S247,U247:V247)=0,"",IF((IF(B247="","PO Ref, ","")&amp;IF(C247="","Vendor, ","")&amp;IF(D247="","Store, ","")&amp;IF(F247="","Product Type, ","")&amp;IF(G247="","Category, ","")&amp;IF(H247="","HSN Code, ","")&amp;IF(Q247="","Qty, ","")&amp;IF(R247="","Purchase Rate, ","")&amp;IF(S247="","MRP, ",""))&lt;&gt;"","Missing: "&amp;LEFT(IF(B247="","PO Ref, ","")&amp;IF(C247="","Vendor, ","")&amp;IF(D247="","Store, ","")&amp;IF(F247="","Product Type, ","")&amp;IF(G247="","Category, ","")&amp;IF(H247="","HSN Code, ","")&amp;IF(Q247="","Qty, ","")&amp;IF(R247="","Purchase Rate, ","")&amp;IF(S247="","MRP, ",""),LEN(IF(B247="","PO Ref, ","")&amp;IF(C247="","Vendor, ","")&amp;IF(D247="","Store, ","")&amp;IF(F247="","Product Type, ","")&amp;IF(G247="","Category, ","")&amp;IF(H247="","HSN Code, ","")&amp;IF(Q247="","Qty, ","")&amp;IF(R247="","Purchase Rate, ","")&amp;IF(S247="","MRP, ",""))-2),IF(COUNTIF(Vendors!$B$3:$B$202,C247)=0,"Add vendor "&amp;C247&amp;" on the Vendors sheet",IF(ISNA(MATCH(H247,Codes!$A$2:$A$13,0)),"Pick the HSN Code from the list",IF(AND(E247&lt;&gt;"",COUNTIFS($C$3:$C$1002,C247,$E$3:$E$1002,E247,$F$3:$F$1002,"&lt;&gt;"&amp;F247)+COUNTIFS($C$3:$C$1002,C247,$E$3:$E$1002,E247,$G$3:$G$1002,"&lt;&gt;"&amp;G247)&gt;0),"Design "&amp;E247&amp;" has another Product Type or Category on another row",IF(COUNTIFS($F$3:$F$1002,F247,$G$3:$G$1002,G247,$H$3:$H$1002,"&lt;&gt;"&amp;H247)&gt;0,F247&amp;" + "&amp;G247&amp;" has another HSN Code on another row",IF(AND(V247&lt;&gt;"",U247=""),"Received Qty needs the Vendor Invoice No",IF(AND(U247&lt;&gt;"",COUNTIFS(Bills!$B$3:$B$302,U247,Bills!$C$3:$C$302,C247)=0),"Add bill "&amp;U247&amp;" of "&amp;C247&amp;" on the Bills sheet",IF(S247&lt;R247,"MRP is below the Purchase Rate","OK")))))))))</f>
        <v/>
      </c>
      <c r="B247" s="29"/>
      <c r="C247" s="22"/>
      <c r="D247" s="22"/>
      <c r="E247" s="24"/>
      <c r="F247" s="22"/>
      <c r="G247" s="22"/>
      <c r="H247" s="22"/>
      <c r="I247" s="30" t="str">
        <f>IF(H247="","",IFERROR(INDEX(Codes!$B$2:$B$13,MATCH(H247,Codes!$A$2:$A$13,0)),""))</f>
        <v/>
      </c>
      <c r="J247" s="23"/>
      <c r="K247" s="23"/>
      <c r="L247" s="23"/>
      <c r="M247" s="23"/>
      <c r="N247" s="23"/>
      <c r="O247" s="23"/>
      <c r="P247" s="23"/>
      <c r="Q247" s="31"/>
      <c r="R247" s="32"/>
      <c r="S247" s="32"/>
      <c r="T247" s="33" t="str">
        <f t="shared" si="6"/>
        <v/>
      </c>
      <c r="U247" s="34"/>
      <c r="V247" s="35"/>
      <c r="W247" s="33" t="str">
        <f t="shared" si="7"/>
        <v/>
      </c>
    </row>
    <row r="248" spans="1:23" x14ac:dyDescent="0.35">
      <c r="A248" s="21" t="str">
        <f>IF(COUNTA(B248:H248,J248:S248,U248:V248)=0,"",IF((IF(B248="","PO Ref, ","")&amp;IF(C248="","Vendor, ","")&amp;IF(D248="","Store, ","")&amp;IF(F248="","Product Type, ","")&amp;IF(G248="","Category, ","")&amp;IF(H248="","HSN Code, ","")&amp;IF(Q248="","Qty, ","")&amp;IF(R248="","Purchase Rate, ","")&amp;IF(S248="","MRP, ",""))&lt;&gt;"","Missing: "&amp;LEFT(IF(B248="","PO Ref, ","")&amp;IF(C248="","Vendor, ","")&amp;IF(D248="","Store, ","")&amp;IF(F248="","Product Type, ","")&amp;IF(G248="","Category, ","")&amp;IF(H248="","HSN Code, ","")&amp;IF(Q248="","Qty, ","")&amp;IF(R248="","Purchase Rate, ","")&amp;IF(S248="","MRP, ",""),LEN(IF(B248="","PO Ref, ","")&amp;IF(C248="","Vendor, ","")&amp;IF(D248="","Store, ","")&amp;IF(F248="","Product Type, ","")&amp;IF(G248="","Category, ","")&amp;IF(H248="","HSN Code, ","")&amp;IF(Q248="","Qty, ","")&amp;IF(R248="","Purchase Rate, ","")&amp;IF(S248="","MRP, ",""))-2),IF(COUNTIF(Vendors!$B$3:$B$202,C248)=0,"Add vendor "&amp;C248&amp;" on the Vendors sheet",IF(ISNA(MATCH(H248,Codes!$A$2:$A$13,0)),"Pick the HSN Code from the list",IF(AND(E248&lt;&gt;"",COUNTIFS($C$3:$C$1002,C248,$E$3:$E$1002,E248,$F$3:$F$1002,"&lt;&gt;"&amp;F248)+COUNTIFS($C$3:$C$1002,C248,$E$3:$E$1002,E248,$G$3:$G$1002,"&lt;&gt;"&amp;G248)&gt;0),"Design "&amp;E248&amp;" has another Product Type or Category on another row",IF(COUNTIFS($F$3:$F$1002,F248,$G$3:$G$1002,G248,$H$3:$H$1002,"&lt;&gt;"&amp;H248)&gt;0,F248&amp;" + "&amp;G248&amp;" has another HSN Code on another row",IF(AND(V248&lt;&gt;"",U248=""),"Received Qty needs the Vendor Invoice No",IF(AND(U248&lt;&gt;"",COUNTIFS(Bills!$B$3:$B$302,U248,Bills!$C$3:$C$302,C248)=0),"Add bill "&amp;U248&amp;" of "&amp;C248&amp;" on the Bills sheet",IF(S248&lt;R248,"MRP is below the Purchase Rate","OK")))))))))</f>
        <v/>
      </c>
      <c r="B248" s="29"/>
      <c r="C248" s="22"/>
      <c r="D248" s="22"/>
      <c r="E248" s="24"/>
      <c r="F248" s="22"/>
      <c r="G248" s="22"/>
      <c r="H248" s="22"/>
      <c r="I248" s="30" t="str">
        <f>IF(H248="","",IFERROR(INDEX(Codes!$B$2:$B$13,MATCH(H248,Codes!$A$2:$A$13,0)),""))</f>
        <v/>
      </c>
      <c r="J248" s="23"/>
      <c r="K248" s="23"/>
      <c r="L248" s="23"/>
      <c r="M248" s="23"/>
      <c r="N248" s="23"/>
      <c r="O248" s="23"/>
      <c r="P248" s="23"/>
      <c r="Q248" s="31"/>
      <c r="R248" s="32"/>
      <c r="S248" s="32"/>
      <c r="T248" s="33" t="str">
        <f t="shared" si="6"/>
        <v/>
      </c>
      <c r="U248" s="34"/>
      <c r="V248" s="35"/>
      <c r="W248" s="33" t="str">
        <f t="shared" si="7"/>
        <v/>
      </c>
    </row>
    <row r="249" spans="1:23" x14ac:dyDescent="0.35">
      <c r="A249" s="21" t="str">
        <f>IF(COUNTA(B249:H249,J249:S249,U249:V249)=0,"",IF((IF(B249="","PO Ref, ","")&amp;IF(C249="","Vendor, ","")&amp;IF(D249="","Store, ","")&amp;IF(F249="","Product Type, ","")&amp;IF(G249="","Category, ","")&amp;IF(H249="","HSN Code, ","")&amp;IF(Q249="","Qty, ","")&amp;IF(R249="","Purchase Rate, ","")&amp;IF(S249="","MRP, ",""))&lt;&gt;"","Missing: "&amp;LEFT(IF(B249="","PO Ref, ","")&amp;IF(C249="","Vendor, ","")&amp;IF(D249="","Store, ","")&amp;IF(F249="","Product Type, ","")&amp;IF(G249="","Category, ","")&amp;IF(H249="","HSN Code, ","")&amp;IF(Q249="","Qty, ","")&amp;IF(R249="","Purchase Rate, ","")&amp;IF(S249="","MRP, ",""),LEN(IF(B249="","PO Ref, ","")&amp;IF(C249="","Vendor, ","")&amp;IF(D249="","Store, ","")&amp;IF(F249="","Product Type, ","")&amp;IF(G249="","Category, ","")&amp;IF(H249="","HSN Code, ","")&amp;IF(Q249="","Qty, ","")&amp;IF(R249="","Purchase Rate, ","")&amp;IF(S249="","MRP, ",""))-2),IF(COUNTIF(Vendors!$B$3:$B$202,C249)=0,"Add vendor "&amp;C249&amp;" on the Vendors sheet",IF(ISNA(MATCH(H249,Codes!$A$2:$A$13,0)),"Pick the HSN Code from the list",IF(AND(E249&lt;&gt;"",COUNTIFS($C$3:$C$1002,C249,$E$3:$E$1002,E249,$F$3:$F$1002,"&lt;&gt;"&amp;F249)+COUNTIFS($C$3:$C$1002,C249,$E$3:$E$1002,E249,$G$3:$G$1002,"&lt;&gt;"&amp;G249)&gt;0),"Design "&amp;E249&amp;" has another Product Type or Category on another row",IF(COUNTIFS($F$3:$F$1002,F249,$G$3:$G$1002,G249,$H$3:$H$1002,"&lt;&gt;"&amp;H249)&gt;0,F249&amp;" + "&amp;G249&amp;" has another HSN Code on another row",IF(AND(V249&lt;&gt;"",U249=""),"Received Qty needs the Vendor Invoice No",IF(AND(U249&lt;&gt;"",COUNTIFS(Bills!$B$3:$B$302,U249,Bills!$C$3:$C$302,C249)=0),"Add bill "&amp;U249&amp;" of "&amp;C249&amp;" on the Bills sheet",IF(S249&lt;R249,"MRP is below the Purchase Rate","OK")))))))))</f>
        <v/>
      </c>
      <c r="B249" s="29"/>
      <c r="C249" s="22"/>
      <c r="D249" s="22"/>
      <c r="E249" s="24"/>
      <c r="F249" s="22"/>
      <c r="G249" s="22"/>
      <c r="H249" s="22"/>
      <c r="I249" s="30" t="str">
        <f>IF(H249="","",IFERROR(INDEX(Codes!$B$2:$B$13,MATCH(H249,Codes!$A$2:$A$13,0)),""))</f>
        <v/>
      </c>
      <c r="J249" s="23"/>
      <c r="K249" s="23"/>
      <c r="L249" s="23"/>
      <c r="M249" s="23"/>
      <c r="N249" s="23"/>
      <c r="O249" s="23"/>
      <c r="P249" s="23"/>
      <c r="Q249" s="31"/>
      <c r="R249" s="32"/>
      <c r="S249" s="32"/>
      <c r="T249" s="33" t="str">
        <f t="shared" si="6"/>
        <v/>
      </c>
      <c r="U249" s="34"/>
      <c r="V249" s="35"/>
      <c r="W249" s="33" t="str">
        <f t="shared" si="7"/>
        <v/>
      </c>
    </row>
    <row r="250" spans="1:23" x14ac:dyDescent="0.35">
      <c r="A250" s="21" t="str">
        <f>IF(COUNTA(B250:H250,J250:S250,U250:V250)=0,"",IF((IF(B250="","PO Ref, ","")&amp;IF(C250="","Vendor, ","")&amp;IF(D250="","Store, ","")&amp;IF(F250="","Product Type, ","")&amp;IF(G250="","Category, ","")&amp;IF(H250="","HSN Code, ","")&amp;IF(Q250="","Qty, ","")&amp;IF(R250="","Purchase Rate, ","")&amp;IF(S250="","MRP, ",""))&lt;&gt;"","Missing: "&amp;LEFT(IF(B250="","PO Ref, ","")&amp;IF(C250="","Vendor, ","")&amp;IF(D250="","Store, ","")&amp;IF(F250="","Product Type, ","")&amp;IF(G250="","Category, ","")&amp;IF(H250="","HSN Code, ","")&amp;IF(Q250="","Qty, ","")&amp;IF(R250="","Purchase Rate, ","")&amp;IF(S250="","MRP, ",""),LEN(IF(B250="","PO Ref, ","")&amp;IF(C250="","Vendor, ","")&amp;IF(D250="","Store, ","")&amp;IF(F250="","Product Type, ","")&amp;IF(G250="","Category, ","")&amp;IF(H250="","HSN Code, ","")&amp;IF(Q250="","Qty, ","")&amp;IF(R250="","Purchase Rate, ","")&amp;IF(S250="","MRP, ",""))-2),IF(COUNTIF(Vendors!$B$3:$B$202,C250)=0,"Add vendor "&amp;C250&amp;" on the Vendors sheet",IF(ISNA(MATCH(H250,Codes!$A$2:$A$13,0)),"Pick the HSN Code from the list",IF(AND(E250&lt;&gt;"",COUNTIFS($C$3:$C$1002,C250,$E$3:$E$1002,E250,$F$3:$F$1002,"&lt;&gt;"&amp;F250)+COUNTIFS($C$3:$C$1002,C250,$E$3:$E$1002,E250,$G$3:$G$1002,"&lt;&gt;"&amp;G250)&gt;0),"Design "&amp;E250&amp;" has another Product Type or Category on another row",IF(COUNTIFS($F$3:$F$1002,F250,$G$3:$G$1002,G250,$H$3:$H$1002,"&lt;&gt;"&amp;H250)&gt;0,F250&amp;" + "&amp;G250&amp;" has another HSN Code on another row",IF(AND(V250&lt;&gt;"",U250=""),"Received Qty needs the Vendor Invoice No",IF(AND(U250&lt;&gt;"",COUNTIFS(Bills!$B$3:$B$302,U250,Bills!$C$3:$C$302,C250)=0),"Add bill "&amp;U250&amp;" of "&amp;C250&amp;" on the Bills sheet",IF(S250&lt;R250,"MRP is below the Purchase Rate","OK")))))))))</f>
        <v/>
      </c>
      <c r="B250" s="29"/>
      <c r="C250" s="22"/>
      <c r="D250" s="22"/>
      <c r="E250" s="24"/>
      <c r="F250" s="22"/>
      <c r="G250" s="22"/>
      <c r="H250" s="22"/>
      <c r="I250" s="30" t="str">
        <f>IF(H250="","",IFERROR(INDEX(Codes!$B$2:$B$13,MATCH(H250,Codes!$A$2:$A$13,0)),""))</f>
        <v/>
      </c>
      <c r="J250" s="23"/>
      <c r="K250" s="23"/>
      <c r="L250" s="23"/>
      <c r="M250" s="23"/>
      <c r="N250" s="23"/>
      <c r="O250" s="23"/>
      <c r="P250" s="23"/>
      <c r="Q250" s="31"/>
      <c r="R250" s="32"/>
      <c r="S250" s="32"/>
      <c r="T250" s="33" t="str">
        <f t="shared" si="6"/>
        <v/>
      </c>
      <c r="U250" s="34"/>
      <c r="V250" s="35"/>
      <c r="W250" s="33" t="str">
        <f t="shared" si="7"/>
        <v/>
      </c>
    </row>
    <row r="251" spans="1:23" x14ac:dyDescent="0.35">
      <c r="A251" s="21" t="str">
        <f>IF(COUNTA(B251:H251,J251:S251,U251:V251)=0,"",IF((IF(B251="","PO Ref, ","")&amp;IF(C251="","Vendor, ","")&amp;IF(D251="","Store, ","")&amp;IF(F251="","Product Type, ","")&amp;IF(G251="","Category, ","")&amp;IF(H251="","HSN Code, ","")&amp;IF(Q251="","Qty, ","")&amp;IF(R251="","Purchase Rate, ","")&amp;IF(S251="","MRP, ",""))&lt;&gt;"","Missing: "&amp;LEFT(IF(B251="","PO Ref, ","")&amp;IF(C251="","Vendor, ","")&amp;IF(D251="","Store, ","")&amp;IF(F251="","Product Type, ","")&amp;IF(G251="","Category, ","")&amp;IF(H251="","HSN Code, ","")&amp;IF(Q251="","Qty, ","")&amp;IF(R251="","Purchase Rate, ","")&amp;IF(S251="","MRP, ",""),LEN(IF(B251="","PO Ref, ","")&amp;IF(C251="","Vendor, ","")&amp;IF(D251="","Store, ","")&amp;IF(F251="","Product Type, ","")&amp;IF(G251="","Category, ","")&amp;IF(H251="","HSN Code, ","")&amp;IF(Q251="","Qty, ","")&amp;IF(R251="","Purchase Rate, ","")&amp;IF(S251="","MRP, ",""))-2),IF(COUNTIF(Vendors!$B$3:$B$202,C251)=0,"Add vendor "&amp;C251&amp;" on the Vendors sheet",IF(ISNA(MATCH(H251,Codes!$A$2:$A$13,0)),"Pick the HSN Code from the list",IF(AND(E251&lt;&gt;"",COUNTIFS($C$3:$C$1002,C251,$E$3:$E$1002,E251,$F$3:$F$1002,"&lt;&gt;"&amp;F251)+COUNTIFS($C$3:$C$1002,C251,$E$3:$E$1002,E251,$G$3:$G$1002,"&lt;&gt;"&amp;G251)&gt;0),"Design "&amp;E251&amp;" has another Product Type or Category on another row",IF(COUNTIFS($F$3:$F$1002,F251,$G$3:$G$1002,G251,$H$3:$H$1002,"&lt;&gt;"&amp;H251)&gt;0,F251&amp;" + "&amp;G251&amp;" has another HSN Code on another row",IF(AND(V251&lt;&gt;"",U251=""),"Received Qty needs the Vendor Invoice No",IF(AND(U251&lt;&gt;"",COUNTIFS(Bills!$B$3:$B$302,U251,Bills!$C$3:$C$302,C251)=0),"Add bill "&amp;U251&amp;" of "&amp;C251&amp;" on the Bills sheet",IF(S251&lt;R251,"MRP is below the Purchase Rate","OK")))))))))</f>
        <v/>
      </c>
      <c r="B251" s="29"/>
      <c r="C251" s="22"/>
      <c r="D251" s="22"/>
      <c r="E251" s="24"/>
      <c r="F251" s="22"/>
      <c r="G251" s="22"/>
      <c r="H251" s="22"/>
      <c r="I251" s="30" t="str">
        <f>IF(H251="","",IFERROR(INDEX(Codes!$B$2:$B$13,MATCH(H251,Codes!$A$2:$A$13,0)),""))</f>
        <v/>
      </c>
      <c r="J251" s="23"/>
      <c r="K251" s="23"/>
      <c r="L251" s="23"/>
      <c r="M251" s="23"/>
      <c r="N251" s="23"/>
      <c r="O251" s="23"/>
      <c r="P251" s="23"/>
      <c r="Q251" s="31"/>
      <c r="R251" s="32"/>
      <c r="S251" s="32"/>
      <c r="T251" s="33" t="str">
        <f t="shared" si="6"/>
        <v/>
      </c>
      <c r="U251" s="34"/>
      <c r="V251" s="35"/>
      <c r="W251" s="33" t="str">
        <f t="shared" si="7"/>
        <v/>
      </c>
    </row>
    <row r="252" spans="1:23" x14ac:dyDescent="0.35">
      <c r="A252" s="21" t="str">
        <f>IF(COUNTA(B252:H252,J252:S252,U252:V252)=0,"",IF((IF(B252="","PO Ref, ","")&amp;IF(C252="","Vendor, ","")&amp;IF(D252="","Store, ","")&amp;IF(F252="","Product Type, ","")&amp;IF(G252="","Category, ","")&amp;IF(H252="","HSN Code, ","")&amp;IF(Q252="","Qty, ","")&amp;IF(R252="","Purchase Rate, ","")&amp;IF(S252="","MRP, ",""))&lt;&gt;"","Missing: "&amp;LEFT(IF(B252="","PO Ref, ","")&amp;IF(C252="","Vendor, ","")&amp;IF(D252="","Store, ","")&amp;IF(F252="","Product Type, ","")&amp;IF(G252="","Category, ","")&amp;IF(H252="","HSN Code, ","")&amp;IF(Q252="","Qty, ","")&amp;IF(R252="","Purchase Rate, ","")&amp;IF(S252="","MRP, ",""),LEN(IF(B252="","PO Ref, ","")&amp;IF(C252="","Vendor, ","")&amp;IF(D252="","Store, ","")&amp;IF(F252="","Product Type, ","")&amp;IF(G252="","Category, ","")&amp;IF(H252="","HSN Code, ","")&amp;IF(Q252="","Qty, ","")&amp;IF(R252="","Purchase Rate, ","")&amp;IF(S252="","MRP, ",""))-2),IF(COUNTIF(Vendors!$B$3:$B$202,C252)=0,"Add vendor "&amp;C252&amp;" on the Vendors sheet",IF(ISNA(MATCH(H252,Codes!$A$2:$A$13,0)),"Pick the HSN Code from the list",IF(AND(E252&lt;&gt;"",COUNTIFS($C$3:$C$1002,C252,$E$3:$E$1002,E252,$F$3:$F$1002,"&lt;&gt;"&amp;F252)+COUNTIFS($C$3:$C$1002,C252,$E$3:$E$1002,E252,$G$3:$G$1002,"&lt;&gt;"&amp;G252)&gt;0),"Design "&amp;E252&amp;" has another Product Type or Category on another row",IF(COUNTIFS($F$3:$F$1002,F252,$G$3:$G$1002,G252,$H$3:$H$1002,"&lt;&gt;"&amp;H252)&gt;0,F252&amp;" + "&amp;G252&amp;" has another HSN Code on another row",IF(AND(V252&lt;&gt;"",U252=""),"Received Qty needs the Vendor Invoice No",IF(AND(U252&lt;&gt;"",COUNTIFS(Bills!$B$3:$B$302,U252,Bills!$C$3:$C$302,C252)=0),"Add bill "&amp;U252&amp;" of "&amp;C252&amp;" on the Bills sheet",IF(S252&lt;R252,"MRP is below the Purchase Rate","OK")))))))))</f>
        <v/>
      </c>
      <c r="B252" s="29"/>
      <c r="C252" s="22"/>
      <c r="D252" s="22"/>
      <c r="E252" s="24"/>
      <c r="F252" s="22"/>
      <c r="G252" s="22"/>
      <c r="H252" s="22"/>
      <c r="I252" s="30" t="str">
        <f>IF(H252="","",IFERROR(INDEX(Codes!$B$2:$B$13,MATCH(H252,Codes!$A$2:$A$13,0)),""))</f>
        <v/>
      </c>
      <c r="J252" s="23"/>
      <c r="K252" s="23"/>
      <c r="L252" s="23"/>
      <c r="M252" s="23"/>
      <c r="N252" s="23"/>
      <c r="O252" s="23"/>
      <c r="P252" s="23"/>
      <c r="Q252" s="31"/>
      <c r="R252" s="32"/>
      <c r="S252" s="32"/>
      <c r="T252" s="33" t="str">
        <f t="shared" si="6"/>
        <v/>
      </c>
      <c r="U252" s="34"/>
      <c r="V252" s="35"/>
      <c r="W252" s="33" t="str">
        <f t="shared" si="7"/>
        <v/>
      </c>
    </row>
    <row r="253" spans="1:23" x14ac:dyDescent="0.35">
      <c r="A253" s="21" t="str">
        <f>IF(COUNTA(B253:H253,J253:S253,U253:V253)=0,"",IF((IF(B253="","PO Ref, ","")&amp;IF(C253="","Vendor, ","")&amp;IF(D253="","Store, ","")&amp;IF(F253="","Product Type, ","")&amp;IF(G253="","Category, ","")&amp;IF(H253="","HSN Code, ","")&amp;IF(Q253="","Qty, ","")&amp;IF(R253="","Purchase Rate, ","")&amp;IF(S253="","MRP, ",""))&lt;&gt;"","Missing: "&amp;LEFT(IF(B253="","PO Ref, ","")&amp;IF(C253="","Vendor, ","")&amp;IF(D253="","Store, ","")&amp;IF(F253="","Product Type, ","")&amp;IF(G253="","Category, ","")&amp;IF(H253="","HSN Code, ","")&amp;IF(Q253="","Qty, ","")&amp;IF(R253="","Purchase Rate, ","")&amp;IF(S253="","MRP, ",""),LEN(IF(B253="","PO Ref, ","")&amp;IF(C253="","Vendor, ","")&amp;IF(D253="","Store, ","")&amp;IF(F253="","Product Type, ","")&amp;IF(G253="","Category, ","")&amp;IF(H253="","HSN Code, ","")&amp;IF(Q253="","Qty, ","")&amp;IF(R253="","Purchase Rate, ","")&amp;IF(S253="","MRP, ",""))-2),IF(COUNTIF(Vendors!$B$3:$B$202,C253)=0,"Add vendor "&amp;C253&amp;" on the Vendors sheet",IF(ISNA(MATCH(H253,Codes!$A$2:$A$13,0)),"Pick the HSN Code from the list",IF(AND(E253&lt;&gt;"",COUNTIFS($C$3:$C$1002,C253,$E$3:$E$1002,E253,$F$3:$F$1002,"&lt;&gt;"&amp;F253)+COUNTIFS($C$3:$C$1002,C253,$E$3:$E$1002,E253,$G$3:$G$1002,"&lt;&gt;"&amp;G253)&gt;0),"Design "&amp;E253&amp;" has another Product Type or Category on another row",IF(COUNTIFS($F$3:$F$1002,F253,$G$3:$G$1002,G253,$H$3:$H$1002,"&lt;&gt;"&amp;H253)&gt;0,F253&amp;" + "&amp;G253&amp;" has another HSN Code on another row",IF(AND(V253&lt;&gt;"",U253=""),"Received Qty needs the Vendor Invoice No",IF(AND(U253&lt;&gt;"",COUNTIFS(Bills!$B$3:$B$302,U253,Bills!$C$3:$C$302,C253)=0),"Add bill "&amp;U253&amp;" of "&amp;C253&amp;" on the Bills sheet",IF(S253&lt;R253,"MRP is below the Purchase Rate","OK")))))))))</f>
        <v/>
      </c>
      <c r="B253" s="29"/>
      <c r="C253" s="22"/>
      <c r="D253" s="22"/>
      <c r="E253" s="24"/>
      <c r="F253" s="22"/>
      <c r="G253" s="22"/>
      <c r="H253" s="22"/>
      <c r="I253" s="30" t="str">
        <f>IF(H253="","",IFERROR(INDEX(Codes!$B$2:$B$13,MATCH(H253,Codes!$A$2:$A$13,0)),""))</f>
        <v/>
      </c>
      <c r="J253" s="23"/>
      <c r="K253" s="23"/>
      <c r="L253" s="23"/>
      <c r="M253" s="23"/>
      <c r="N253" s="23"/>
      <c r="O253" s="23"/>
      <c r="P253" s="23"/>
      <c r="Q253" s="31"/>
      <c r="R253" s="32"/>
      <c r="S253" s="32"/>
      <c r="T253" s="33" t="str">
        <f t="shared" si="6"/>
        <v/>
      </c>
      <c r="U253" s="34"/>
      <c r="V253" s="35"/>
      <c r="W253" s="33" t="str">
        <f t="shared" si="7"/>
        <v/>
      </c>
    </row>
    <row r="254" spans="1:23" x14ac:dyDescent="0.35">
      <c r="A254" s="21" t="str">
        <f>IF(COUNTA(B254:H254,J254:S254,U254:V254)=0,"",IF((IF(B254="","PO Ref, ","")&amp;IF(C254="","Vendor, ","")&amp;IF(D254="","Store, ","")&amp;IF(F254="","Product Type, ","")&amp;IF(G254="","Category, ","")&amp;IF(H254="","HSN Code, ","")&amp;IF(Q254="","Qty, ","")&amp;IF(R254="","Purchase Rate, ","")&amp;IF(S254="","MRP, ",""))&lt;&gt;"","Missing: "&amp;LEFT(IF(B254="","PO Ref, ","")&amp;IF(C254="","Vendor, ","")&amp;IF(D254="","Store, ","")&amp;IF(F254="","Product Type, ","")&amp;IF(G254="","Category, ","")&amp;IF(H254="","HSN Code, ","")&amp;IF(Q254="","Qty, ","")&amp;IF(R254="","Purchase Rate, ","")&amp;IF(S254="","MRP, ",""),LEN(IF(B254="","PO Ref, ","")&amp;IF(C254="","Vendor, ","")&amp;IF(D254="","Store, ","")&amp;IF(F254="","Product Type, ","")&amp;IF(G254="","Category, ","")&amp;IF(H254="","HSN Code, ","")&amp;IF(Q254="","Qty, ","")&amp;IF(R254="","Purchase Rate, ","")&amp;IF(S254="","MRP, ",""))-2),IF(COUNTIF(Vendors!$B$3:$B$202,C254)=0,"Add vendor "&amp;C254&amp;" on the Vendors sheet",IF(ISNA(MATCH(H254,Codes!$A$2:$A$13,0)),"Pick the HSN Code from the list",IF(AND(E254&lt;&gt;"",COUNTIFS($C$3:$C$1002,C254,$E$3:$E$1002,E254,$F$3:$F$1002,"&lt;&gt;"&amp;F254)+COUNTIFS($C$3:$C$1002,C254,$E$3:$E$1002,E254,$G$3:$G$1002,"&lt;&gt;"&amp;G254)&gt;0),"Design "&amp;E254&amp;" has another Product Type or Category on another row",IF(COUNTIFS($F$3:$F$1002,F254,$G$3:$G$1002,G254,$H$3:$H$1002,"&lt;&gt;"&amp;H254)&gt;0,F254&amp;" + "&amp;G254&amp;" has another HSN Code on another row",IF(AND(V254&lt;&gt;"",U254=""),"Received Qty needs the Vendor Invoice No",IF(AND(U254&lt;&gt;"",COUNTIFS(Bills!$B$3:$B$302,U254,Bills!$C$3:$C$302,C254)=0),"Add bill "&amp;U254&amp;" of "&amp;C254&amp;" on the Bills sheet",IF(S254&lt;R254,"MRP is below the Purchase Rate","OK")))))))))</f>
        <v/>
      </c>
      <c r="B254" s="29"/>
      <c r="C254" s="22"/>
      <c r="D254" s="22"/>
      <c r="E254" s="24"/>
      <c r="F254" s="22"/>
      <c r="G254" s="22"/>
      <c r="H254" s="22"/>
      <c r="I254" s="30" t="str">
        <f>IF(H254="","",IFERROR(INDEX(Codes!$B$2:$B$13,MATCH(H254,Codes!$A$2:$A$13,0)),""))</f>
        <v/>
      </c>
      <c r="J254" s="23"/>
      <c r="K254" s="23"/>
      <c r="L254" s="23"/>
      <c r="M254" s="23"/>
      <c r="N254" s="23"/>
      <c r="O254" s="23"/>
      <c r="P254" s="23"/>
      <c r="Q254" s="31"/>
      <c r="R254" s="32"/>
      <c r="S254" s="32"/>
      <c r="T254" s="33" t="str">
        <f t="shared" si="6"/>
        <v/>
      </c>
      <c r="U254" s="34"/>
      <c r="V254" s="35"/>
      <c r="W254" s="33" t="str">
        <f t="shared" si="7"/>
        <v/>
      </c>
    </row>
    <row r="255" spans="1:23" x14ac:dyDescent="0.35">
      <c r="A255" s="21" t="str">
        <f>IF(COUNTA(B255:H255,J255:S255,U255:V255)=0,"",IF((IF(B255="","PO Ref, ","")&amp;IF(C255="","Vendor, ","")&amp;IF(D255="","Store, ","")&amp;IF(F255="","Product Type, ","")&amp;IF(G255="","Category, ","")&amp;IF(H255="","HSN Code, ","")&amp;IF(Q255="","Qty, ","")&amp;IF(R255="","Purchase Rate, ","")&amp;IF(S255="","MRP, ",""))&lt;&gt;"","Missing: "&amp;LEFT(IF(B255="","PO Ref, ","")&amp;IF(C255="","Vendor, ","")&amp;IF(D255="","Store, ","")&amp;IF(F255="","Product Type, ","")&amp;IF(G255="","Category, ","")&amp;IF(H255="","HSN Code, ","")&amp;IF(Q255="","Qty, ","")&amp;IF(R255="","Purchase Rate, ","")&amp;IF(S255="","MRP, ",""),LEN(IF(B255="","PO Ref, ","")&amp;IF(C255="","Vendor, ","")&amp;IF(D255="","Store, ","")&amp;IF(F255="","Product Type, ","")&amp;IF(G255="","Category, ","")&amp;IF(H255="","HSN Code, ","")&amp;IF(Q255="","Qty, ","")&amp;IF(R255="","Purchase Rate, ","")&amp;IF(S255="","MRP, ",""))-2),IF(COUNTIF(Vendors!$B$3:$B$202,C255)=0,"Add vendor "&amp;C255&amp;" on the Vendors sheet",IF(ISNA(MATCH(H255,Codes!$A$2:$A$13,0)),"Pick the HSN Code from the list",IF(AND(E255&lt;&gt;"",COUNTIFS($C$3:$C$1002,C255,$E$3:$E$1002,E255,$F$3:$F$1002,"&lt;&gt;"&amp;F255)+COUNTIFS($C$3:$C$1002,C255,$E$3:$E$1002,E255,$G$3:$G$1002,"&lt;&gt;"&amp;G255)&gt;0),"Design "&amp;E255&amp;" has another Product Type or Category on another row",IF(COUNTIFS($F$3:$F$1002,F255,$G$3:$G$1002,G255,$H$3:$H$1002,"&lt;&gt;"&amp;H255)&gt;0,F255&amp;" + "&amp;G255&amp;" has another HSN Code on another row",IF(AND(V255&lt;&gt;"",U255=""),"Received Qty needs the Vendor Invoice No",IF(AND(U255&lt;&gt;"",COUNTIFS(Bills!$B$3:$B$302,U255,Bills!$C$3:$C$302,C255)=0),"Add bill "&amp;U255&amp;" of "&amp;C255&amp;" on the Bills sheet",IF(S255&lt;R255,"MRP is below the Purchase Rate","OK")))))))))</f>
        <v/>
      </c>
      <c r="B255" s="29"/>
      <c r="C255" s="22"/>
      <c r="D255" s="22"/>
      <c r="E255" s="24"/>
      <c r="F255" s="22"/>
      <c r="G255" s="22"/>
      <c r="H255" s="22"/>
      <c r="I255" s="30" t="str">
        <f>IF(H255="","",IFERROR(INDEX(Codes!$B$2:$B$13,MATCH(H255,Codes!$A$2:$A$13,0)),""))</f>
        <v/>
      </c>
      <c r="J255" s="23"/>
      <c r="K255" s="23"/>
      <c r="L255" s="23"/>
      <c r="M255" s="23"/>
      <c r="N255" s="23"/>
      <c r="O255" s="23"/>
      <c r="P255" s="23"/>
      <c r="Q255" s="31"/>
      <c r="R255" s="32"/>
      <c r="S255" s="32"/>
      <c r="T255" s="33" t="str">
        <f t="shared" si="6"/>
        <v/>
      </c>
      <c r="U255" s="34"/>
      <c r="V255" s="35"/>
      <c r="W255" s="33" t="str">
        <f t="shared" si="7"/>
        <v/>
      </c>
    </row>
    <row r="256" spans="1:23" x14ac:dyDescent="0.35">
      <c r="A256" s="21" t="str">
        <f>IF(COUNTA(B256:H256,J256:S256,U256:V256)=0,"",IF((IF(B256="","PO Ref, ","")&amp;IF(C256="","Vendor, ","")&amp;IF(D256="","Store, ","")&amp;IF(F256="","Product Type, ","")&amp;IF(G256="","Category, ","")&amp;IF(H256="","HSN Code, ","")&amp;IF(Q256="","Qty, ","")&amp;IF(R256="","Purchase Rate, ","")&amp;IF(S256="","MRP, ",""))&lt;&gt;"","Missing: "&amp;LEFT(IF(B256="","PO Ref, ","")&amp;IF(C256="","Vendor, ","")&amp;IF(D256="","Store, ","")&amp;IF(F256="","Product Type, ","")&amp;IF(G256="","Category, ","")&amp;IF(H256="","HSN Code, ","")&amp;IF(Q256="","Qty, ","")&amp;IF(R256="","Purchase Rate, ","")&amp;IF(S256="","MRP, ",""),LEN(IF(B256="","PO Ref, ","")&amp;IF(C256="","Vendor, ","")&amp;IF(D256="","Store, ","")&amp;IF(F256="","Product Type, ","")&amp;IF(G256="","Category, ","")&amp;IF(H256="","HSN Code, ","")&amp;IF(Q256="","Qty, ","")&amp;IF(R256="","Purchase Rate, ","")&amp;IF(S256="","MRP, ",""))-2),IF(COUNTIF(Vendors!$B$3:$B$202,C256)=0,"Add vendor "&amp;C256&amp;" on the Vendors sheet",IF(ISNA(MATCH(H256,Codes!$A$2:$A$13,0)),"Pick the HSN Code from the list",IF(AND(E256&lt;&gt;"",COUNTIFS($C$3:$C$1002,C256,$E$3:$E$1002,E256,$F$3:$F$1002,"&lt;&gt;"&amp;F256)+COUNTIFS($C$3:$C$1002,C256,$E$3:$E$1002,E256,$G$3:$G$1002,"&lt;&gt;"&amp;G256)&gt;0),"Design "&amp;E256&amp;" has another Product Type or Category on another row",IF(COUNTIFS($F$3:$F$1002,F256,$G$3:$G$1002,G256,$H$3:$H$1002,"&lt;&gt;"&amp;H256)&gt;0,F256&amp;" + "&amp;G256&amp;" has another HSN Code on another row",IF(AND(V256&lt;&gt;"",U256=""),"Received Qty needs the Vendor Invoice No",IF(AND(U256&lt;&gt;"",COUNTIFS(Bills!$B$3:$B$302,U256,Bills!$C$3:$C$302,C256)=0),"Add bill "&amp;U256&amp;" of "&amp;C256&amp;" on the Bills sheet",IF(S256&lt;R256,"MRP is below the Purchase Rate","OK")))))))))</f>
        <v/>
      </c>
      <c r="B256" s="29"/>
      <c r="C256" s="22"/>
      <c r="D256" s="22"/>
      <c r="E256" s="24"/>
      <c r="F256" s="22"/>
      <c r="G256" s="22"/>
      <c r="H256" s="22"/>
      <c r="I256" s="30" t="str">
        <f>IF(H256="","",IFERROR(INDEX(Codes!$B$2:$B$13,MATCH(H256,Codes!$A$2:$A$13,0)),""))</f>
        <v/>
      </c>
      <c r="J256" s="23"/>
      <c r="K256" s="23"/>
      <c r="L256" s="23"/>
      <c r="M256" s="23"/>
      <c r="N256" s="23"/>
      <c r="O256" s="23"/>
      <c r="P256" s="23"/>
      <c r="Q256" s="31"/>
      <c r="R256" s="32"/>
      <c r="S256" s="32"/>
      <c r="T256" s="33" t="str">
        <f t="shared" si="6"/>
        <v/>
      </c>
      <c r="U256" s="34"/>
      <c r="V256" s="35"/>
      <c r="W256" s="33" t="str">
        <f t="shared" si="7"/>
        <v/>
      </c>
    </row>
    <row r="257" spans="1:23" x14ac:dyDescent="0.35">
      <c r="A257" s="21" t="str">
        <f>IF(COUNTA(B257:H257,J257:S257,U257:V257)=0,"",IF((IF(B257="","PO Ref, ","")&amp;IF(C257="","Vendor, ","")&amp;IF(D257="","Store, ","")&amp;IF(F257="","Product Type, ","")&amp;IF(G257="","Category, ","")&amp;IF(H257="","HSN Code, ","")&amp;IF(Q257="","Qty, ","")&amp;IF(R257="","Purchase Rate, ","")&amp;IF(S257="","MRP, ",""))&lt;&gt;"","Missing: "&amp;LEFT(IF(B257="","PO Ref, ","")&amp;IF(C257="","Vendor, ","")&amp;IF(D257="","Store, ","")&amp;IF(F257="","Product Type, ","")&amp;IF(G257="","Category, ","")&amp;IF(H257="","HSN Code, ","")&amp;IF(Q257="","Qty, ","")&amp;IF(R257="","Purchase Rate, ","")&amp;IF(S257="","MRP, ",""),LEN(IF(B257="","PO Ref, ","")&amp;IF(C257="","Vendor, ","")&amp;IF(D257="","Store, ","")&amp;IF(F257="","Product Type, ","")&amp;IF(G257="","Category, ","")&amp;IF(H257="","HSN Code, ","")&amp;IF(Q257="","Qty, ","")&amp;IF(R257="","Purchase Rate, ","")&amp;IF(S257="","MRP, ",""))-2),IF(COUNTIF(Vendors!$B$3:$B$202,C257)=0,"Add vendor "&amp;C257&amp;" on the Vendors sheet",IF(ISNA(MATCH(H257,Codes!$A$2:$A$13,0)),"Pick the HSN Code from the list",IF(AND(E257&lt;&gt;"",COUNTIFS($C$3:$C$1002,C257,$E$3:$E$1002,E257,$F$3:$F$1002,"&lt;&gt;"&amp;F257)+COUNTIFS($C$3:$C$1002,C257,$E$3:$E$1002,E257,$G$3:$G$1002,"&lt;&gt;"&amp;G257)&gt;0),"Design "&amp;E257&amp;" has another Product Type or Category on another row",IF(COUNTIFS($F$3:$F$1002,F257,$G$3:$G$1002,G257,$H$3:$H$1002,"&lt;&gt;"&amp;H257)&gt;0,F257&amp;" + "&amp;G257&amp;" has another HSN Code on another row",IF(AND(V257&lt;&gt;"",U257=""),"Received Qty needs the Vendor Invoice No",IF(AND(U257&lt;&gt;"",COUNTIFS(Bills!$B$3:$B$302,U257,Bills!$C$3:$C$302,C257)=0),"Add bill "&amp;U257&amp;" of "&amp;C257&amp;" on the Bills sheet",IF(S257&lt;R257,"MRP is below the Purchase Rate","OK")))))))))</f>
        <v/>
      </c>
      <c r="B257" s="29"/>
      <c r="C257" s="22"/>
      <c r="D257" s="22"/>
      <c r="E257" s="24"/>
      <c r="F257" s="22"/>
      <c r="G257" s="22"/>
      <c r="H257" s="22"/>
      <c r="I257" s="30" t="str">
        <f>IF(H257="","",IFERROR(INDEX(Codes!$B$2:$B$13,MATCH(H257,Codes!$A$2:$A$13,0)),""))</f>
        <v/>
      </c>
      <c r="J257" s="23"/>
      <c r="K257" s="23"/>
      <c r="L257" s="23"/>
      <c r="M257" s="23"/>
      <c r="N257" s="23"/>
      <c r="O257" s="23"/>
      <c r="P257" s="23"/>
      <c r="Q257" s="31"/>
      <c r="R257" s="32"/>
      <c r="S257" s="32"/>
      <c r="T257" s="33" t="str">
        <f t="shared" si="6"/>
        <v/>
      </c>
      <c r="U257" s="34"/>
      <c r="V257" s="35"/>
      <c r="W257" s="33" t="str">
        <f t="shared" si="7"/>
        <v/>
      </c>
    </row>
    <row r="258" spans="1:23" x14ac:dyDescent="0.35">
      <c r="A258" s="21" t="str">
        <f>IF(COUNTA(B258:H258,J258:S258,U258:V258)=0,"",IF((IF(B258="","PO Ref, ","")&amp;IF(C258="","Vendor, ","")&amp;IF(D258="","Store, ","")&amp;IF(F258="","Product Type, ","")&amp;IF(G258="","Category, ","")&amp;IF(H258="","HSN Code, ","")&amp;IF(Q258="","Qty, ","")&amp;IF(R258="","Purchase Rate, ","")&amp;IF(S258="","MRP, ",""))&lt;&gt;"","Missing: "&amp;LEFT(IF(B258="","PO Ref, ","")&amp;IF(C258="","Vendor, ","")&amp;IF(D258="","Store, ","")&amp;IF(F258="","Product Type, ","")&amp;IF(G258="","Category, ","")&amp;IF(H258="","HSN Code, ","")&amp;IF(Q258="","Qty, ","")&amp;IF(R258="","Purchase Rate, ","")&amp;IF(S258="","MRP, ",""),LEN(IF(B258="","PO Ref, ","")&amp;IF(C258="","Vendor, ","")&amp;IF(D258="","Store, ","")&amp;IF(F258="","Product Type, ","")&amp;IF(G258="","Category, ","")&amp;IF(H258="","HSN Code, ","")&amp;IF(Q258="","Qty, ","")&amp;IF(R258="","Purchase Rate, ","")&amp;IF(S258="","MRP, ",""))-2),IF(COUNTIF(Vendors!$B$3:$B$202,C258)=0,"Add vendor "&amp;C258&amp;" on the Vendors sheet",IF(ISNA(MATCH(H258,Codes!$A$2:$A$13,0)),"Pick the HSN Code from the list",IF(AND(E258&lt;&gt;"",COUNTIFS($C$3:$C$1002,C258,$E$3:$E$1002,E258,$F$3:$F$1002,"&lt;&gt;"&amp;F258)+COUNTIFS($C$3:$C$1002,C258,$E$3:$E$1002,E258,$G$3:$G$1002,"&lt;&gt;"&amp;G258)&gt;0),"Design "&amp;E258&amp;" has another Product Type or Category on another row",IF(COUNTIFS($F$3:$F$1002,F258,$G$3:$G$1002,G258,$H$3:$H$1002,"&lt;&gt;"&amp;H258)&gt;0,F258&amp;" + "&amp;G258&amp;" has another HSN Code on another row",IF(AND(V258&lt;&gt;"",U258=""),"Received Qty needs the Vendor Invoice No",IF(AND(U258&lt;&gt;"",COUNTIFS(Bills!$B$3:$B$302,U258,Bills!$C$3:$C$302,C258)=0),"Add bill "&amp;U258&amp;" of "&amp;C258&amp;" on the Bills sheet",IF(S258&lt;R258,"MRP is below the Purchase Rate","OK")))))))))</f>
        <v/>
      </c>
      <c r="B258" s="29"/>
      <c r="C258" s="22"/>
      <c r="D258" s="22"/>
      <c r="E258" s="24"/>
      <c r="F258" s="22"/>
      <c r="G258" s="22"/>
      <c r="H258" s="22"/>
      <c r="I258" s="30" t="str">
        <f>IF(H258="","",IFERROR(INDEX(Codes!$B$2:$B$13,MATCH(H258,Codes!$A$2:$A$13,0)),""))</f>
        <v/>
      </c>
      <c r="J258" s="23"/>
      <c r="K258" s="23"/>
      <c r="L258" s="23"/>
      <c r="M258" s="23"/>
      <c r="N258" s="23"/>
      <c r="O258" s="23"/>
      <c r="P258" s="23"/>
      <c r="Q258" s="31"/>
      <c r="R258" s="32"/>
      <c r="S258" s="32"/>
      <c r="T258" s="33" t="str">
        <f t="shared" si="6"/>
        <v/>
      </c>
      <c r="U258" s="34"/>
      <c r="V258" s="35"/>
      <c r="W258" s="33" t="str">
        <f t="shared" si="7"/>
        <v/>
      </c>
    </row>
    <row r="259" spans="1:23" x14ac:dyDescent="0.35">
      <c r="A259" s="21" t="str">
        <f>IF(COUNTA(B259:H259,J259:S259,U259:V259)=0,"",IF((IF(B259="","PO Ref, ","")&amp;IF(C259="","Vendor, ","")&amp;IF(D259="","Store, ","")&amp;IF(F259="","Product Type, ","")&amp;IF(G259="","Category, ","")&amp;IF(H259="","HSN Code, ","")&amp;IF(Q259="","Qty, ","")&amp;IF(R259="","Purchase Rate, ","")&amp;IF(S259="","MRP, ",""))&lt;&gt;"","Missing: "&amp;LEFT(IF(B259="","PO Ref, ","")&amp;IF(C259="","Vendor, ","")&amp;IF(D259="","Store, ","")&amp;IF(F259="","Product Type, ","")&amp;IF(G259="","Category, ","")&amp;IF(H259="","HSN Code, ","")&amp;IF(Q259="","Qty, ","")&amp;IF(R259="","Purchase Rate, ","")&amp;IF(S259="","MRP, ",""),LEN(IF(B259="","PO Ref, ","")&amp;IF(C259="","Vendor, ","")&amp;IF(D259="","Store, ","")&amp;IF(F259="","Product Type, ","")&amp;IF(G259="","Category, ","")&amp;IF(H259="","HSN Code, ","")&amp;IF(Q259="","Qty, ","")&amp;IF(R259="","Purchase Rate, ","")&amp;IF(S259="","MRP, ",""))-2),IF(COUNTIF(Vendors!$B$3:$B$202,C259)=0,"Add vendor "&amp;C259&amp;" on the Vendors sheet",IF(ISNA(MATCH(H259,Codes!$A$2:$A$13,0)),"Pick the HSN Code from the list",IF(AND(E259&lt;&gt;"",COUNTIFS($C$3:$C$1002,C259,$E$3:$E$1002,E259,$F$3:$F$1002,"&lt;&gt;"&amp;F259)+COUNTIFS($C$3:$C$1002,C259,$E$3:$E$1002,E259,$G$3:$G$1002,"&lt;&gt;"&amp;G259)&gt;0),"Design "&amp;E259&amp;" has another Product Type or Category on another row",IF(COUNTIFS($F$3:$F$1002,F259,$G$3:$G$1002,G259,$H$3:$H$1002,"&lt;&gt;"&amp;H259)&gt;0,F259&amp;" + "&amp;G259&amp;" has another HSN Code on another row",IF(AND(V259&lt;&gt;"",U259=""),"Received Qty needs the Vendor Invoice No",IF(AND(U259&lt;&gt;"",COUNTIFS(Bills!$B$3:$B$302,U259,Bills!$C$3:$C$302,C259)=0),"Add bill "&amp;U259&amp;" of "&amp;C259&amp;" on the Bills sheet",IF(S259&lt;R259,"MRP is below the Purchase Rate","OK")))))))))</f>
        <v/>
      </c>
      <c r="B259" s="29"/>
      <c r="C259" s="22"/>
      <c r="D259" s="22"/>
      <c r="E259" s="24"/>
      <c r="F259" s="22"/>
      <c r="G259" s="22"/>
      <c r="H259" s="22"/>
      <c r="I259" s="30" t="str">
        <f>IF(H259="","",IFERROR(INDEX(Codes!$B$2:$B$13,MATCH(H259,Codes!$A$2:$A$13,0)),""))</f>
        <v/>
      </c>
      <c r="J259" s="23"/>
      <c r="K259" s="23"/>
      <c r="L259" s="23"/>
      <c r="M259" s="23"/>
      <c r="N259" s="23"/>
      <c r="O259" s="23"/>
      <c r="P259" s="23"/>
      <c r="Q259" s="31"/>
      <c r="R259" s="32"/>
      <c r="S259" s="32"/>
      <c r="T259" s="33" t="str">
        <f t="shared" ref="T259:T322" si="8">IF(OR(Q259="",R259=""),"",Q259*R259)</f>
        <v/>
      </c>
      <c r="U259" s="34"/>
      <c r="V259" s="35"/>
      <c r="W259" s="33" t="str">
        <f t="shared" ref="W259:W322" si="9">IF(OR(U259="",R259=""),"",IF(V259="",Q259,V259)*R259)</f>
        <v/>
      </c>
    </row>
    <row r="260" spans="1:23" x14ac:dyDescent="0.35">
      <c r="A260" s="21" t="str">
        <f>IF(COUNTA(B260:H260,J260:S260,U260:V260)=0,"",IF((IF(B260="","PO Ref, ","")&amp;IF(C260="","Vendor, ","")&amp;IF(D260="","Store, ","")&amp;IF(F260="","Product Type, ","")&amp;IF(G260="","Category, ","")&amp;IF(H260="","HSN Code, ","")&amp;IF(Q260="","Qty, ","")&amp;IF(R260="","Purchase Rate, ","")&amp;IF(S260="","MRP, ",""))&lt;&gt;"","Missing: "&amp;LEFT(IF(B260="","PO Ref, ","")&amp;IF(C260="","Vendor, ","")&amp;IF(D260="","Store, ","")&amp;IF(F260="","Product Type, ","")&amp;IF(G260="","Category, ","")&amp;IF(H260="","HSN Code, ","")&amp;IF(Q260="","Qty, ","")&amp;IF(R260="","Purchase Rate, ","")&amp;IF(S260="","MRP, ",""),LEN(IF(B260="","PO Ref, ","")&amp;IF(C260="","Vendor, ","")&amp;IF(D260="","Store, ","")&amp;IF(F260="","Product Type, ","")&amp;IF(G260="","Category, ","")&amp;IF(H260="","HSN Code, ","")&amp;IF(Q260="","Qty, ","")&amp;IF(R260="","Purchase Rate, ","")&amp;IF(S260="","MRP, ",""))-2),IF(COUNTIF(Vendors!$B$3:$B$202,C260)=0,"Add vendor "&amp;C260&amp;" on the Vendors sheet",IF(ISNA(MATCH(H260,Codes!$A$2:$A$13,0)),"Pick the HSN Code from the list",IF(AND(E260&lt;&gt;"",COUNTIFS($C$3:$C$1002,C260,$E$3:$E$1002,E260,$F$3:$F$1002,"&lt;&gt;"&amp;F260)+COUNTIFS($C$3:$C$1002,C260,$E$3:$E$1002,E260,$G$3:$G$1002,"&lt;&gt;"&amp;G260)&gt;0),"Design "&amp;E260&amp;" has another Product Type or Category on another row",IF(COUNTIFS($F$3:$F$1002,F260,$G$3:$G$1002,G260,$H$3:$H$1002,"&lt;&gt;"&amp;H260)&gt;0,F260&amp;" + "&amp;G260&amp;" has another HSN Code on another row",IF(AND(V260&lt;&gt;"",U260=""),"Received Qty needs the Vendor Invoice No",IF(AND(U260&lt;&gt;"",COUNTIFS(Bills!$B$3:$B$302,U260,Bills!$C$3:$C$302,C260)=0),"Add bill "&amp;U260&amp;" of "&amp;C260&amp;" on the Bills sheet",IF(S260&lt;R260,"MRP is below the Purchase Rate","OK")))))))))</f>
        <v/>
      </c>
      <c r="B260" s="29"/>
      <c r="C260" s="22"/>
      <c r="D260" s="22"/>
      <c r="E260" s="24"/>
      <c r="F260" s="22"/>
      <c r="G260" s="22"/>
      <c r="H260" s="22"/>
      <c r="I260" s="30" t="str">
        <f>IF(H260="","",IFERROR(INDEX(Codes!$B$2:$B$13,MATCH(H260,Codes!$A$2:$A$13,0)),""))</f>
        <v/>
      </c>
      <c r="J260" s="23"/>
      <c r="K260" s="23"/>
      <c r="L260" s="23"/>
      <c r="M260" s="23"/>
      <c r="N260" s="23"/>
      <c r="O260" s="23"/>
      <c r="P260" s="23"/>
      <c r="Q260" s="31"/>
      <c r="R260" s="32"/>
      <c r="S260" s="32"/>
      <c r="T260" s="33" t="str">
        <f t="shared" si="8"/>
        <v/>
      </c>
      <c r="U260" s="34"/>
      <c r="V260" s="35"/>
      <c r="W260" s="33" t="str">
        <f t="shared" si="9"/>
        <v/>
      </c>
    </row>
    <row r="261" spans="1:23" x14ac:dyDescent="0.35">
      <c r="A261" s="21" t="str">
        <f>IF(COUNTA(B261:H261,J261:S261,U261:V261)=0,"",IF((IF(B261="","PO Ref, ","")&amp;IF(C261="","Vendor, ","")&amp;IF(D261="","Store, ","")&amp;IF(F261="","Product Type, ","")&amp;IF(G261="","Category, ","")&amp;IF(H261="","HSN Code, ","")&amp;IF(Q261="","Qty, ","")&amp;IF(R261="","Purchase Rate, ","")&amp;IF(S261="","MRP, ",""))&lt;&gt;"","Missing: "&amp;LEFT(IF(B261="","PO Ref, ","")&amp;IF(C261="","Vendor, ","")&amp;IF(D261="","Store, ","")&amp;IF(F261="","Product Type, ","")&amp;IF(G261="","Category, ","")&amp;IF(H261="","HSN Code, ","")&amp;IF(Q261="","Qty, ","")&amp;IF(R261="","Purchase Rate, ","")&amp;IF(S261="","MRP, ",""),LEN(IF(B261="","PO Ref, ","")&amp;IF(C261="","Vendor, ","")&amp;IF(D261="","Store, ","")&amp;IF(F261="","Product Type, ","")&amp;IF(G261="","Category, ","")&amp;IF(H261="","HSN Code, ","")&amp;IF(Q261="","Qty, ","")&amp;IF(R261="","Purchase Rate, ","")&amp;IF(S261="","MRP, ",""))-2),IF(COUNTIF(Vendors!$B$3:$B$202,C261)=0,"Add vendor "&amp;C261&amp;" on the Vendors sheet",IF(ISNA(MATCH(H261,Codes!$A$2:$A$13,0)),"Pick the HSN Code from the list",IF(AND(E261&lt;&gt;"",COUNTIFS($C$3:$C$1002,C261,$E$3:$E$1002,E261,$F$3:$F$1002,"&lt;&gt;"&amp;F261)+COUNTIFS($C$3:$C$1002,C261,$E$3:$E$1002,E261,$G$3:$G$1002,"&lt;&gt;"&amp;G261)&gt;0),"Design "&amp;E261&amp;" has another Product Type or Category on another row",IF(COUNTIFS($F$3:$F$1002,F261,$G$3:$G$1002,G261,$H$3:$H$1002,"&lt;&gt;"&amp;H261)&gt;0,F261&amp;" + "&amp;G261&amp;" has another HSN Code on another row",IF(AND(V261&lt;&gt;"",U261=""),"Received Qty needs the Vendor Invoice No",IF(AND(U261&lt;&gt;"",COUNTIFS(Bills!$B$3:$B$302,U261,Bills!$C$3:$C$302,C261)=0),"Add bill "&amp;U261&amp;" of "&amp;C261&amp;" on the Bills sheet",IF(S261&lt;R261,"MRP is below the Purchase Rate","OK")))))))))</f>
        <v/>
      </c>
      <c r="B261" s="29"/>
      <c r="C261" s="22"/>
      <c r="D261" s="22"/>
      <c r="E261" s="24"/>
      <c r="F261" s="22"/>
      <c r="G261" s="22"/>
      <c r="H261" s="22"/>
      <c r="I261" s="30" t="str">
        <f>IF(H261="","",IFERROR(INDEX(Codes!$B$2:$B$13,MATCH(H261,Codes!$A$2:$A$13,0)),""))</f>
        <v/>
      </c>
      <c r="J261" s="23"/>
      <c r="K261" s="23"/>
      <c r="L261" s="23"/>
      <c r="M261" s="23"/>
      <c r="N261" s="23"/>
      <c r="O261" s="23"/>
      <c r="P261" s="23"/>
      <c r="Q261" s="31"/>
      <c r="R261" s="32"/>
      <c r="S261" s="32"/>
      <c r="T261" s="33" t="str">
        <f t="shared" si="8"/>
        <v/>
      </c>
      <c r="U261" s="34"/>
      <c r="V261" s="35"/>
      <c r="W261" s="33" t="str">
        <f t="shared" si="9"/>
        <v/>
      </c>
    </row>
    <row r="262" spans="1:23" x14ac:dyDescent="0.35">
      <c r="A262" s="21" t="str">
        <f>IF(COUNTA(B262:H262,J262:S262,U262:V262)=0,"",IF((IF(B262="","PO Ref, ","")&amp;IF(C262="","Vendor, ","")&amp;IF(D262="","Store, ","")&amp;IF(F262="","Product Type, ","")&amp;IF(G262="","Category, ","")&amp;IF(H262="","HSN Code, ","")&amp;IF(Q262="","Qty, ","")&amp;IF(R262="","Purchase Rate, ","")&amp;IF(S262="","MRP, ",""))&lt;&gt;"","Missing: "&amp;LEFT(IF(B262="","PO Ref, ","")&amp;IF(C262="","Vendor, ","")&amp;IF(D262="","Store, ","")&amp;IF(F262="","Product Type, ","")&amp;IF(G262="","Category, ","")&amp;IF(H262="","HSN Code, ","")&amp;IF(Q262="","Qty, ","")&amp;IF(R262="","Purchase Rate, ","")&amp;IF(S262="","MRP, ",""),LEN(IF(B262="","PO Ref, ","")&amp;IF(C262="","Vendor, ","")&amp;IF(D262="","Store, ","")&amp;IF(F262="","Product Type, ","")&amp;IF(G262="","Category, ","")&amp;IF(H262="","HSN Code, ","")&amp;IF(Q262="","Qty, ","")&amp;IF(R262="","Purchase Rate, ","")&amp;IF(S262="","MRP, ",""))-2),IF(COUNTIF(Vendors!$B$3:$B$202,C262)=0,"Add vendor "&amp;C262&amp;" on the Vendors sheet",IF(ISNA(MATCH(H262,Codes!$A$2:$A$13,0)),"Pick the HSN Code from the list",IF(AND(E262&lt;&gt;"",COUNTIFS($C$3:$C$1002,C262,$E$3:$E$1002,E262,$F$3:$F$1002,"&lt;&gt;"&amp;F262)+COUNTIFS($C$3:$C$1002,C262,$E$3:$E$1002,E262,$G$3:$G$1002,"&lt;&gt;"&amp;G262)&gt;0),"Design "&amp;E262&amp;" has another Product Type or Category on another row",IF(COUNTIFS($F$3:$F$1002,F262,$G$3:$G$1002,G262,$H$3:$H$1002,"&lt;&gt;"&amp;H262)&gt;0,F262&amp;" + "&amp;G262&amp;" has another HSN Code on another row",IF(AND(V262&lt;&gt;"",U262=""),"Received Qty needs the Vendor Invoice No",IF(AND(U262&lt;&gt;"",COUNTIFS(Bills!$B$3:$B$302,U262,Bills!$C$3:$C$302,C262)=0),"Add bill "&amp;U262&amp;" of "&amp;C262&amp;" on the Bills sheet",IF(S262&lt;R262,"MRP is below the Purchase Rate","OK")))))))))</f>
        <v/>
      </c>
      <c r="B262" s="29"/>
      <c r="C262" s="22"/>
      <c r="D262" s="22"/>
      <c r="E262" s="24"/>
      <c r="F262" s="22"/>
      <c r="G262" s="22"/>
      <c r="H262" s="22"/>
      <c r="I262" s="30" t="str">
        <f>IF(H262="","",IFERROR(INDEX(Codes!$B$2:$B$13,MATCH(H262,Codes!$A$2:$A$13,0)),""))</f>
        <v/>
      </c>
      <c r="J262" s="23"/>
      <c r="K262" s="23"/>
      <c r="L262" s="23"/>
      <c r="M262" s="23"/>
      <c r="N262" s="23"/>
      <c r="O262" s="23"/>
      <c r="P262" s="23"/>
      <c r="Q262" s="31"/>
      <c r="R262" s="32"/>
      <c r="S262" s="32"/>
      <c r="T262" s="33" t="str">
        <f t="shared" si="8"/>
        <v/>
      </c>
      <c r="U262" s="34"/>
      <c r="V262" s="35"/>
      <c r="W262" s="33" t="str">
        <f t="shared" si="9"/>
        <v/>
      </c>
    </row>
    <row r="263" spans="1:23" x14ac:dyDescent="0.35">
      <c r="A263" s="21" t="str">
        <f>IF(COUNTA(B263:H263,J263:S263,U263:V263)=0,"",IF((IF(B263="","PO Ref, ","")&amp;IF(C263="","Vendor, ","")&amp;IF(D263="","Store, ","")&amp;IF(F263="","Product Type, ","")&amp;IF(G263="","Category, ","")&amp;IF(H263="","HSN Code, ","")&amp;IF(Q263="","Qty, ","")&amp;IF(R263="","Purchase Rate, ","")&amp;IF(S263="","MRP, ",""))&lt;&gt;"","Missing: "&amp;LEFT(IF(B263="","PO Ref, ","")&amp;IF(C263="","Vendor, ","")&amp;IF(D263="","Store, ","")&amp;IF(F263="","Product Type, ","")&amp;IF(G263="","Category, ","")&amp;IF(H263="","HSN Code, ","")&amp;IF(Q263="","Qty, ","")&amp;IF(R263="","Purchase Rate, ","")&amp;IF(S263="","MRP, ",""),LEN(IF(B263="","PO Ref, ","")&amp;IF(C263="","Vendor, ","")&amp;IF(D263="","Store, ","")&amp;IF(F263="","Product Type, ","")&amp;IF(G263="","Category, ","")&amp;IF(H263="","HSN Code, ","")&amp;IF(Q263="","Qty, ","")&amp;IF(R263="","Purchase Rate, ","")&amp;IF(S263="","MRP, ",""))-2),IF(COUNTIF(Vendors!$B$3:$B$202,C263)=0,"Add vendor "&amp;C263&amp;" on the Vendors sheet",IF(ISNA(MATCH(H263,Codes!$A$2:$A$13,0)),"Pick the HSN Code from the list",IF(AND(E263&lt;&gt;"",COUNTIFS($C$3:$C$1002,C263,$E$3:$E$1002,E263,$F$3:$F$1002,"&lt;&gt;"&amp;F263)+COUNTIFS($C$3:$C$1002,C263,$E$3:$E$1002,E263,$G$3:$G$1002,"&lt;&gt;"&amp;G263)&gt;0),"Design "&amp;E263&amp;" has another Product Type or Category on another row",IF(COUNTIFS($F$3:$F$1002,F263,$G$3:$G$1002,G263,$H$3:$H$1002,"&lt;&gt;"&amp;H263)&gt;0,F263&amp;" + "&amp;G263&amp;" has another HSN Code on another row",IF(AND(V263&lt;&gt;"",U263=""),"Received Qty needs the Vendor Invoice No",IF(AND(U263&lt;&gt;"",COUNTIFS(Bills!$B$3:$B$302,U263,Bills!$C$3:$C$302,C263)=0),"Add bill "&amp;U263&amp;" of "&amp;C263&amp;" on the Bills sheet",IF(S263&lt;R263,"MRP is below the Purchase Rate","OK")))))))))</f>
        <v/>
      </c>
      <c r="B263" s="29"/>
      <c r="C263" s="22"/>
      <c r="D263" s="22"/>
      <c r="E263" s="24"/>
      <c r="F263" s="22"/>
      <c r="G263" s="22"/>
      <c r="H263" s="22"/>
      <c r="I263" s="30" t="str">
        <f>IF(H263="","",IFERROR(INDEX(Codes!$B$2:$B$13,MATCH(H263,Codes!$A$2:$A$13,0)),""))</f>
        <v/>
      </c>
      <c r="J263" s="23"/>
      <c r="K263" s="23"/>
      <c r="L263" s="23"/>
      <c r="M263" s="23"/>
      <c r="N263" s="23"/>
      <c r="O263" s="23"/>
      <c r="P263" s="23"/>
      <c r="Q263" s="31"/>
      <c r="R263" s="32"/>
      <c r="S263" s="32"/>
      <c r="T263" s="33" t="str">
        <f t="shared" si="8"/>
        <v/>
      </c>
      <c r="U263" s="34"/>
      <c r="V263" s="35"/>
      <c r="W263" s="33" t="str">
        <f t="shared" si="9"/>
        <v/>
      </c>
    </row>
    <row r="264" spans="1:23" x14ac:dyDescent="0.35">
      <c r="A264" s="21" t="str">
        <f>IF(COUNTA(B264:H264,J264:S264,U264:V264)=0,"",IF((IF(B264="","PO Ref, ","")&amp;IF(C264="","Vendor, ","")&amp;IF(D264="","Store, ","")&amp;IF(F264="","Product Type, ","")&amp;IF(G264="","Category, ","")&amp;IF(H264="","HSN Code, ","")&amp;IF(Q264="","Qty, ","")&amp;IF(R264="","Purchase Rate, ","")&amp;IF(S264="","MRP, ",""))&lt;&gt;"","Missing: "&amp;LEFT(IF(B264="","PO Ref, ","")&amp;IF(C264="","Vendor, ","")&amp;IF(D264="","Store, ","")&amp;IF(F264="","Product Type, ","")&amp;IF(G264="","Category, ","")&amp;IF(H264="","HSN Code, ","")&amp;IF(Q264="","Qty, ","")&amp;IF(R264="","Purchase Rate, ","")&amp;IF(S264="","MRP, ",""),LEN(IF(B264="","PO Ref, ","")&amp;IF(C264="","Vendor, ","")&amp;IF(D264="","Store, ","")&amp;IF(F264="","Product Type, ","")&amp;IF(G264="","Category, ","")&amp;IF(H264="","HSN Code, ","")&amp;IF(Q264="","Qty, ","")&amp;IF(R264="","Purchase Rate, ","")&amp;IF(S264="","MRP, ",""))-2),IF(COUNTIF(Vendors!$B$3:$B$202,C264)=0,"Add vendor "&amp;C264&amp;" on the Vendors sheet",IF(ISNA(MATCH(H264,Codes!$A$2:$A$13,0)),"Pick the HSN Code from the list",IF(AND(E264&lt;&gt;"",COUNTIFS($C$3:$C$1002,C264,$E$3:$E$1002,E264,$F$3:$F$1002,"&lt;&gt;"&amp;F264)+COUNTIFS($C$3:$C$1002,C264,$E$3:$E$1002,E264,$G$3:$G$1002,"&lt;&gt;"&amp;G264)&gt;0),"Design "&amp;E264&amp;" has another Product Type or Category on another row",IF(COUNTIFS($F$3:$F$1002,F264,$G$3:$G$1002,G264,$H$3:$H$1002,"&lt;&gt;"&amp;H264)&gt;0,F264&amp;" + "&amp;G264&amp;" has another HSN Code on another row",IF(AND(V264&lt;&gt;"",U264=""),"Received Qty needs the Vendor Invoice No",IF(AND(U264&lt;&gt;"",COUNTIFS(Bills!$B$3:$B$302,U264,Bills!$C$3:$C$302,C264)=0),"Add bill "&amp;U264&amp;" of "&amp;C264&amp;" on the Bills sheet",IF(S264&lt;R264,"MRP is below the Purchase Rate","OK")))))))))</f>
        <v/>
      </c>
      <c r="B264" s="29"/>
      <c r="C264" s="22"/>
      <c r="D264" s="22"/>
      <c r="E264" s="24"/>
      <c r="F264" s="22"/>
      <c r="G264" s="22"/>
      <c r="H264" s="22"/>
      <c r="I264" s="30" t="str">
        <f>IF(H264="","",IFERROR(INDEX(Codes!$B$2:$B$13,MATCH(H264,Codes!$A$2:$A$13,0)),""))</f>
        <v/>
      </c>
      <c r="J264" s="23"/>
      <c r="K264" s="23"/>
      <c r="L264" s="23"/>
      <c r="M264" s="23"/>
      <c r="N264" s="23"/>
      <c r="O264" s="23"/>
      <c r="P264" s="23"/>
      <c r="Q264" s="31"/>
      <c r="R264" s="32"/>
      <c r="S264" s="32"/>
      <c r="T264" s="33" t="str">
        <f t="shared" si="8"/>
        <v/>
      </c>
      <c r="U264" s="34"/>
      <c r="V264" s="35"/>
      <c r="W264" s="33" t="str">
        <f t="shared" si="9"/>
        <v/>
      </c>
    </row>
    <row r="265" spans="1:23" x14ac:dyDescent="0.35">
      <c r="A265" s="21" t="str">
        <f>IF(COUNTA(B265:H265,J265:S265,U265:V265)=0,"",IF((IF(B265="","PO Ref, ","")&amp;IF(C265="","Vendor, ","")&amp;IF(D265="","Store, ","")&amp;IF(F265="","Product Type, ","")&amp;IF(G265="","Category, ","")&amp;IF(H265="","HSN Code, ","")&amp;IF(Q265="","Qty, ","")&amp;IF(R265="","Purchase Rate, ","")&amp;IF(S265="","MRP, ",""))&lt;&gt;"","Missing: "&amp;LEFT(IF(B265="","PO Ref, ","")&amp;IF(C265="","Vendor, ","")&amp;IF(D265="","Store, ","")&amp;IF(F265="","Product Type, ","")&amp;IF(G265="","Category, ","")&amp;IF(H265="","HSN Code, ","")&amp;IF(Q265="","Qty, ","")&amp;IF(R265="","Purchase Rate, ","")&amp;IF(S265="","MRP, ",""),LEN(IF(B265="","PO Ref, ","")&amp;IF(C265="","Vendor, ","")&amp;IF(D265="","Store, ","")&amp;IF(F265="","Product Type, ","")&amp;IF(G265="","Category, ","")&amp;IF(H265="","HSN Code, ","")&amp;IF(Q265="","Qty, ","")&amp;IF(R265="","Purchase Rate, ","")&amp;IF(S265="","MRP, ",""))-2),IF(COUNTIF(Vendors!$B$3:$B$202,C265)=0,"Add vendor "&amp;C265&amp;" on the Vendors sheet",IF(ISNA(MATCH(H265,Codes!$A$2:$A$13,0)),"Pick the HSN Code from the list",IF(AND(E265&lt;&gt;"",COUNTIFS($C$3:$C$1002,C265,$E$3:$E$1002,E265,$F$3:$F$1002,"&lt;&gt;"&amp;F265)+COUNTIFS($C$3:$C$1002,C265,$E$3:$E$1002,E265,$G$3:$G$1002,"&lt;&gt;"&amp;G265)&gt;0),"Design "&amp;E265&amp;" has another Product Type or Category on another row",IF(COUNTIFS($F$3:$F$1002,F265,$G$3:$G$1002,G265,$H$3:$H$1002,"&lt;&gt;"&amp;H265)&gt;0,F265&amp;" + "&amp;G265&amp;" has another HSN Code on another row",IF(AND(V265&lt;&gt;"",U265=""),"Received Qty needs the Vendor Invoice No",IF(AND(U265&lt;&gt;"",COUNTIFS(Bills!$B$3:$B$302,U265,Bills!$C$3:$C$302,C265)=0),"Add bill "&amp;U265&amp;" of "&amp;C265&amp;" on the Bills sheet",IF(S265&lt;R265,"MRP is below the Purchase Rate","OK")))))))))</f>
        <v/>
      </c>
      <c r="B265" s="29"/>
      <c r="C265" s="22"/>
      <c r="D265" s="22"/>
      <c r="E265" s="24"/>
      <c r="F265" s="22"/>
      <c r="G265" s="22"/>
      <c r="H265" s="22"/>
      <c r="I265" s="30" t="str">
        <f>IF(H265="","",IFERROR(INDEX(Codes!$B$2:$B$13,MATCH(H265,Codes!$A$2:$A$13,0)),""))</f>
        <v/>
      </c>
      <c r="J265" s="23"/>
      <c r="K265" s="23"/>
      <c r="L265" s="23"/>
      <c r="M265" s="23"/>
      <c r="N265" s="23"/>
      <c r="O265" s="23"/>
      <c r="P265" s="23"/>
      <c r="Q265" s="31"/>
      <c r="R265" s="32"/>
      <c r="S265" s="32"/>
      <c r="T265" s="33" t="str">
        <f t="shared" si="8"/>
        <v/>
      </c>
      <c r="U265" s="34"/>
      <c r="V265" s="35"/>
      <c r="W265" s="33" t="str">
        <f t="shared" si="9"/>
        <v/>
      </c>
    </row>
    <row r="266" spans="1:23" x14ac:dyDescent="0.35">
      <c r="A266" s="21" t="str">
        <f>IF(COUNTA(B266:H266,J266:S266,U266:V266)=0,"",IF((IF(B266="","PO Ref, ","")&amp;IF(C266="","Vendor, ","")&amp;IF(D266="","Store, ","")&amp;IF(F266="","Product Type, ","")&amp;IF(G266="","Category, ","")&amp;IF(H266="","HSN Code, ","")&amp;IF(Q266="","Qty, ","")&amp;IF(R266="","Purchase Rate, ","")&amp;IF(S266="","MRP, ",""))&lt;&gt;"","Missing: "&amp;LEFT(IF(B266="","PO Ref, ","")&amp;IF(C266="","Vendor, ","")&amp;IF(D266="","Store, ","")&amp;IF(F266="","Product Type, ","")&amp;IF(G266="","Category, ","")&amp;IF(H266="","HSN Code, ","")&amp;IF(Q266="","Qty, ","")&amp;IF(R266="","Purchase Rate, ","")&amp;IF(S266="","MRP, ",""),LEN(IF(B266="","PO Ref, ","")&amp;IF(C266="","Vendor, ","")&amp;IF(D266="","Store, ","")&amp;IF(F266="","Product Type, ","")&amp;IF(G266="","Category, ","")&amp;IF(H266="","HSN Code, ","")&amp;IF(Q266="","Qty, ","")&amp;IF(R266="","Purchase Rate, ","")&amp;IF(S266="","MRP, ",""))-2),IF(COUNTIF(Vendors!$B$3:$B$202,C266)=0,"Add vendor "&amp;C266&amp;" on the Vendors sheet",IF(ISNA(MATCH(H266,Codes!$A$2:$A$13,0)),"Pick the HSN Code from the list",IF(AND(E266&lt;&gt;"",COUNTIFS($C$3:$C$1002,C266,$E$3:$E$1002,E266,$F$3:$F$1002,"&lt;&gt;"&amp;F266)+COUNTIFS($C$3:$C$1002,C266,$E$3:$E$1002,E266,$G$3:$G$1002,"&lt;&gt;"&amp;G266)&gt;0),"Design "&amp;E266&amp;" has another Product Type or Category on another row",IF(COUNTIFS($F$3:$F$1002,F266,$G$3:$G$1002,G266,$H$3:$H$1002,"&lt;&gt;"&amp;H266)&gt;0,F266&amp;" + "&amp;G266&amp;" has another HSN Code on another row",IF(AND(V266&lt;&gt;"",U266=""),"Received Qty needs the Vendor Invoice No",IF(AND(U266&lt;&gt;"",COUNTIFS(Bills!$B$3:$B$302,U266,Bills!$C$3:$C$302,C266)=0),"Add bill "&amp;U266&amp;" of "&amp;C266&amp;" on the Bills sheet",IF(S266&lt;R266,"MRP is below the Purchase Rate","OK")))))))))</f>
        <v/>
      </c>
      <c r="B266" s="29"/>
      <c r="C266" s="22"/>
      <c r="D266" s="22"/>
      <c r="E266" s="24"/>
      <c r="F266" s="22"/>
      <c r="G266" s="22"/>
      <c r="H266" s="22"/>
      <c r="I266" s="30" t="str">
        <f>IF(H266="","",IFERROR(INDEX(Codes!$B$2:$B$13,MATCH(H266,Codes!$A$2:$A$13,0)),""))</f>
        <v/>
      </c>
      <c r="J266" s="23"/>
      <c r="K266" s="23"/>
      <c r="L266" s="23"/>
      <c r="M266" s="23"/>
      <c r="N266" s="23"/>
      <c r="O266" s="23"/>
      <c r="P266" s="23"/>
      <c r="Q266" s="31"/>
      <c r="R266" s="32"/>
      <c r="S266" s="32"/>
      <c r="T266" s="33" t="str">
        <f t="shared" si="8"/>
        <v/>
      </c>
      <c r="U266" s="34"/>
      <c r="V266" s="35"/>
      <c r="W266" s="33" t="str">
        <f t="shared" si="9"/>
        <v/>
      </c>
    </row>
    <row r="267" spans="1:23" x14ac:dyDescent="0.35">
      <c r="A267" s="21" t="str">
        <f>IF(COUNTA(B267:H267,J267:S267,U267:V267)=0,"",IF((IF(B267="","PO Ref, ","")&amp;IF(C267="","Vendor, ","")&amp;IF(D267="","Store, ","")&amp;IF(F267="","Product Type, ","")&amp;IF(G267="","Category, ","")&amp;IF(H267="","HSN Code, ","")&amp;IF(Q267="","Qty, ","")&amp;IF(R267="","Purchase Rate, ","")&amp;IF(S267="","MRP, ",""))&lt;&gt;"","Missing: "&amp;LEFT(IF(B267="","PO Ref, ","")&amp;IF(C267="","Vendor, ","")&amp;IF(D267="","Store, ","")&amp;IF(F267="","Product Type, ","")&amp;IF(G267="","Category, ","")&amp;IF(H267="","HSN Code, ","")&amp;IF(Q267="","Qty, ","")&amp;IF(R267="","Purchase Rate, ","")&amp;IF(S267="","MRP, ",""),LEN(IF(B267="","PO Ref, ","")&amp;IF(C267="","Vendor, ","")&amp;IF(D267="","Store, ","")&amp;IF(F267="","Product Type, ","")&amp;IF(G267="","Category, ","")&amp;IF(H267="","HSN Code, ","")&amp;IF(Q267="","Qty, ","")&amp;IF(R267="","Purchase Rate, ","")&amp;IF(S267="","MRP, ",""))-2),IF(COUNTIF(Vendors!$B$3:$B$202,C267)=0,"Add vendor "&amp;C267&amp;" on the Vendors sheet",IF(ISNA(MATCH(H267,Codes!$A$2:$A$13,0)),"Pick the HSN Code from the list",IF(AND(E267&lt;&gt;"",COUNTIFS($C$3:$C$1002,C267,$E$3:$E$1002,E267,$F$3:$F$1002,"&lt;&gt;"&amp;F267)+COUNTIFS($C$3:$C$1002,C267,$E$3:$E$1002,E267,$G$3:$G$1002,"&lt;&gt;"&amp;G267)&gt;0),"Design "&amp;E267&amp;" has another Product Type or Category on another row",IF(COUNTIFS($F$3:$F$1002,F267,$G$3:$G$1002,G267,$H$3:$H$1002,"&lt;&gt;"&amp;H267)&gt;0,F267&amp;" + "&amp;G267&amp;" has another HSN Code on another row",IF(AND(V267&lt;&gt;"",U267=""),"Received Qty needs the Vendor Invoice No",IF(AND(U267&lt;&gt;"",COUNTIFS(Bills!$B$3:$B$302,U267,Bills!$C$3:$C$302,C267)=0),"Add bill "&amp;U267&amp;" of "&amp;C267&amp;" on the Bills sheet",IF(S267&lt;R267,"MRP is below the Purchase Rate","OK")))))))))</f>
        <v/>
      </c>
      <c r="B267" s="29"/>
      <c r="C267" s="22"/>
      <c r="D267" s="22"/>
      <c r="E267" s="24"/>
      <c r="F267" s="22"/>
      <c r="G267" s="22"/>
      <c r="H267" s="22"/>
      <c r="I267" s="30" t="str">
        <f>IF(H267="","",IFERROR(INDEX(Codes!$B$2:$B$13,MATCH(H267,Codes!$A$2:$A$13,0)),""))</f>
        <v/>
      </c>
      <c r="J267" s="23"/>
      <c r="K267" s="23"/>
      <c r="L267" s="23"/>
      <c r="M267" s="23"/>
      <c r="N267" s="23"/>
      <c r="O267" s="23"/>
      <c r="P267" s="23"/>
      <c r="Q267" s="31"/>
      <c r="R267" s="32"/>
      <c r="S267" s="32"/>
      <c r="T267" s="33" t="str">
        <f t="shared" si="8"/>
        <v/>
      </c>
      <c r="U267" s="34"/>
      <c r="V267" s="35"/>
      <c r="W267" s="33" t="str">
        <f t="shared" si="9"/>
        <v/>
      </c>
    </row>
    <row r="268" spans="1:23" x14ac:dyDescent="0.35">
      <c r="A268" s="21" t="str">
        <f>IF(COUNTA(B268:H268,J268:S268,U268:V268)=0,"",IF((IF(B268="","PO Ref, ","")&amp;IF(C268="","Vendor, ","")&amp;IF(D268="","Store, ","")&amp;IF(F268="","Product Type, ","")&amp;IF(G268="","Category, ","")&amp;IF(H268="","HSN Code, ","")&amp;IF(Q268="","Qty, ","")&amp;IF(R268="","Purchase Rate, ","")&amp;IF(S268="","MRP, ",""))&lt;&gt;"","Missing: "&amp;LEFT(IF(B268="","PO Ref, ","")&amp;IF(C268="","Vendor, ","")&amp;IF(D268="","Store, ","")&amp;IF(F268="","Product Type, ","")&amp;IF(G268="","Category, ","")&amp;IF(H268="","HSN Code, ","")&amp;IF(Q268="","Qty, ","")&amp;IF(R268="","Purchase Rate, ","")&amp;IF(S268="","MRP, ",""),LEN(IF(B268="","PO Ref, ","")&amp;IF(C268="","Vendor, ","")&amp;IF(D268="","Store, ","")&amp;IF(F268="","Product Type, ","")&amp;IF(G268="","Category, ","")&amp;IF(H268="","HSN Code, ","")&amp;IF(Q268="","Qty, ","")&amp;IF(R268="","Purchase Rate, ","")&amp;IF(S268="","MRP, ",""))-2),IF(COUNTIF(Vendors!$B$3:$B$202,C268)=0,"Add vendor "&amp;C268&amp;" on the Vendors sheet",IF(ISNA(MATCH(H268,Codes!$A$2:$A$13,0)),"Pick the HSN Code from the list",IF(AND(E268&lt;&gt;"",COUNTIFS($C$3:$C$1002,C268,$E$3:$E$1002,E268,$F$3:$F$1002,"&lt;&gt;"&amp;F268)+COUNTIFS($C$3:$C$1002,C268,$E$3:$E$1002,E268,$G$3:$G$1002,"&lt;&gt;"&amp;G268)&gt;0),"Design "&amp;E268&amp;" has another Product Type or Category on another row",IF(COUNTIFS($F$3:$F$1002,F268,$G$3:$G$1002,G268,$H$3:$H$1002,"&lt;&gt;"&amp;H268)&gt;0,F268&amp;" + "&amp;G268&amp;" has another HSN Code on another row",IF(AND(V268&lt;&gt;"",U268=""),"Received Qty needs the Vendor Invoice No",IF(AND(U268&lt;&gt;"",COUNTIFS(Bills!$B$3:$B$302,U268,Bills!$C$3:$C$302,C268)=0),"Add bill "&amp;U268&amp;" of "&amp;C268&amp;" on the Bills sheet",IF(S268&lt;R268,"MRP is below the Purchase Rate","OK")))))))))</f>
        <v/>
      </c>
      <c r="B268" s="29"/>
      <c r="C268" s="22"/>
      <c r="D268" s="22"/>
      <c r="E268" s="24"/>
      <c r="F268" s="22"/>
      <c r="G268" s="22"/>
      <c r="H268" s="22"/>
      <c r="I268" s="30" t="str">
        <f>IF(H268="","",IFERROR(INDEX(Codes!$B$2:$B$13,MATCH(H268,Codes!$A$2:$A$13,0)),""))</f>
        <v/>
      </c>
      <c r="J268" s="23"/>
      <c r="K268" s="23"/>
      <c r="L268" s="23"/>
      <c r="M268" s="23"/>
      <c r="N268" s="23"/>
      <c r="O268" s="23"/>
      <c r="P268" s="23"/>
      <c r="Q268" s="31"/>
      <c r="R268" s="32"/>
      <c r="S268" s="32"/>
      <c r="T268" s="33" t="str">
        <f t="shared" si="8"/>
        <v/>
      </c>
      <c r="U268" s="34"/>
      <c r="V268" s="35"/>
      <c r="W268" s="33" t="str">
        <f t="shared" si="9"/>
        <v/>
      </c>
    </row>
    <row r="269" spans="1:23" x14ac:dyDescent="0.35">
      <c r="A269" s="21" t="str">
        <f>IF(COUNTA(B269:H269,J269:S269,U269:V269)=0,"",IF((IF(B269="","PO Ref, ","")&amp;IF(C269="","Vendor, ","")&amp;IF(D269="","Store, ","")&amp;IF(F269="","Product Type, ","")&amp;IF(G269="","Category, ","")&amp;IF(H269="","HSN Code, ","")&amp;IF(Q269="","Qty, ","")&amp;IF(R269="","Purchase Rate, ","")&amp;IF(S269="","MRP, ",""))&lt;&gt;"","Missing: "&amp;LEFT(IF(B269="","PO Ref, ","")&amp;IF(C269="","Vendor, ","")&amp;IF(D269="","Store, ","")&amp;IF(F269="","Product Type, ","")&amp;IF(G269="","Category, ","")&amp;IF(H269="","HSN Code, ","")&amp;IF(Q269="","Qty, ","")&amp;IF(R269="","Purchase Rate, ","")&amp;IF(S269="","MRP, ",""),LEN(IF(B269="","PO Ref, ","")&amp;IF(C269="","Vendor, ","")&amp;IF(D269="","Store, ","")&amp;IF(F269="","Product Type, ","")&amp;IF(G269="","Category, ","")&amp;IF(H269="","HSN Code, ","")&amp;IF(Q269="","Qty, ","")&amp;IF(R269="","Purchase Rate, ","")&amp;IF(S269="","MRP, ",""))-2),IF(COUNTIF(Vendors!$B$3:$B$202,C269)=0,"Add vendor "&amp;C269&amp;" on the Vendors sheet",IF(ISNA(MATCH(H269,Codes!$A$2:$A$13,0)),"Pick the HSN Code from the list",IF(AND(E269&lt;&gt;"",COUNTIFS($C$3:$C$1002,C269,$E$3:$E$1002,E269,$F$3:$F$1002,"&lt;&gt;"&amp;F269)+COUNTIFS($C$3:$C$1002,C269,$E$3:$E$1002,E269,$G$3:$G$1002,"&lt;&gt;"&amp;G269)&gt;0),"Design "&amp;E269&amp;" has another Product Type or Category on another row",IF(COUNTIFS($F$3:$F$1002,F269,$G$3:$G$1002,G269,$H$3:$H$1002,"&lt;&gt;"&amp;H269)&gt;0,F269&amp;" + "&amp;G269&amp;" has another HSN Code on another row",IF(AND(V269&lt;&gt;"",U269=""),"Received Qty needs the Vendor Invoice No",IF(AND(U269&lt;&gt;"",COUNTIFS(Bills!$B$3:$B$302,U269,Bills!$C$3:$C$302,C269)=0),"Add bill "&amp;U269&amp;" of "&amp;C269&amp;" on the Bills sheet",IF(S269&lt;R269,"MRP is below the Purchase Rate","OK")))))))))</f>
        <v/>
      </c>
      <c r="B269" s="29"/>
      <c r="C269" s="22"/>
      <c r="D269" s="22"/>
      <c r="E269" s="24"/>
      <c r="F269" s="22"/>
      <c r="G269" s="22"/>
      <c r="H269" s="22"/>
      <c r="I269" s="30" t="str">
        <f>IF(H269="","",IFERROR(INDEX(Codes!$B$2:$B$13,MATCH(H269,Codes!$A$2:$A$13,0)),""))</f>
        <v/>
      </c>
      <c r="J269" s="23"/>
      <c r="K269" s="23"/>
      <c r="L269" s="23"/>
      <c r="M269" s="23"/>
      <c r="N269" s="23"/>
      <c r="O269" s="23"/>
      <c r="P269" s="23"/>
      <c r="Q269" s="31"/>
      <c r="R269" s="32"/>
      <c r="S269" s="32"/>
      <c r="T269" s="33" t="str">
        <f t="shared" si="8"/>
        <v/>
      </c>
      <c r="U269" s="34"/>
      <c r="V269" s="35"/>
      <c r="W269" s="33" t="str">
        <f t="shared" si="9"/>
        <v/>
      </c>
    </row>
    <row r="270" spans="1:23" x14ac:dyDescent="0.35">
      <c r="A270" s="21" t="str">
        <f>IF(COUNTA(B270:H270,J270:S270,U270:V270)=0,"",IF((IF(B270="","PO Ref, ","")&amp;IF(C270="","Vendor, ","")&amp;IF(D270="","Store, ","")&amp;IF(F270="","Product Type, ","")&amp;IF(G270="","Category, ","")&amp;IF(H270="","HSN Code, ","")&amp;IF(Q270="","Qty, ","")&amp;IF(R270="","Purchase Rate, ","")&amp;IF(S270="","MRP, ",""))&lt;&gt;"","Missing: "&amp;LEFT(IF(B270="","PO Ref, ","")&amp;IF(C270="","Vendor, ","")&amp;IF(D270="","Store, ","")&amp;IF(F270="","Product Type, ","")&amp;IF(G270="","Category, ","")&amp;IF(H270="","HSN Code, ","")&amp;IF(Q270="","Qty, ","")&amp;IF(R270="","Purchase Rate, ","")&amp;IF(S270="","MRP, ",""),LEN(IF(B270="","PO Ref, ","")&amp;IF(C270="","Vendor, ","")&amp;IF(D270="","Store, ","")&amp;IF(F270="","Product Type, ","")&amp;IF(G270="","Category, ","")&amp;IF(H270="","HSN Code, ","")&amp;IF(Q270="","Qty, ","")&amp;IF(R270="","Purchase Rate, ","")&amp;IF(S270="","MRP, ",""))-2),IF(COUNTIF(Vendors!$B$3:$B$202,C270)=0,"Add vendor "&amp;C270&amp;" on the Vendors sheet",IF(ISNA(MATCH(H270,Codes!$A$2:$A$13,0)),"Pick the HSN Code from the list",IF(AND(E270&lt;&gt;"",COUNTIFS($C$3:$C$1002,C270,$E$3:$E$1002,E270,$F$3:$F$1002,"&lt;&gt;"&amp;F270)+COUNTIFS($C$3:$C$1002,C270,$E$3:$E$1002,E270,$G$3:$G$1002,"&lt;&gt;"&amp;G270)&gt;0),"Design "&amp;E270&amp;" has another Product Type or Category on another row",IF(COUNTIFS($F$3:$F$1002,F270,$G$3:$G$1002,G270,$H$3:$H$1002,"&lt;&gt;"&amp;H270)&gt;0,F270&amp;" + "&amp;G270&amp;" has another HSN Code on another row",IF(AND(V270&lt;&gt;"",U270=""),"Received Qty needs the Vendor Invoice No",IF(AND(U270&lt;&gt;"",COUNTIFS(Bills!$B$3:$B$302,U270,Bills!$C$3:$C$302,C270)=0),"Add bill "&amp;U270&amp;" of "&amp;C270&amp;" on the Bills sheet",IF(S270&lt;R270,"MRP is below the Purchase Rate","OK")))))))))</f>
        <v/>
      </c>
      <c r="B270" s="29"/>
      <c r="C270" s="22"/>
      <c r="D270" s="22"/>
      <c r="E270" s="24"/>
      <c r="F270" s="22"/>
      <c r="G270" s="22"/>
      <c r="H270" s="22"/>
      <c r="I270" s="30" t="str">
        <f>IF(H270="","",IFERROR(INDEX(Codes!$B$2:$B$13,MATCH(H270,Codes!$A$2:$A$13,0)),""))</f>
        <v/>
      </c>
      <c r="J270" s="23"/>
      <c r="K270" s="23"/>
      <c r="L270" s="23"/>
      <c r="M270" s="23"/>
      <c r="N270" s="23"/>
      <c r="O270" s="23"/>
      <c r="P270" s="23"/>
      <c r="Q270" s="31"/>
      <c r="R270" s="32"/>
      <c r="S270" s="32"/>
      <c r="T270" s="33" t="str">
        <f t="shared" si="8"/>
        <v/>
      </c>
      <c r="U270" s="34"/>
      <c r="V270" s="35"/>
      <c r="W270" s="33" t="str">
        <f t="shared" si="9"/>
        <v/>
      </c>
    </row>
    <row r="271" spans="1:23" x14ac:dyDescent="0.35">
      <c r="A271" s="21" t="str">
        <f>IF(COUNTA(B271:H271,J271:S271,U271:V271)=0,"",IF((IF(B271="","PO Ref, ","")&amp;IF(C271="","Vendor, ","")&amp;IF(D271="","Store, ","")&amp;IF(F271="","Product Type, ","")&amp;IF(G271="","Category, ","")&amp;IF(H271="","HSN Code, ","")&amp;IF(Q271="","Qty, ","")&amp;IF(R271="","Purchase Rate, ","")&amp;IF(S271="","MRP, ",""))&lt;&gt;"","Missing: "&amp;LEFT(IF(B271="","PO Ref, ","")&amp;IF(C271="","Vendor, ","")&amp;IF(D271="","Store, ","")&amp;IF(F271="","Product Type, ","")&amp;IF(G271="","Category, ","")&amp;IF(H271="","HSN Code, ","")&amp;IF(Q271="","Qty, ","")&amp;IF(R271="","Purchase Rate, ","")&amp;IF(S271="","MRP, ",""),LEN(IF(B271="","PO Ref, ","")&amp;IF(C271="","Vendor, ","")&amp;IF(D271="","Store, ","")&amp;IF(F271="","Product Type, ","")&amp;IF(G271="","Category, ","")&amp;IF(H271="","HSN Code, ","")&amp;IF(Q271="","Qty, ","")&amp;IF(R271="","Purchase Rate, ","")&amp;IF(S271="","MRP, ",""))-2),IF(COUNTIF(Vendors!$B$3:$B$202,C271)=0,"Add vendor "&amp;C271&amp;" on the Vendors sheet",IF(ISNA(MATCH(H271,Codes!$A$2:$A$13,0)),"Pick the HSN Code from the list",IF(AND(E271&lt;&gt;"",COUNTIFS($C$3:$C$1002,C271,$E$3:$E$1002,E271,$F$3:$F$1002,"&lt;&gt;"&amp;F271)+COUNTIFS($C$3:$C$1002,C271,$E$3:$E$1002,E271,$G$3:$G$1002,"&lt;&gt;"&amp;G271)&gt;0),"Design "&amp;E271&amp;" has another Product Type or Category on another row",IF(COUNTIFS($F$3:$F$1002,F271,$G$3:$G$1002,G271,$H$3:$H$1002,"&lt;&gt;"&amp;H271)&gt;0,F271&amp;" + "&amp;G271&amp;" has another HSN Code on another row",IF(AND(V271&lt;&gt;"",U271=""),"Received Qty needs the Vendor Invoice No",IF(AND(U271&lt;&gt;"",COUNTIFS(Bills!$B$3:$B$302,U271,Bills!$C$3:$C$302,C271)=0),"Add bill "&amp;U271&amp;" of "&amp;C271&amp;" on the Bills sheet",IF(S271&lt;R271,"MRP is below the Purchase Rate","OK")))))))))</f>
        <v/>
      </c>
      <c r="B271" s="29"/>
      <c r="C271" s="22"/>
      <c r="D271" s="22"/>
      <c r="E271" s="24"/>
      <c r="F271" s="22"/>
      <c r="G271" s="22"/>
      <c r="H271" s="22"/>
      <c r="I271" s="30" t="str">
        <f>IF(H271="","",IFERROR(INDEX(Codes!$B$2:$B$13,MATCH(H271,Codes!$A$2:$A$13,0)),""))</f>
        <v/>
      </c>
      <c r="J271" s="23"/>
      <c r="K271" s="23"/>
      <c r="L271" s="23"/>
      <c r="M271" s="23"/>
      <c r="N271" s="23"/>
      <c r="O271" s="23"/>
      <c r="P271" s="23"/>
      <c r="Q271" s="31"/>
      <c r="R271" s="32"/>
      <c r="S271" s="32"/>
      <c r="T271" s="33" t="str">
        <f t="shared" si="8"/>
        <v/>
      </c>
      <c r="U271" s="34"/>
      <c r="V271" s="35"/>
      <c r="W271" s="33" t="str">
        <f t="shared" si="9"/>
        <v/>
      </c>
    </row>
    <row r="272" spans="1:23" x14ac:dyDescent="0.35">
      <c r="A272" s="21" t="str">
        <f>IF(COUNTA(B272:H272,J272:S272,U272:V272)=0,"",IF((IF(B272="","PO Ref, ","")&amp;IF(C272="","Vendor, ","")&amp;IF(D272="","Store, ","")&amp;IF(F272="","Product Type, ","")&amp;IF(G272="","Category, ","")&amp;IF(H272="","HSN Code, ","")&amp;IF(Q272="","Qty, ","")&amp;IF(R272="","Purchase Rate, ","")&amp;IF(S272="","MRP, ",""))&lt;&gt;"","Missing: "&amp;LEFT(IF(B272="","PO Ref, ","")&amp;IF(C272="","Vendor, ","")&amp;IF(D272="","Store, ","")&amp;IF(F272="","Product Type, ","")&amp;IF(G272="","Category, ","")&amp;IF(H272="","HSN Code, ","")&amp;IF(Q272="","Qty, ","")&amp;IF(R272="","Purchase Rate, ","")&amp;IF(S272="","MRP, ",""),LEN(IF(B272="","PO Ref, ","")&amp;IF(C272="","Vendor, ","")&amp;IF(D272="","Store, ","")&amp;IF(F272="","Product Type, ","")&amp;IF(G272="","Category, ","")&amp;IF(H272="","HSN Code, ","")&amp;IF(Q272="","Qty, ","")&amp;IF(R272="","Purchase Rate, ","")&amp;IF(S272="","MRP, ",""))-2),IF(COUNTIF(Vendors!$B$3:$B$202,C272)=0,"Add vendor "&amp;C272&amp;" on the Vendors sheet",IF(ISNA(MATCH(H272,Codes!$A$2:$A$13,0)),"Pick the HSN Code from the list",IF(AND(E272&lt;&gt;"",COUNTIFS($C$3:$C$1002,C272,$E$3:$E$1002,E272,$F$3:$F$1002,"&lt;&gt;"&amp;F272)+COUNTIFS($C$3:$C$1002,C272,$E$3:$E$1002,E272,$G$3:$G$1002,"&lt;&gt;"&amp;G272)&gt;0),"Design "&amp;E272&amp;" has another Product Type or Category on another row",IF(COUNTIFS($F$3:$F$1002,F272,$G$3:$G$1002,G272,$H$3:$H$1002,"&lt;&gt;"&amp;H272)&gt;0,F272&amp;" + "&amp;G272&amp;" has another HSN Code on another row",IF(AND(V272&lt;&gt;"",U272=""),"Received Qty needs the Vendor Invoice No",IF(AND(U272&lt;&gt;"",COUNTIFS(Bills!$B$3:$B$302,U272,Bills!$C$3:$C$302,C272)=0),"Add bill "&amp;U272&amp;" of "&amp;C272&amp;" on the Bills sheet",IF(S272&lt;R272,"MRP is below the Purchase Rate","OK")))))))))</f>
        <v/>
      </c>
      <c r="B272" s="29"/>
      <c r="C272" s="22"/>
      <c r="D272" s="22"/>
      <c r="E272" s="24"/>
      <c r="F272" s="22"/>
      <c r="G272" s="22"/>
      <c r="H272" s="22"/>
      <c r="I272" s="30" t="str">
        <f>IF(H272="","",IFERROR(INDEX(Codes!$B$2:$B$13,MATCH(H272,Codes!$A$2:$A$13,0)),""))</f>
        <v/>
      </c>
      <c r="J272" s="23"/>
      <c r="K272" s="23"/>
      <c r="L272" s="23"/>
      <c r="M272" s="23"/>
      <c r="N272" s="23"/>
      <c r="O272" s="23"/>
      <c r="P272" s="23"/>
      <c r="Q272" s="31"/>
      <c r="R272" s="32"/>
      <c r="S272" s="32"/>
      <c r="T272" s="33" t="str">
        <f t="shared" si="8"/>
        <v/>
      </c>
      <c r="U272" s="34"/>
      <c r="V272" s="35"/>
      <c r="W272" s="33" t="str">
        <f t="shared" si="9"/>
        <v/>
      </c>
    </row>
    <row r="273" spans="1:23" x14ac:dyDescent="0.35">
      <c r="A273" s="21" t="str">
        <f>IF(COUNTA(B273:H273,J273:S273,U273:V273)=0,"",IF((IF(B273="","PO Ref, ","")&amp;IF(C273="","Vendor, ","")&amp;IF(D273="","Store, ","")&amp;IF(F273="","Product Type, ","")&amp;IF(G273="","Category, ","")&amp;IF(H273="","HSN Code, ","")&amp;IF(Q273="","Qty, ","")&amp;IF(R273="","Purchase Rate, ","")&amp;IF(S273="","MRP, ",""))&lt;&gt;"","Missing: "&amp;LEFT(IF(B273="","PO Ref, ","")&amp;IF(C273="","Vendor, ","")&amp;IF(D273="","Store, ","")&amp;IF(F273="","Product Type, ","")&amp;IF(G273="","Category, ","")&amp;IF(H273="","HSN Code, ","")&amp;IF(Q273="","Qty, ","")&amp;IF(R273="","Purchase Rate, ","")&amp;IF(S273="","MRP, ",""),LEN(IF(B273="","PO Ref, ","")&amp;IF(C273="","Vendor, ","")&amp;IF(D273="","Store, ","")&amp;IF(F273="","Product Type, ","")&amp;IF(G273="","Category, ","")&amp;IF(H273="","HSN Code, ","")&amp;IF(Q273="","Qty, ","")&amp;IF(R273="","Purchase Rate, ","")&amp;IF(S273="","MRP, ",""))-2),IF(COUNTIF(Vendors!$B$3:$B$202,C273)=0,"Add vendor "&amp;C273&amp;" on the Vendors sheet",IF(ISNA(MATCH(H273,Codes!$A$2:$A$13,0)),"Pick the HSN Code from the list",IF(AND(E273&lt;&gt;"",COUNTIFS($C$3:$C$1002,C273,$E$3:$E$1002,E273,$F$3:$F$1002,"&lt;&gt;"&amp;F273)+COUNTIFS($C$3:$C$1002,C273,$E$3:$E$1002,E273,$G$3:$G$1002,"&lt;&gt;"&amp;G273)&gt;0),"Design "&amp;E273&amp;" has another Product Type or Category on another row",IF(COUNTIFS($F$3:$F$1002,F273,$G$3:$G$1002,G273,$H$3:$H$1002,"&lt;&gt;"&amp;H273)&gt;0,F273&amp;" + "&amp;G273&amp;" has another HSN Code on another row",IF(AND(V273&lt;&gt;"",U273=""),"Received Qty needs the Vendor Invoice No",IF(AND(U273&lt;&gt;"",COUNTIFS(Bills!$B$3:$B$302,U273,Bills!$C$3:$C$302,C273)=0),"Add bill "&amp;U273&amp;" of "&amp;C273&amp;" on the Bills sheet",IF(S273&lt;R273,"MRP is below the Purchase Rate","OK")))))))))</f>
        <v/>
      </c>
      <c r="B273" s="29"/>
      <c r="C273" s="22"/>
      <c r="D273" s="22"/>
      <c r="E273" s="24"/>
      <c r="F273" s="22"/>
      <c r="G273" s="22"/>
      <c r="H273" s="22"/>
      <c r="I273" s="30" t="str">
        <f>IF(H273="","",IFERROR(INDEX(Codes!$B$2:$B$13,MATCH(H273,Codes!$A$2:$A$13,0)),""))</f>
        <v/>
      </c>
      <c r="J273" s="23"/>
      <c r="K273" s="23"/>
      <c r="L273" s="23"/>
      <c r="M273" s="23"/>
      <c r="N273" s="23"/>
      <c r="O273" s="23"/>
      <c r="P273" s="23"/>
      <c r="Q273" s="31"/>
      <c r="R273" s="32"/>
      <c r="S273" s="32"/>
      <c r="T273" s="33" t="str">
        <f t="shared" si="8"/>
        <v/>
      </c>
      <c r="U273" s="34"/>
      <c r="V273" s="35"/>
      <c r="W273" s="33" t="str">
        <f t="shared" si="9"/>
        <v/>
      </c>
    </row>
    <row r="274" spans="1:23" x14ac:dyDescent="0.35">
      <c r="A274" s="21" t="str">
        <f>IF(COUNTA(B274:H274,J274:S274,U274:V274)=0,"",IF((IF(B274="","PO Ref, ","")&amp;IF(C274="","Vendor, ","")&amp;IF(D274="","Store, ","")&amp;IF(F274="","Product Type, ","")&amp;IF(G274="","Category, ","")&amp;IF(H274="","HSN Code, ","")&amp;IF(Q274="","Qty, ","")&amp;IF(R274="","Purchase Rate, ","")&amp;IF(S274="","MRP, ",""))&lt;&gt;"","Missing: "&amp;LEFT(IF(B274="","PO Ref, ","")&amp;IF(C274="","Vendor, ","")&amp;IF(D274="","Store, ","")&amp;IF(F274="","Product Type, ","")&amp;IF(G274="","Category, ","")&amp;IF(H274="","HSN Code, ","")&amp;IF(Q274="","Qty, ","")&amp;IF(R274="","Purchase Rate, ","")&amp;IF(S274="","MRP, ",""),LEN(IF(B274="","PO Ref, ","")&amp;IF(C274="","Vendor, ","")&amp;IF(D274="","Store, ","")&amp;IF(F274="","Product Type, ","")&amp;IF(G274="","Category, ","")&amp;IF(H274="","HSN Code, ","")&amp;IF(Q274="","Qty, ","")&amp;IF(R274="","Purchase Rate, ","")&amp;IF(S274="","MRP, ",""))-2),IF(COUNTIF(Vendors!$B$3:$B$202,C274)=0,"Add vendor "&amp;C274&amp;" on the Vendors sheet",IF(ISNA(MATCH(H274,Codes!$A$2:$A$13,0)),"Pick the HSN Code from the list",IF(AND(E274&lt;&gt;"",COUNTIFS($C$3:$C$1002,C274,$E$3:$E$1002,E274,$F$3:$F$1002,"&lt;&gt;"&amp;F274)+COUNTIFS($C$3:$C$1002,C274,$E$3:$E$1002,E274,$G$3:$G$1002,"&lt;&gt;"&amp;G274)&gt;0),"Design "&amp;E274&amp;" has another Product Type or Category on another row",IF(COUNTIFS($F$3:$F$1002,F274,$G$3:$G$1002,G274,$H$3:$H$1002,"&lt;&gt;"&amp;H274)&gt;0,F274&amp;" + "&amp;G274&amp;" has another HSN Code on another row",IF(AND(V274&lt;&gt;"",U274=""),"Received Qty needs the Vendor Invoice No",IF(AND(U274&lt;&gt;"",COUNTIFS(Bills!$B$3:$B$302,U274,Bills!$C$3:$C$302,C274)=0),"Add bill "&amp;U274&amp;" of "&amp;C274&amp;" on the Bills sheet",IF(S274&lt;R274,"MRP is below the Purchase Rate","OK")))))))))</f>
        <v/>
      </c>
      <c r="B274" s="29"/>
      <c r="C274" s="22"/>
      <c r="D274" s="22"/>
      <c r="E274" s="24"/>
      <c r="F274" s="22"/>
      <c r="G274" s="22"/>
      <c r="H274" s="22"/>
      <c r="I274" s="30" t="str">
        <f>IF(H274="","",IFERROR(INDEX(Codes!$B$2:$B$13,MATCH(H274,Codes!$A$2:$A$13,0)),""))</f>
        <v/>
      </c>
      <c r="J274" s="23"/>
      <c r="K274" s="23"/>
      <c r="L274" s="23"/>
      <c r="M274" s="23"/>
      <c r="N274" s="23"/>
      <c r="O274" s="23"/>
      <c r="P274" s="23"/>
      <c r="Q274" s="31"/>
      <c r="R274" s="32"/>
      <c r="S274" s="32"/>
      <c r="T274" s="33" t="str">
        <f t="shared" si="8"/>
        <v/>
      </c>
      <c r="U274" s="34"/>
      <c r="V274" s="35"/>
      <c r="W274" s="33" t="str">
        <f t="shared" si="9"/>
        <v/>
      </c>
    </row>
    <row r="275" spans="1:23" x14ac:dyDescent="0.35">
      <c r="A275" s="21" t="str">
        <f>IF(COUNTA(B275:H275,J275:S275,U275:V275)=0,"",IF((IF(B275="","PO Ref, ","")&amp;IF(C275="","Vendor, ","")&amp;IF(D275="","Store, ","")&amp;IF(F275="","Product Type, ","")&amp;IF(G275="","Category, ","")&amp;IF(H275="","HSN Code, ","")&amp;IF(Q275="","Qty, ","")&amp;IF(R275="","Purchase Rate, ","")&amp;IF(S275="","MRP, ",""))&lt;&gt;"","Missing: "&amp;LEFT(IF(B275="","PO Ref, ","")&amp;IF(C275="","Vendor, ","")&amp;IF(D275="","Store, ","")&amp;IF(F275="","Product Type, ","")&amp;IF(G275="","Category, ","")&amp;IF(H275="","HSN Code, ","")&amp;IF(Q275="","Qty, ","")&amp;IF(R275="","Purchase Rate, ","")&amp;IF(S275="","MRP, ",""),LEN(IF(B275="","PO Ref, ","")&amp;IF(C275="","Vendor, ","")&amp;IF(D275="","Store, ","")&amp;IF(F275="","Product Type, ","")&amp;IF(G275="","Category, ","")&amp;IF(H275="","HSN Code, ","")&amp;IF(Q275="","Qty, ","")&amp;IF(R275="","Purchase Rate, ","")&amp;IF(S275="","MRP, ",""))-2),IF(COUNTIF(Vendors!$B$3:$B$202,C275)=0,"Add vendor "&amp;C275&amp;" on the Vendors sheet",IF(ISNA(MATCH(H275,Codes!$A$2:$A$13,0)),"Pick the HSN Code from the list",IF(AND(E275&lt;&gt;"",COUNTIFS($C$3:$C$1002,C275,$E$3:$E$1002,E275,$F$3:$F$1002,"&lt;&gt;"&amp;F275)+COUNTIFS($C$3:$C$1002,C275,$E$3:$E$1002,E275,$G$3:$G$1002,"&lt;&gt;"&amp;G275)&gt;0),"Design "&amp;E275&amp;" has another Product Type or Category on another row",IF(COUNTIFS($F$3:$F$1002,F275,$G$3:$G$1002,G275,$H$3:$H$1002,"&lt;&gt;"&amp;H275)&gt;0,F275&amp;" + "&amp;G275&amp;" has another HSN Code on another row",IF(AND(V275&lt;&gt;"",U275=""),"Received Qty needs the Vendor Invoice No",IF(AND(U275&lt;&gt;"",COUNTIFS(Bills!$B$3:$B$302,U275,Bills!$C$3:$C$302,C275)=0),"Add bill "&amp;U275&amp;" of "&amp;C275&amp;" on the Bills sheet",IF(S275&lt;R275,"MRP is below the Purchase Rate","OK")))))))))</f>
        <v/>
      </c>
      <c r="B275" s="29"/>
      <c r="C275" s="22"/>
      <c r="D275" s="22"/>
      <c r="E275" s="24"/>
      <c r="F275" s="22"/>
      <c r="G275" s="22"/>
      <c r="H275" s="22"/>
      <c r="I275" s="30" t="str">
        <f>IF(H275="","",IFERROR(INDEX(Codes!$B$2:$B$13,MATCH(H275,Codes!$A$2:$A$13,0)),""))</f>
        <v/>
      </c>
      <c r="J275" s="23"/>
      <c r="K275" s="23"/>
      <c r="L275" s="23"/>
      <c r="M275" s="23"/>
      <c r="N275" s="23"/>
      <c r="O275" s="23"/>
      <c r="P275" s="23"/>
      <c r="Q275" s="31"/>
      <c r="R275" s="32"/>
      <c r="S275" s="32"/>
      <c r="T275" s="33" t="str">
        <f t="shared" si="8"/>
        <v/>
      </c>
      <c r="U275" s="34"/>
      <c r="V275" s="35"/>
      <c r="W275" s="33" t="str">
        <f t="shared" si="9"/>
        <v/>
      </c>
    </row>
    <row r="276" spans="1:23" x14ac:dyDescent="0.35">
      <c r="A276" s="21" t="str">
        <f>IF(COUNTA(B276:H276,J276:S276,U276:V276)=0,"",IF((IF(B276="","PO Ref, ","")&amp;IF(C276="","Vendor, ","")&amp;IF(D276="","Store, ","")&amp;IF(F276="","Product Type, ","")&amp;IF(G276="","Category, ","")&amp;IF(H276="","HSN Code, ","")&amp;IF(Q276="","Qty, ","")&amp;IF(R276="","Purchase Rate, ","")&amp;IF(S276="","MRP, ",""))&lt;&gt;"","Missing: "&amp;LEFT(IF(B276="","PO Ref, ","")&amp;IF(C276="","Vendor, ","")&amp;IF(D276="","Store, ","")&amp;IF(F276="","Product Type, ","")&amp;IF(G276="","Category, ","")&amp;IF(H276="","HSN Code, ","")&amp;IF(Q276="","Qty, ","")&amp;IF(R276="","Purchase Rate, ","")&amp;IF(S276="","MRP, ",""),LEN(IF(B276="","PO Ref, ","")&amp;IF(C276="","Vendor, ","")&amp;IF(D276="","Store, ","")&amp;IF(F276="","Product Type, ","")&amp;IF(G276="","Category, ","")&amp;IF(H276="","HSN Code, ","")&amp;IF(Q276="","Qty, ","")&amp;IF(R276="","Purchase Rate, ","")&amp;IF(S276="","MRP, ",""))-2),IF(COUNTIF(Vendors!$B$3:$B$202,C276)=0,"Add vendor "&amp;C276&amp;" on the Vendors sheet",IF(ISNA(MATCH(H276,Codes!$A$2:$A$13,0)),"Pick the HSN Code from the list",IF(AND(E276&lt;&gt;"",COUNTIFS($C$3:$C$1002,C276,$E$3:$E$1002,E276,$F$3:$F$1002,"&lt;&gt;"&amp;F276)+COUNTIFS($C$3:$C$1002,C276,$E$3:$E$1002,E276,$G$3:$G$1002,"&lt;&gt;"&amp;G276)&gt;0),"Design "&amp;E276&amp;" has another Product Type or Category on another row",IF(COUNTIFS($F$3:$F$1002,F276,$G$3:$G$1002,G276,$H$3:$H$1002,"&lt;&gt;"&amp;H276)&gt;0,F276&amp;" + "&amp;G276&amp;" has another HSN Code on another row",IF(AND(V276&lt;&gt;"",U276=""),"Received Qty needs the Vendor Invoice No",IF(AND(U276&lt;&gt;"",COUNTIFS(Bills!$B$3:$B$302,U276,Bills!$C$3:$C$302,C276)=0),"Add bill "&amp;U276&amp;" of "&amp;C276&amp;" on the Bills sheet",IF(S276&lt;R276,"MRP is below the Purchase Rate","OK")))))))))</f>
        <v/>
      </c>
      <c r="B276" s="29"/>
      <c r="C276" s="22"/>
      <c r="D276" s="22"/>
      <c r="E276" s="24"/>
      <c r="F276" s="22"/>
      <c r="G276" s="22"/>
      <c r="H276" s="22"/>
      <c r="I276" s="30" t="str">
        <f>IF(H276="","",IFERROR(INDEX(Codes!$B$2:$B$13,MATCH(H276,Codes!$A$2:$A$13,0)),""))</f>
        <v/>
      </c>
      <c r="J276" s="23"/>
      <c r="K276" s="23"/>
      <c r="L276" s="23"/>
      <c r="M276" s="23"/>
      <c r="N276" s="23"/>
      <c r="O276" s="23"/>
      <c r="P276" s="23"/>
      <c r="Q276" s="31"/>
      <c r="R276" s="32"/>
      <c r="S276" s="32"/>
      <c r="T276" s="33" t="str">
        <f t="shared" si="8"/>
        <v/>
      </c>
      <c r="U276" s="34"/>
      <c r="V276" s="35"/>
      <c r="W276" s="33" t="str">
        <f t="shared" si="9"/>
        <v/>
      </c>
    </row>
    <row r="277" spans="1:23" x14ac:dyDescent="0.35">
      <c r="A277" s="21" t="str">
        <f>IF(COUNTA(B277:H277,J277:S277,U277:V277)=0,"",IF((IF(B277="","PO Ref, ","")&amp;IF(C277="","Vendor, ","")&amp;IF(D277="","Store, ","")&amp;IF(F277="","Product Type, ","")&amp;IF(G277="","Category, ","")&amp;IF(H277="","HSN Code, ","")&amp;IF(Q277="","Qty, ","")&amp;IF(R277="","Purchase Rate, ","")&amp;IF(S277="","MRP, ",""))&lt;&gt;"","Missing: "&amp;LEFT(IF(B277="","PO Ref, ","")&amp;IF(C277="","Vendor, ","")&amp;IF(D277="","Store, ","")&amp;IF(F277="","Product Type, ","")&amp;IF(G277="","Category, ","")&amp;IF(H277="","HSN Code, ","")&amp;IF(Q277="","Qty, ","")&amp;IF(R277="","Purchase Rate, ","")&amp;IF(S277="","MRP, ",""),LEN(IF(B277="","PO Ref, ","")&amp;IF(C277="","Vendor, ","")&amp;IF(D277="","Store, ","")&amp;IF(F277="","Product Type, ","")&amp;IF(G277="","Category, ","")&amp;IF(H277="","HSN Code, ","")&amp;IF(Q277="","Qty, ","")&amp;IF(R277="","Purchase Rate, ","")&amp;IF(S277="","MRP, ",""))-2),IF(COUNTIF(Vendors!$B$3:$B$202,C277)=0,"Add vendor "&amp;C277&amp;" on the Vendors sheet",IF(ISNA(MATCH(H277,Codes!$A$2:$A$13,0)),"Pick the HSN Code from the list",IF(AND(E277&lt;&gt;"",COUNTIFS($C$3:$C$1002,C277,$E$3:$E$1002,E277,$F$3:$F$1002,"&lt;&gt;"&amp;F277)+COUNTIFS($C$3:$C$1002,C277,$E$3:$E$1002,E277,$G$3:$G$1002,"&lt;&gt;"&amp;G277)&gt;0),"Design "&amp;E277&amp;" has another Product Type or Category on another row",IF(COUNTIFS($F$3:$F$1002,F277,$G$3:$G$1002,G277,$H$3:$H$1002,"&lt;&gt;"&amp;H277)&gt;0,F277&amp;" + "&amp;G277&amp;" has another HSN Code on another row",IF(AND(V277&lt;&gt;"",U277=""),"Received Qty needs the Vendor Invoice No",IF(AND(U277&lt;&gt;"",COUNTIFS(Bills!$B$3:$B$302,U277,Bills!$C$3:$C$302,C277)=0),"Add bill "&amp;U277&amp;" of "&amp;C277&amp;" on the Bills sheet",IF(S277&lt;R277,"MRP is below the Purchase Rate","OK")))))))))</f>
        <v/>
      </c>
      <c r="B277" s="29"/>
      <c r="C277" s="22"/>
      <c r="D277" s="22"/>
      <c r="E277" s="24"/>
      <c r="F277" s="22"/>
      <c r="G277" s="22"/>
      <c r="H277" s="22"/>
      <c r="I277" s="30" t="str">
        <f>IF(H277="","",IFERROR(INDEX(Codes!$B$2:$B$13,MATCH(H277,Codes!$A$2:$A$13,0)),""))</f>
        <v/>
      </c>
      <c r="J277" s="23"/>
      <c r="K277" s="23"/>
      <c r="L277" s="23"/>
      <c r="M277" s="23"/>
      <c r="N277" s="23"/>
      <c r="O277" s="23"/>
      <c r="P277" s="23"/>
      <c r="Q277" s="31"/>
      <c r="R277" s="32"/>
      <c r="S277" s="32"/>
      <c r="T277" s="33" t="str">
        <f t="shared" si="8"/>
        <v/>
      </c>
      <c r="U277" s="34"/>
      <c r="V277" s="35"/>
      <c r="W277" s="33" t="str">
        <f t="shared" si="9"/>
        <v/>
      </c>
    </row>
    <row r="278" spans="1:23" x14ac:dyDescent="0.35">
      <c r="A278" s="21" t="str">
        <f>IF(COUNTA(B278:H278,J278:S278,U278:V278)=0,"",IF((IF(B278="","PO Ref, ","")&amp;IF(C278="","Vendor, ","")&amp;IF(D278="","Store, ","")&amp;IF(F278="","Product Type, ","")&amp;IF(G278="","Category, ","")&amp;IF(H278="","HSN Code, ","")&amp;IF(Q278="","Qty, ","")&amp;IF(R278="","Purchase Rate, ","")&amp;IF(S278="","MRP, ",""))&lt;&gt;"","Missing: "&amp;LEFT(IF(B278="","PO Ref, ","")&amp;IF(C278="","Vendor, ","")&amp;IF(D278="","Store, ","")&amp;IF(F278="","Product Type, ","")&amp;IF(G278="","Category, ","")&amp;IF(H278="","HSN Code, ","")&amp;IF(Q278="","Qty, ","")&amp;IF(R278="","Purchase Rate, ","")&amp;IF(S278="","MRP, ",""),LEN(IF(B278="","PO Ref, ","")&amp;IF(C278="","Vendor, ","")&amp;IF(D278="","Store, ","")&amp;IF(F278="","Product Type, ","")&amp;IF(G278="","Category, ","")&amp;IF(H278="","HSN Code, ","")&amp;IF(Q278="","Qty, ","")&amp;IF(R278="","Purchase Rate, ","")&amp;IF(S278="","MRP, ",""))-2),IF(COUNTIF(Vendors!$B$3:$B$202,C278)=0,"Add vendor "&amp;C278&amp;" on the Vendors sheet",IF(ISNA(MATCH(H278,Codes!$A$2:$A$13,0)),"Pick the HSN Code from the list",IF(AND(E278&lt;&gt;"",COUNTIFS($C$3:$C$1002,C278,$E$3:$E$1002,E278,$F$3:$F$1002,"&lt;&gt;"&amp;F278)+COUNTIFS($C$3:$C$1002,C278,$E$3:$E$1002,E278,$G$3:$G$1002,"&lt;&gt;"&amp;G278)&gt;0),"Design "&amp;E278&amp;" has another Product Type or Category on another row",IF(COUNTIFS($F$3:$F$1002,F278,$G$3:$G$1002,G278,$H$3:$H$1002,"&lt;&gt;"&amp;H278)&gt;0,F278&amp;" + "&amp;G278&amp;" has another HSN Code on another row",IF(AND(V278&lt;&gt;"",U278=""),"Received Qty needs the Vendor Invoice No",IF(AND(U278&lt;&gt;"",COUNTIFS(Bills!$B$3:$B$302,U278,Bills!$C$3:$C$302,C278)=0),"Add bill "&amp;U278&amp;" of "&amp;C278&amp;" on the Bills sheet",IF(S278&lt;R278,"MRP is below the Purchase Rate","OK")))))))))</f>
        <v/>
      </c>
      <c r="B278" s="29"/>
      <c r="C278" s="22"/>
      <c r="D278" s="22"/>
      <c r="E278" s="24"/>
      <c r="F278" s="22"/>
      <c r="G278" s="22"/>
      <c r="H278" s="22"/>
      <c r="I278" s="30" t="str">
        <f>IF(H278="","",IFERROR(INDEX(Codes!$B$2:$B$13,MATCH(H278,Codes!$A$2:$A$13,0)),""))</f>
        <v/>
      </c>
      <c r="J278" s="23"/>
      <c r="K278" s="23"/>
      <c r="L278" s="23"/>
      <c r="M278" s="23"/>
      <c r="N278" s="23"/>
      <c r="O278" s="23"/>
      <c r="P278" s="23"/>
      <c r="Q278" s="31"/>
      <c r="R278" s="32"/>
      <c r="S278" s="32"/>
      <c r="T278" s="33" t="str">
        <f t="shared" si="8"/>
        <v/>
      </c>
      <c r="U278" s="34"/>
      <c r="V278" s="35"/>
      <c r="W278" s="33" t="str">
        <f t="shared" si="9"/>
        <v/>
      </c>
    </row>
    <row r="279" spans="1:23" x14ac:dyDescent="0.35">
      <c r="A279" s="21" t="str">
        <f>IF(COUNTA(B279:H279,J279:S279,U279:V279)=0,"",IF((IF(B279="","PO Ref, ","")&amp;IF(C279="","Vendor, ","")&amp;IF(D279="","Store, ","")&amp;IF(F279="","Product Type, ","")&amp;IF(G279="","Category, ","")&amp;IF(H279="","HSN Code, ","")&amp;IF(Q279="","Qty, ","")&amp;IF(R279="","Purchase Rate, ","")&amp;IF(S279="","MRP, ",""))&lt;&gt;"","Missing: "&amp;LEFT(IF(B279="","PO Ref, ","")&amp;IF(C279="","Vendor, ","")&amp;IF(D279="","Store, ","")&amp;IF(F279="","Product Type, ","")&amp;IF(G279="","Category, ","")&amp;IF(H279="","HSN Code, ","")&amp;IF(Q279="","Qty, ","")&amp;IF(R279="","Purchase Rate, ","")&amp;IF(S279="","MRP, ",""),LEN(IF(B279="","PO Ref, ","")&amp;IF(C279="","Vendor, ","")&amp;IF(D279="","Store, ","")&amp;IF(F279="","Product Type, ","")&amp;IF(G279="","Category, ","")&amp;IF(H279="","HSN Code, ","")&amp;IF(Q279="","Qty, ","")&amp;IF(R279="","Purchase Rate, ","")&amp;IF(S279="","MRP, ",""))-2),IF(COUNTIF(Vendors!$B$3:$B$202,C279)=0,"Add vendor "&amp;C279&amp;" on the Vendors sheet",IF(ISNA(MATCH(H279,Codes!$A$2:$A$13,0)),"Pick the HSN Code from the list",IF(AND(E279&lt;&gt;"",COUNTIFS($C$3:$C$1002,C279,$E$3:$E$1002,E279,$F$3:$F$1002,"&lt;&gt;"&amp;F279)+COUNTIFS($C$3:$C$1002,C279,$E$3:$E$1002,E279,$G$3:$G$1002,"&lt;&gt;"&amp;G279)&gt;0),"Design "&amp;E279&amp;" has another Product Type or Category on another row",IF(COUNTIFS($F$3:$F$1002,F279,$G$3:$G$1002,G279,$H$3:$H$1002,"&lt;&gt;"&amp;H279)&gt;0,F279&amp;" + "&amp;G279&amp;" has another HSN Code on another row",IF(AND(V279&lt;&gt;"",U279=""),"Received Qty needs the Vendor Invoice No",IF(AND(U279&lt;&gt;"",COUNTIFS(Bills!$B$3:$B$302,U279,Bills!$C$3:$C$302,C279)=0),"Add bill "&amp;U279&amp;" of "&amp;C279&amp;" on the Bills sheet",IF(S279&lt;R279,"MRP is below the Purchase Rate","OK")))))))))</f>
        <v/>
      </c>
      <c r="B279" s="29"/>
      <c r="C279" s="22"/>
      <c r="D279" s="22"/>
      <c r="E279" s="24"/>
      <c r="F279" s="22"/>
      <c r="G279" s="22"/>
      <c r="H279" s="22"/>
      <c r="I279" s="30" t="str">
        <f>IF(H279="","",IFERROR(INDEX(Codes!$B$2:$B$13,MATCH(H279,Codes!$A$2:$A$13,0)),""))</f>
        <v/>
      </c>
      <c r="J279" s="23"/>
      <c r="K279" s="23"/>
      <c r="L279" s="23"/>
      <c r="M279" s="23"/>
      <c r="N279" s="23"/>
      <c r="O279" s="23"/>
      <c r="P279" s="23"/>
      <c r="Q279" s="31"/>
      <c r="R279" s="32"/>
      <c r="S279" s="32"/>
      <c r="T279" s="33" t="str">
        <f t="shared" si="8"/>
        <v/>
      </c>
      <c r="U279" s="34"/>
      <c r="V279" s="35"/>
      <c r="W279" s="33" t="str">
        <f t="shared" si="9"/>
        <v/>
      </c>
    </row>
    <row r="280" spans="1:23" x14ac:dyDescent="0.35">
      <c r="A280" s="21" t="str">
        <f>IF(COUNTA(B280:H280,J280:S280,U280:V280)=0,"",IF((IF(B280="","PO Ref, ","")&amp;IF(C280="","Vendor, ","")&amp;IF(D280="","Store, ","")&amp;IF(F280="","Product Type, ","")&amp;IF(G280="","Category, ","")&amp;IF(H280="","HSN Code, ","")&amp;IF(Q280="","Qty, ","")&amp;IF(R280="","Purchase Rate, ","")&amp;IF(S280="","MRP, ",""))&lt;&gt;"","Missing: "&amp;LEFT(IF(B280="","PO Ref, ","")&amp;IF(C280="","Vendor, ","")&amp;IF(D280="","Store, ","")&amp;IF(F280="","Product Type, ","")&amp;IF(G280="","Category, ","")&amp;IF(H280="","HSN Code, ","")&amp;IF(Q280="","Qty, ","")&amp;IF(R280="","Purchase Rate, ","")&amp;IF(S280="","MRP, ",""),LEN(IF(B280="","PO Ref, ","")&amp;IF(C280="","Vendor, ","")&amp;IF(D280="","Store, ","")&amp;IF(F280="","Product Type, ","")&amp;IF(G280="","Category, ","")&amp;IF(H280="","HSN Code, ","")&amp;IF(Q280="","Qty, ","")&amp;IF(R280="","Purchase Rate, ","")&amp;IF(S280="","MRP, ",""))-2),IF(COUNTIF(Vendors!$B$3:$B$202,C280)=0,"Add vendor "&amp;C280&amp;" on the Vendors sheet",IF(ISNA(MATCH(H280,Codes!$A$2:$A$13,0)),"Pick the HSN Code from the list",IF(AND(E280&lt;&gt;"",COUNTIFS($C$3:$C$1002,C280,$E$3:$E$1002,E280,$F$3:$F$1002,"&lt;&gt;"&amp;F280)+COUNTIFS($C$3:$C$1002,C280,$E$3:$E$1002,E280,$G$3:$G$1002,"&lt;&gt;"&amp;G280)&gt;0),"Design "&amp;E280&amp;" has another Product Type or Category on another row",IF(COUNTIFS($F$3:$F$1002,F280,$G$3:$G$1002,G280,$H$3:$H$1002,"&lt;&gt;"&amp;H280)&gt;0,F280&amp;" + "&amp;G280&amp;" has another HSN Code on another row",IF(AND(V280&lt;&gt;"",U280=""),"Received Qty needs the Vendor Invoice No",IF(AND(U280&lt;&gt;"",COUNTIFS(Bills!$B$3:$B$302,U280,Bills!$C$3:$C$302,C280)=0),"Add bill "&amp;U280&amp;" of "&amp;C280&amp;" on the Bills sheet",IF(S280&lt;R280,"MRP is below the Purchase Rate","OK")))))))))</f>
        <v/>
      </c>
      <c r="B280" s="29"/>
      <c r="C280" s="22"/>
      <c r="D280" s="22"/>
      <c r="E280" s="24"/>
      <c r="F280" s="22"/>
      <c r="G280" s="22"/>
      <c r="H280" s="22"/>
      <c r="I280" s="30" t="str">
        <f>IF(H280="","",IFERROR(INDEX(Codes!$B$2:$B$13,MATCH(H280,Codes!$A$2:$A$13,0)),""))</f>
        <v/>
      </c>
      <c r="J280" s="23"/>
      <c r="K280" s="23"/>
      <c r="L280" s="23"/>
      <c r="M280" s="23"/>
      <c r="N280" s="23"/>
      <c r="O280" s="23"/>
      <c r="P280" s="23"/>
      <c r="Q280" s="31"/>
      <c r="R280" s="32"/>
      <c r="S280" s="32"/>
      <c r="T280" s="33" t="str">
        <f t="shared" si="8"/>
        <v/>
      </c>
      <c r="U280" s="34"/>
      <c r="V280" s="35"/>
      <c r="W280" s="33" t="str">
        <f t="shared" si="9"/>
        <v/>
      </c>
    </row>
    <row r="281" spans="1:23" x14ac:dyDescent="0.35">
      <c r="A281" s="21" t="str">
        <f>IF(COUNTA(B281:H281,J281:S281,U281:V281)=0,"",IF((IF(B281="","PO Ref, ","")&amp;IF(C281="","Vendor, ","")&amp;IF(D281="","Store, ","")&amp;IF(F281="","Product Type, ","")&amp;IF(G281="","Category, ","")&amp;IF(H281="","HSN Code, ","")&amp;IF(Q281="","Qty, ","")&amp;IF(R281="","Purchase Rate, ","")&amp;IF(S281="","MRP, ",""))&lt;&gt;"","Missing: "&amp;LEFT(IF(B281="","PO Ref, ","")&amp;IF(C281="","Vendor, ","")&amp;IF(D281="","Store, ","")&amp;IF(F281="","Product Type, ","")&amp;IF(G281="","Category, ","")&amp;IF(H281="","HSN Code, ","")&amp;IF(Q281="","Qty, ","")&amp;IF(R281="","Purchase Rate, ","")&amp;IF(S281="","MRP, ",""),LEN(IF(B281="","PO Ref, ","")&amp;IF(C281="","Vendor, ","")&amp;IF(D281="","Store, ","")&amp;IF(F281="","Product Type, ","")&amp;IF(G281="","Category, ","")&amp;IF(H281="","HSN Code, ","")&amp;IF(Q281="","Qty, ","")&amp;IF(R281="","Purchase Rate, ","")&amp;IF(S281="","MRP, ",""))-2),IF(COUNTIF(Vendors!$B$3:$B$202,C281)=0,"Add vendor "&amp;C281&amp;" on the Vendors sheet",IF(ISNA(MATCH(H281,Codes!$A$2:$A$13,0)),"Pick the HSN Code from the list",IF(AND(E281&lt;&gt;"",COUNTIFS($C$3:$C$1002,C281,$E$3:$E$1002,E281,$F$3:$F$1002,"&lt;&gt;"&amp;F281)+COUNTIFS($C$3:$C$1002,C281,$E$3:$E$1002,E281,$G$3:$G$1002,"&lt;&gt;"&amp;G281)&gt;0),"Design "&amp;E281&amp;" has another Product Type or Category on another row",IF(COUNTIFS($F$3:$F$1002,F281,$G$3:$G$1002,G281,$H$3:$H$1002,"&lt;&gt;"&amp;H281)&gt;0,F281&amp;" + "&amp;G281&amp;" has another HSN Code on another row",IF(AND(V281&lt;&gt;"",U281=""),"Received Qty needs the Vendor Invoice No",IF(AND(U281&lt;&gt;"",COUNTIFS(Bills!$B$3:$B$302,U281,Bills!$C$3:$C$302,C281)=0),"Add bill "&amp;U281&amp;" of "&amp;C281&amp;" on the Bills sheet",IF(S281&lt;R281,"MRP is below the Purchase Rate","OK")))))))))</f>
        <v/>
      </c>
      <c r="B281" s="29"/>
      <c r="C281" s="22"/>
      <c r="D281" s="22"/>
      <c r="E281" s="24"/>
      <c r="F281" s="22"/>
      <c r="G281" s="22"/>
      <c r="H281" s="22"/>
      <c r="I281" s="30" t="str">
        <f>IF(H281="","",IFERROR(INDEX(Codes!$B$2:$B$13,MATCH(H281,Codes!$A$2:$A$13,0)),""))</f>
        <v/>
      </c>
      <c r="J281" s="23"/>
      <c r="K281" s="23"/>
      <c r="L281" s="23"/>
      <c r="M281" s="23"/>
      <c r="N281" s="23"/>
      <c r="O281" s="23"/>
      <c r="P281" s="23"/>
      <c r="Q281" s="31"/>
      <c r="R281" s="32"/>
      <c r="S281" s="32"/>
      <c r="T281" s="33" t="str">
        <f t="shared" si="8"/>
        <v/>
      </c>
      <c r="U281" s="34"/>
      <c r="V281" s="35"/>
      <c r="W281" s="33" t="str">
        <f t="shared" si="9"/>
        <v/>
      </c>
    </row>
    <row r="282" spans="1:23" x14ac:dyDescent="0.35">
      <c r="A282" s="21" t="str">
        <f>IF(COUNTA(B282:H282,J282:S282,U282:V282)=0,"",IF((IF(B282="","PO Ref, ","")&amp;IF(C282="","Vendor, ","")&amp;IF(D282="","Store, ","")&amp;IF(F282="","Product Type, ","")&amp;IF(G282="","Category, ","")&amp;IF(H282="","HSN Code, ","")&amp;IF(Q282="","Qty, ","")&amp;IF(R282="","Purchase Rate, ","")&amp;IF(S282="","MRP, ",""))&lt;&gt;"","Missing: "&amp;LEFT(IF(B282="","PO Ref, ","")&amp;IF(C282="","Vendor, ","")&amp;IF(D282="","Store, ","")&amp;IF(F282="","Product Type, ","")&amp;IF(G282="","Category, ","")&amp;IF(H282="","HSN Code, ","")&amp;IF(Q282="","Qty, ","")&amp;IF(R282="","Purchase Rate, ","")&amp;IF(S282="","MRP, ",""),LEN(IF(B282="","PO Ref, ","")&amp;IF(C282="","Vendor, ","")&amp;IF(D282="","Store, ","")&amp;IF(F282="","Product Type, ","")&amp;IF(G282="","Category, ","")&amp;IF(H282="","HSN Code, ","")&amp;IF(Q282="","Qty, ","")&amp;IF(R282="","Purchase Rate, ","")&amp;IF(S282="","MRP, ",""))-2),IF(COUNTIF(Vendors!$B$3:$B$202,C282)=0,"Add vendor "&amp;C282&amp;" on the Vendors sheet",IF(ISNA(MATCH(H282,Codes!$A$2:$A$13,0)),"Pick the HSN Code from the list",IF(AND(E282&lt;&gt;"",COUNTIFS($C$3:$C$1002,C282,$E$3:$E$1002,E282,$F$3:$F$1002,"&lt;&gt;"&amp;F282)+COUNTIFS($C$3:$C$1002,C282,$E$3:$E$1002,E282,$G$3:$G$1002,"&lt;&gt;"&amp;G282)&gt;0),"Design "&amp;E282&amp;" has another Product Type or Category on another row",IF(COUNTIFS($F$3:$F$1002,F282,$G$3:$G$1002,G282,$H$3:$H$1002,"&lt;&gt;"&amp;H282)&gt;0,F282&amp;" + "&amp;G282&amp;" has another HSN Code on another row",IF(AND(V282&lt;&gt;"",U282=""),"Received Qty needs the Vendor Invoice No",IF(AND(U282&lt;&gt;"",COUNTIFS(Bills!$B$3:$B$302,U282,Bills!$C$3:$C$302,C282)=0),"Add bill "&amp;U282&amp;" of "&amp;C282&amp;" on the Bills sheet",IF(S282&lt;R282,"MRP is below the Purchase Rate","OK")))))))))</f>
        <v/>
      </c>
      <c r="B282" s="29"/>
      <c r="C282" s="22"/>
      <c r="D282" s="22"/>
      <c r="E282" s="24"/>
      <c r="F282" s="22"/>
      <c r="G282" s="22"/>
      <c r="H282" s="22"/>
      <c r="I282" s="30" t="str">
        <f>IF(H282="","",IFERROR(INDEX(Codes!$B$2:$B$13,MATCH(H282,Codes!$A$2:$A$13,0)),""))</f>
        <v/>
      </c>
      <c r="J282" s="23"/>
      <c r="K282" s="23"/>
      <c r="L282" s="23"/>
      <c r="M282" s="23"/>
      <c r="N282" s="23"/>
      <c r="O282" s="23"/>
      <c r="P282" s="23"/>
      <c r="Q282" s="31"/>
      <c r="R282" s="32"/>
      <c r="S282" s="32"/>
      <c r="T282" s="33" t="str">
        <f t="shared" si="8"/>
        <v/>
      </c>
      <c r="U282" s="34"/>
      <c r="V282" s="35"/>
      <c r="W282" s="33" t="str">
        <f t="shared" si="9"/>
        <v/>
      </c>
    </row>
    <row r="283" spans="1:23" x14ac:dyDescent="0.35">
      <c r="A283" s="21" t="str">
        <f>IF(COUNTA(B283:H283,J283:S283,U283:V283)=0,"",IF((IF(B283="","PO Ref, ","")&amp;IF(C283="","Vendor, ","")&amp;IF(D283="","Store, ","")&amp;IF(F283="","Product Type, ","")&amp;IF(G283="","Category, ","")&amp;IF(H283="","HSN Code, ","")&amp;IF(Q283="","Qty, ","")&amp;IF(R283="","Purchase Rate, ","")&amp;IF(S283="","MRP, ",""))&lt;&gt;"","Missing: "&amp;LEFT(IF(B283="","PO Ref, ","")&amp;IF(C283="","Vendor, ","")&amp;IF(D283="","Store, ","")&amp;IF(F283="","Product Type, ","")&amp;IF(G283="","Category, ","")&amp;IF(H283="","HSN Code, ","")&amp;IF(Q283="","Qty, ","")&amp;IF(R283="","Purchase Rate, ","")&amp;IF(S283="","MRP, ",""),LEN(IF(B283="","PO Ref, ","")&amp;IF(C283="","Vendor, ","")&amp;IF(D283="","Store, ","")&amp;IF(F283="","Product Type, ","")&amp;IF(G283="","Category, ","")&amp;IF(H283="","HSN Code, ","")&amp;IF(Q283="","Qty, ","")&amp;IF(R283="","Purchase Rate, ","")&amp;IF(S283="","MRP, ",""))-2),IF(COUNTIF(Vendors!$B$3:$B$202,C283)=0,"Add vendor "&amp;C283&amp;" on the Vendors sheet",IF(ISNA(MATCH(H283,Codes!$A$2:$A$13,0)),"Pick the HSN Code from the list",IF(AND(E283&lt;&gt;"",COUNTIFS($C$3:$C$1002,C283,$E$3:$E$1002,E283,$F$3:$F$1002,"&lt;&gt;"&amp;F283)+COUNTIFS($C$3:$C$1002,C283,$E$3:$E$1002,E283,$G$3:$G$1002,"&lt;&gt;"&amp;G283)&gt;0),"Design "&amp;E283&amp;" has another Product Type or Category on another row",IF(COUNTIFS($F$3:$F$1002,F283,$G$3:$G$1002,G283,$H$3:$H$1002,"&lt;&gt;"&amp;H283)&gt;0,F283&amp;" + "&amp;G283&amp;" has another HSN Code on another row",IF(AND(V283&lt;&gt;"",U283=""),"Received Qty needs the Vendor Invoice No",IF(AND(U283&lt;&gt;"",COUNTIFS(Bills!$B$3:$B$302,U283,Bills!$C$3:$C$302,C283)=0),"Add bill "&amp;U283&amp;" of "&amp;C283&amp;" on the Bills sheet",IF(S283&lt;R283,"MRP is below the Purchase Rate","OK")))))))))</f>
        <v/>
      </c>
      <c r="B283" s="29"/>
      <c r="C283" s="22"/>
      <c r="D283" s="22"/>
      <c r="E283" s="24"/>
      <c r="F283" s="22"/>
      <c r="G283" s="22"/>
      <c r="H283" s="22"/>
      <c r="I283" s="30" t="str">
        <f>IF(H283="","",IFERROR(INDEX(Codes!$B$2:$B$13,MATCH(H283,Codes!$A$2:$A$13,0)),""))</f>
        <v/>
      </c>
      <c r="J283" s="23"/>
      <c r="K283" s="23"/>
      <c r="L283" s="23"/>
      <c r="M283" s="23"/>
      <c r="N283" s="23"/>
      <c r="O283" s="23"/>
      <c r="P283" s="23"/>
      <c r="Q283" s="31"/>
      <c r="R283" s="32"/>
      <c r="S283" s="32"/>
      <c r="T283" s="33" t="str">
        <f t="shared" si="8"/>
        <v/>
      </c>
      <c r="U283" s="34"/>
      <c r="V283" s="35"/>
      <c r="W283" s="33" t="str">
        <f t="shared" si="9"/>
        <v/>
      </c>
    </row>
    <row r="284" spans="1:23" x14ac:dyDescent="0.35">
      <c r="A284" s="21" t="str">
        <f>IF(COUNTA(B284:H284,J284:S284,U284:V284)=0,"",IF((IF(B284="","PO Ref, ","")&amp;IF(C284="","Vendor, ","")&amp;IF(D284="","Store, ","")&amp;IF(F284="","Product Type, ","")&amp;IF(G284="","Category, ","")&amp;IF(H284="","HSN Code, ","")&amp;IF(Q284="","Qty, ","")&amp;IF(R284="","Purchase Rate, ","")&amp;IF(S284="","MRP, ",""))&lt;&gt;"","Missing: "&amp;LEFT(IF(B284="","PO Ref, ","")&amp;IF(C284="","Vendor, ","")&amp;IF(D284="","Store, ","")&amp;IF(F284="","Product Type, ","")&amp;IF(G284="","Category, ","")&amp;IF(H284="","HSN Code, ","")&amp;IF(Q284="","Qty, ","")&amp;IF(R284="","Purchase Rate, ","")&amp;IF(S284="","MRP, ",""),LEN(IF(B284="","PO Ref, ","")&amp;IF(C284="","Vendor, ","")&amp;IF(D284="","Store, ","")&amp;IF(F284="","Product Type, ","")&amp;IF(G284="","Category, ","")&amp;IF(H284="","HSN Code, ","")&amp;IF(Q284="","Qty, ","")&amp;IF(R284="","Purchase Rate, ","")&amp;IF(S284="","MRP, ",""))-2),IF(COUNTIF(Vendors!$B$3:$B$202,C284)=0,"Add vendor "&amp;C284&amp;" on the Vendors sheet",IF(ISNA(MATCH(H284,Codes!$A$2:$A$13,0)),"Pick the HSN Code from the list",IF(AND(E284&lt;&gt;"",COUNTIFS($C$3:$C$1002,C284,$E$3:$E$1002,E284,$F$3:$F$1002,"&lt;&gt;"&amp;F284)+COUNTIFS($C$3:$C$1002,C284,$E$3:$E$1002,E284,$G$3:$G$1002,"&lt;&gt;"&amp;G284)&gt;0),"Design "&amp;E284&amp;" has another Product Type or Category on another row",IF(COUNTIFS($F$3:$F$1002,F284,$G$3:$G$1002,G284,$H$3:$H$1002,"&lt;&gt;"&amp;H284)&gt;0,F284&amp;" + "&amp;G284&amp;" has another HSN Code on another row",IF(AND(V284&lt;&gt;"",U284=""),"Received Qty needs the Vendor Invoice No",IF(AND(U284&lt;&gt;"",COUNTIFS(Bills!$B$3:$B$302,U284,Bills!$C$3:$C$302,C284)=0),"Add bill "&amp;U284&amp;" of "&amp;C284&amp;" on the Bills sheet",IF(S284&lt;R284,"MRP is below the Purchase Rate","OK")))))))))</f>
        <v/>
      </c>
      <c r="B284" s="29"/>
      <c r="C284" s="22"/>
      <c r="D284" s="22"/>
      <c r="E284" s="24"/>
      <c r="F284" s="22"/>
      <c r="G284" s="22"/>
      <c r="H284" s="22"/>
      <c r="I284" s="30" t="str">
        <f>IF(H284="","",IFERROR(INDEX(Codes!$B$2:$B$13,MATCH(H284,Codes!$A$2:$A$13,0)),""))</f>
        <v/>
      </c>
      <c r="J284" s="23"/>
      <c r="K284" s="23"/>
      <c r="L284" s="23"/>
      <c r="M284" s="23"/>
      <c r="N284" s="23"/>
      <c r="O284" s="23"/>
      <c r="P284" s="23"/>
      <c r="Q284" s="31"/>
      <c r="R284" s="32"/>
      <c r="S284" s="32"/>
      <c r="T284" s="33" t="str">
        <f t="shared" si="8"/>
        <v/>
      </c>
      <c r="U284" s="34"/>
      <c r="V284" s="35"/>
      <c r="W284" s="33" t="str">
        <f t="shared" si="9"/>
        <v/>
      </c>
    </row>
    <row r="285" spans="1:23" x14ac:dyDescent="0.35">
      <c r="A285" s="21" t="str">
        <f>IF(COUNTA(B285:H285,J285:S285,U285:V285)=0,"",IF((IF(B285="","PO Ref, ","")&amp;IF(C285="","Vendor, ","")&amp;IF(D285="","Store, ","")&amp;IF(F285="","Product Type, ","")&amp;IF(G285="","Category, ","")&amp;IF(H285="","HSN Code, ","")&amp;IF(Q285="","Qty, ","")&amp;IF(R285="","Purchase Rate, ","")&amp;IF(S285="","MRP, ",""))&lt;&gt;"","Missing: "&amp;LEFT(IF(B285="","PO Ref, ","")&amp;IF(C285="","Vendor, ","")&amp;IF(D285="","Store, ","")&amp;IF(F285="","Product Type, ","")&amp;IF(G285="","Category, ","")&amp;IF(H285="","HSN Code, ","")&amp;IF(Q285="","Qty, ","")&amp;IF(R285="","Purchase Rate, ","")&amp;IF(S285="","MRP, ",""),LEN(IF(B285="","PO Ref, ","")&amp;IF(C285="","Vendor, ","")&amp;IF(D285="","Store, ","")&amp;IF(F285="","Product Type, ","")&amp;IF(G285="","Category, ","")&amp;IF(H285="","HSN Code, ","")&amp;IF(Q285="","Qty, ","")&amp;IF(R285="","Purchase Rate, ","")&amp;IF(S285="","MRP, ",""))-2),IF(COUNTIF(Vendors!$B$3:$B$202,C285)=0,"Add vendor "&amp;C285&amp;" on the Vendors sheet",IF(ISNA(MATCH(H285,Codes!$A$2:$A$13,0)),"Pick the HSN Code from the list",IF(AND(E285&lt;&gt;"",COUNTIFS($C$3:$C$1002,C285,$E$3:$E$1002,E285,$F$3:$F$1002,"&lt;&gt;"&amp;F285)+COUNTIFS($C$3:$C$1002,C285,$E$3:$E$1002,E285,$G$3:$G$1002,"&lt;&gt;"&amp;G285)&gt;0),"Design "&amp;E285&amp;" has another Product Type or Category on another row",IF(COUNTIFS($F$3:$F$1002,F285,$G$3:$G$1002,G285,$H$3:$H$1002,"&lt;&gt;"&amp;H285)&gt;0,F285&amp;" + "&amp;G285&amp;" has another HSN Code on another row",IF(AND(V285&lt;&gt;"",U285=""),"Received Qty needs the Vendor Invoice No",IF(AND(U285&lt;&gt;"",COUNTIFS(Bills!$B$3:$B$302,U285,Bills!$C$3:$C$302,C285)=0),"Add bill "&amp;U285&amp;" of "&amp;C285&amp;" on the Bills sheet",IF(S285&lt;R285,"MRP is below the Purchase Rate","OK")))))))))</f>
        <v/>
      </c>
      <c r="B285" s="29"/>
      <c r="C285" s="22"/>
      <c r="D285" s="22"/>
      <c r="E285" s="24"/>
      <c r="F285" s="22"/>
      <c r="G285" s="22"/>
      <c r="H285" s="22"/>
      <c r="I285" s="30" t="str">
        <f>IF(H285="","",IFERROR(INDEX(Codes!$B$2:$B$13,MATCH(H285,Codes!$A$2:$A$13,0)),""))</f>
        <v/>
      </c>
      <c r="J285" s="23"/>
      <c r="K285" s="23"/>
      <c r="L285" s="23"/>
      <c r="M285" s="23"/>
      <c r="N285" s="23"/>
      <c r="O285" s="23"/>
      <c r="P285" s="23"/>
      <c r="Q285" s="31"/>
      <c r="R285" s="32"/>
      <c r="S285" s="32"/>
      <c r="T285" s="33" t="str">
        <f t="shared" si="8"/>
        <v/>
      </c>
      <c r="U285" s="34"/>
      <c r="V285" s="35"/>
      <c r="W285" s="33" t="str">
        <f t="shared" si="9"/>
        <v/>
      </c>
    </row>
    <row r="286" spans="1:23" x14ac:dyDescent="0.35">
      <c r="A286" s="21" t="str">
        <f>IF(COUNTA(B286:H286,J286:S286,U286:V286)=0,"",IF((IF(B286="","PO Ref, ","")&amp;IF(C286="","Vendor, ","")&amp;IF(D286="","Store, ","")&amp;IF(F286="","Product Type, ","")&amp;IF(G286="","Category, ","")&amp;IF(H286="","HSN Code, ","")&amp;IF(Q286="","Qty, ","")&amp;IF(R286="","Purchase Rate, ","")&amp;IF(S286="","MRP, ",""))&lt;&gt;"","Missing: "&amp;LEFT(IF(B286="","PO Ref, ","")&amp;IF(C286="","Vendor, ","")&amp;IF(D286="","Store, ","")&amp;IF(F286="","Product Type, ","")&amp;IF(G286="","Category, ","")&amp;IF(H286="","HSN Code, ","")&amp;IF(Q286="","Qty, ","")&amp;IF(R286="","Purchase Rate, ","")&amp;IF(S286="","MRP, ",""),LEN(IF(B286="","PO Ref, ","")&amp;IF(C286="","Vendor, ","")&amp;IF(D286="","Store, ","")&amp;IF(F286="","Product Type, ","")&amp;IF(G286="","Category, ","")&amp;IF(H286="","HSN Code, ","")&amp;IF(Q286="","Qty, ","")&amp;IF(R286="","Purchase Rate, ","")&amp;IF(S286="","MRP, ",""))-2),IF(COUNTIF(Vendors!$B$3:$B$202,C286)=0,"Add vendor "&amp;C286&amp;" on the Vendors sheet",IF(ISNA(MATCH(H286,Codes!$A$2:$A$13,0)),"Pick the HSN Code from the list",IF(AND(E286&lt;&gt;"",COUNTIFS($C$3:$C$1002,C286,$E$3:$E$1002,E286,$F$3:$F$1002,"&lt;&gt;"&amp;F286)+COUNTIFS($C$3:$C$1002,C286,$E$3:$E$1002,E286,$G$3:$G$1002,"&lt;&gt;"&amp;G286)&gt;0),"Design "&amp;E286&amp;" has another Product Type or Category on another row",IF(COUNTIFS($F$3:$F$1002,F286,$G$3:$G$1002,G286,$H$3:$H$1002,"&lt;&gt;"&amp;H286)&gt;0,F286&amp;" + "&amp;G286&amp;" has another HSN Code on another row",IF(AND(V286&lt;&gt;"",U286=""),"Received Qty needs the Vendor Invoice No",IF(AND(U286&lt;&gt;"",COUNTIFS(Bills!$B$3:$B$302,U286,Bills!$C$3:$C$302,C286)=0),"Add bill "&amp;U286&amp;" of "&amp;C286&amp;" on the Bills sheet",IF(S286&lt;R286,"MRP is below the Purchase Rate","OK")))))))))</f>
        <v/>
      </c>
      <c r="B286" s="29"/>
      <c r="C286" s="22"/>
      <c r="D286" s="22"/>
      <c r="E286" s="24"/>
      <c r="F286" s="22"/>
      <c r="G286" s="22"/>
      <c r="H286" s="22"/>
      <c r="I286" s="30" t="str">
        <f>IF(H286="","",IFERROR(INDEX(Codes!$B$2:$B$13,MATCH(H286,Codes!$A$2:$A$13,0)),""))</f>
        <v/>
      </c>
      <c r="J286" s="23"/>
      <c r="K286" s="23"/>
      <c r="L286" s="23"/>
      <c r="M286" s="23"/>
      <c r="N286" s="23"/>
      <c r="O286" s="23"/>
      <c r="P286" s="23"/>
      <c r="Q286" s="31"/>
      <c r="R286" s="32"/>
      <c r="S286" s="32"/>
      <c r="T286" s="33" t="str">
        <f t="shared" si="8"/>
        <v/>
      </c>
      <c r="U286" s="34"/>
      <c r="V286" s="35"/>
      <c r="W286" s="33" t="str">
        <f t="shared" si="9"/>
        <v/>
      </c>
    </row>
    <row r="287" spans="1:23" x14ac:dyDescent="0.35">
      <c r="A287" s="21" t="str">
        <f>IF(COUNTA(B287:H287,J287:S287,U287:V287)=0,"",IF((IF(B287="","PO Ref, ","")&amp;IF(C287="","Vendor, ","")&amp;IF(D287="","Store, ","")&amp;IF(F287="","Product Type, ","")&amp;IF(G287="","Category, ","")&amp;IF(H287="","HSN Code, ","")&amp;IF(Q287="","Qty, ","")&amp;IF(R287="","Purchase Rate, ","")&amp;IF(S287="","MRP, ",""))&lt;&gt;"","Missing: "&amp;LEFT(IF(B287="","PO Ref, ","")&amp;IF(C287="","Vendor, ","")&amp;IF(D287="","Store, ","")&amp;IF(F287="","Product Type, ","")&amp;IF(G287="","Category, ","")&amp;IF(H287="","HSN Code, ","")&amp;IF(Q287="","Qty, ","")&amp;IF(R287="","Purchase Rate, ","")&amp;IF(S287="","MRP, ",""),LEN(IF(B287="","PO Ref, ","")&amp;IF(C287="","Vendor, ","")&amp;IF(D287="","Store, ","")&amp;IF(F287="","Product Type, ","")&amp;IF(G287="","Category, ","")&amp;IF(H287="","HSN Code, ","")&amp;IF(Q287="","Qty, ","")&amp;IF(R287="","Purchase Rate, ","")&amp;IF(S287="","MRP, ",""))-2),IF(COUNTIF(Vendors!$B$3:$B$202,C287)=0,"Add vendor "&amp;C287&amp;" on the Vendors sheet",IF(ISNA(MATCH(H287,Codes!$A$2:$A$13,0)),"Pick the HSN Code from the list",IF(AND(E287&lt;&gt;"",COUNTIFS($C$3:$C$1002,C287,$E$3:$E$1002,E287,$F$3:$F$1002,"&lt;&gt;"&amp;F287)+COUNTIFS($C$3:$C$1002,C287,$E$3:$E$1002,E287,$G$3:$G$1002,"&lt;&gt;"&amp;G287)&gt;0),"Design "&amp;E287&amp;" has another Product Type or Category on another row",IF(COUNTIFS($F$3:$F$1002,F287,$G$3:$G$1002,G287,$H$3:$H$1002,"&lt;&gt;"&amp;H287)&gt;0,F287&amp;" + "&amp;G287&amp;" has another HSN Code on another row",IF(AND(V287&lt;&gt;"",U287=""),"Received Qty needs the Vendor Invoice No",IF(AND(U287&lt;&gt;"",COUNTIFS(Bills!$B$3:$B$302,U287,Bills!$C$3:$C$302,C287)=0),"Add bill "&amp;U287&amp;" of "&amp;C287&amp;" on the Bills sheet",IF(S287&lt;R287,"MRP is below the Purchase Rate","OK")))))))))</f>
        <v/>
      </c>
      <c r="B287" s="29"/>
      <c r="C287" s="22"/>
      <c r="D287" s="22"/>
      <c r="E287" s="24"/>
      <c r="F287" s="22"/>
      <c r="G287" s="22"/>
      <c r="H287" s="22"/>
      <c r="I287" s="30" t="str">
        <f>IF(H287="","",IFERROR(INDEX(Codes!$B$2:$B$13,MATCH(H287,Codes!$A$2:$A$13,0)),""))</f>
        <v/>
      </c>
      <c r="J287" s="23"/>
      <c r="K287" s="23"/>
      <c r="L287" s="23"/>
      <c r="M287" s="23"/>
      <c r="N287" s="23"/>
      <c r="O287" s="23"/>
      <c r="P287" s="23"/>
      <c r="Q287" s="31"/>
      <c r="R287" s="32"/>
      <c r="S287" s="32"/>
      <c r="T287" s="33" t="str">
        <f t="shared" si="8"/>
        <v/>
      </c>
      <c r="U287" s="34"/>
      <c r="V287" s="35"/>
      <c r="W287" s="33" t="str">
        <f t="shared" si="9"/>
        <v/>
      </c>
    </row>
    <row r="288" spans="1:23" x14ac:dyDescent="0.35">
      <c r="A288" s="21" t="str">
        <f>IF(COUNTA(B288:H288,J288:S288,U288:V288)=0,"",IF((IF(B288="","PO Ref, ","")&amp;IF(C288="","Vendor, ","")&amp;IF(D288="","Store, ","")&amp;IF(F288="","Product Type, ","")&amp;IF(G288="","Category, ","")&amp;IF(H288="","HSN Code, ","")&amp;IF(Q288="","Qty, ","")&amp;IF(R288="","Purchase Rate, ","")&amp;IF(S288="","MRP, ",""))&lt;&gt;"","Missing: "&amp;LEFT(IF(B288="","PO Ref, ","")&amp;IF(C288="","Vendor, ","")&amp;IF(D288="","Store, ","")&amp;IF(F288="","Product Type, ","")&amp;IF(G288="","Category, ","")&amp;IF(H288="","HSN Code, ","")&amp;IF(Q288="","Qty, ","")&amp;IF(R288="","Purchase Rate, ","")&amp;IF(S288="","MRP, ",""),LEN(IF(B288="","PO Ref, ","")&amp;IF(C288="","Vendor, ","")&amp;IF(D288="","Store, ","")&amp;IF(F288="","Product Type, ","")&amp;IF(G288="","Category, ","")&amp;IF(H288="","HSN Code, ","")&amp;IF(Q288="","Qty, ","")&amp;IF(R288="","Purchase Rate, ","")&amp;IF(S288="","MRP, ",""))-2),IF(COUNTIF(Vendors!$B$3:$B$202,C288)=0,"Add vendor "&amp;C288&amp;" on the Vendors sheet",IF(ISNA(MATCH(H288,Codes!$A$2:$A$13,0)),"Pick the HSN Code from the list",IF(AND(E288&lt;&gt;"",COUNTIFS($C$3:$C$1002,C288,$E$3:$E$1002,E288,$F$3:$F$1002,"&lt;&gt;"&amp;F288)+COUNTIFS($C$3:$C$1002,C288,$E$3:$E$1002,E288,$G$3:$G$1002,"&lt;&gt;"&amp;G288)&gt;0),"Design "&amp;E288&amp;" has another Product Type or Category on another row",IF(COUNTIFS($F$3:$F$1002,F288,$G$3:$G$1002,G288,$H$3:$H$1002,"&lt;&gt;"&amp;H288)&gt;0,F288&amp;" + "&amp;G288&amp;" has another HSN Code on another row",IF(AND(V288&lt;&gt;"",U288=""),"Received Qty needs the Vendor Invoice No",IF(AND(U288&lt;&gt;"",COUNTIFS(Bills!$B$3:$B$302,U288,Bills!$C$3:$C$302,C288)=0),"Add bill "&amp;U288&amp;" of "&amp;C288&amp;" on the Bills sheet",IF(S288&lt;R288,"MRP is below the Purchase Rate","OK")))))))))</f>
        <v/>
      </c>
      <c r="B288" s="29"/>
      <c r="C288" s="22"/>
      <c r="D288" s="22"/>
      <c r="E288" s="24"/>
      <c r="F288" s="22"/>
      <c r="G288" s="22"/>
      <c r="H288" s="22"/>
      <c r="I288" s="30" t="str">
        <f>IF(H288="","",IFERROR(INDEX(Codes!$B$2:$B$13,MATCH(H288,Codes!$A$2:$A$13,0)),""))</f>
        <v/>
      </c>
      <c r="J288" s="23"/>
      <c r="K288" s="23"/>
      <c r="L288" s="23"/>
      <c r="M288" s="23"/>
      <c r="N288" s="23"/>
      <c r="O288" s="23"/>
      <c r="P288" s="23"/>
      <c r="Q288" s="31"/>
      <c r="R288" s="32"/>
      <c r="S288" s="32"/>
      <c r="T288" s="33" t="str">
        <f t="shared" si="8"/>
        <v/>
      </c>
      <c r="U288" s="34"/>
      <c r="V288" s="35"/>
      <c r="W288" s="33" t="str">
        <f t="shared" si="9"/>
        <v/>
      </c>
    </row>
    <row r="289" spans="1:23" x14ac:dyDescent="0.35">
      <c r="A289" s="21" t="str">
        <f>IF(COUNTA(B289:H289,J289:S289,U289:V289)=0,"",IF((IF(B289="","PO Ref, ","")&amp;IF(C289="","Vendor, ","")&amp;IF(D289="","Store, ","")&amp;IF(F289="","Product Type, ","")&amp;IF(G289="","Category, ","")&amp;IF(H289="","HSN Code, ","")&amp;IF(Q289="","Qty, ","")&amp;IF(R289="","Purchase Rate, ","")&amp;IF(S289="","MRP, ",""))&lt;&gt;"","Missing: "&amp;LEFT(IF(B289="","PO Ref, ","")&amp;IF(C289="","Vendor, ","")&amp;IF(D289="","Store, ","")&amp;IF(F289="","Product Type, ","")&amp;IF(G289="","Category, ","")&amp;IF(H289="","HSN Code, ","")&amp;IF(Q289="","Qty, ","")&amp;IF(R289="","Purchase Rate, ","")&amp;IF(S289="","MRP, ",""),LEN(IF(B289="","PO Ref, ","")&amp;IF(C289="","Vendor, ","")&amp;IF(D289="","Store, ","")&amp;IF(F289="","Product Type, ","")&amp;IF(G289="","Category, ","")&amp;IF(H289="","HSN Code, ","")&amp;IF(Q289="","Qty, ","")&amp;IF(R289="","Purchase Rate, ","")&amp;IF(S289="","MRP, ",""))-2),IF(COUNTIF(Vendors!$B$3:$B$202,C289)=0,"Add vendor "&amp;C289&amp;" on the Vendors sheet",IF(ISNA(MATCH(H289,Codes!$A$2:$A$13,0)),"Pick the HSN Code from the list",IF(AND(E289&lt;&gt;"",COUNTIFS($C$3:$C$1002,C289,$E$3:$E$1002,E289,$F$3:$F$1002,"&lt;&gt;"&amp;F289)+COUNTIFS($C$3:$C$1002,C289,$E$3:$E$1002,E289,$G$3:$G$1002,"&lt;&gt;"&amp;G289)&gt;0),"Design "&amp;E289&amp;" has another Product Type or Category on another row",IF(COUNTIFS($F$3:$F$1002,F289,$G$3:$G$1002,G289,$H$3:$H$1002,"&lt;&gt;"&amp;H289)&gt;0,F289&amp;" + "&amp;G289&amp;" has another HSN Code on another row",IF(AND(V289&lt;&gt;"",U289=""),"Received Qty needs the Vendor Invoice No",IF(AND(U289&lt;&gt;"",COUNTIFS(Bills!$B$3:$B$302,U289,Bills!$C$3:$C$302,C289)=0),"Add bill "&amp;U289&amp;" of "&amp;C289&amp;" on the Bills sheet",IF(S289&lt;R289,"MRP is below the Purchase Rate","OK")))))))))</f>
        <v/>
      </c>
      <c r="B289" s="29"/>
      <c r="C289" s="22"/>
      <c r="D289" s="22"/>
      <c r="E289" s="24"/>
      <c r="F289" s="22"/>
      <c r="G289" s="22"/>
      <c r="H289" s="22"/>
      <c r="I289" s="30" t="str">
        <f>IF(H289="","",IFERROR(INDEX(Codes!$B$2:$B$13,MATCH(H289,Codes!$A$2:$A$13,0)),""))</f>
        <v/>
      </c>
      <c r="J289" s="23"/>
      <c r="K289" s="23"/>
      <c r="L289" s="23"/>
      <c r="M289" s="23"/>
      <c r="N289" s="23"/>
      <c r="O289" s="23"/>
      <c r="P289" s="23"/>
      <c r="Q289" s="31"/>
      <c r="R289" s="32"/>
      <c r="S289" s="32"/>
      <c r="T289" s="33" t="str">
        <f t="shared" si="8"/>
        <v/>
      </c>
      <c r="U289" s="34"/>
      <c r="V289" s="35"/>
      <c r="W289" s="33" t="str">
        <f t="shared" si="9"/>
        <v/>
      </c>
    </row>
    <row r="290" spans="1:23" x14ac:dyDescent="0.35">
      <c r="A290" s="21" t="str">
        <f>IF(COUNTA(B290:H290,J290:S290,U290:V290)=0,"",IF((IF(B290="","PO Ref, ","")&amp;IF(C290="","Vendor, ","")&amp;IF(D290="","Store, ","")&amp;IF(F290="","Product Type, ","")&amp;IF(G290="","Category, ","")&amp;IF(H290="","HSN Code, ","")&amp;IF(Q290="","Qty, ","")&amp;IF(R290="","Purchase Rate, ","")&amp;IF(S290="","MRP, ",""))&lt;&gt;"","Missing: "&amp;LEFT(IF(B290="","PO Ref, ","")&amp;IF(C290="","Vendor, ","")&amp;IF(D290="","Store, ","")&amp;IF(F290="","Product Type, ","")&amp;IF(G290="","Category, ","")&amp;IF(H290="","HSN Code, ","")&amp;IF(Q290="","Qty, ","")&amp;IF(R290="","Purchase Rate, ","")&amp;IF(S290="","MRP, ",""),LEN(IF(B290="","PO Ref, ","")&amp;IF(C290="","Vendor, ","")&amp;IF(D290="","Store, ","")&amp;IF(F290="","Product Type, ","")&amp;IF(G290="","Category, ","")&amp;IF(H290="","HSN Code, ","")&amp;IF(Q290="","Qty, ","")&amp;IF(R290="","Purchase Rate, ","")&amp;IF(S290="","MRP, ",""))-2),IF(COUNTIF(Vendors!$B$3:$B$202,C290)=0,"Add vendor "&amp;C290&amp;" on the Vendors sheet",IF(ISNA(MATCH(H290,Codes!$A$2:$A$13,0)),"Pick the HSN Code from the list",IF(AND(E290&lt;&gt;"",COUNTIFS($C$3:$C$1002,C290,$E$3:$E$1002,E290,$F$3:$F$1002,"&lt;&gt;"&amp;F290)+COUNTIFS($C$3:$C$1002,C290,$E$3:$E$1002,E290,$G$3:$G$1002,"&lt;&gt;"&amp;G290)&gt;0),"Design "&amp;E290&amp;" has another Product Type or Category on another row",IF(COUNTIFS($F$3:$F$1002,F290,$G$3:$G$1002,G290,$H$3:$H$1002,"&lt;&gt;"&amp;H290)&gt;0,F290&amp;" + "&amp;G290&amp;" has another HSN Code on another row",IF(AND(V290&lt;&gt;"",U290=""),"Received Qty needs the Vendor Invoice No",IF(AND(U290&lt;&gt;"",COUNTIFS(Bills!$B$3:$B$302,U290,Bills!$C$3:$C$302,C290)=0),"Add bill "&amp;U290&amp;" of "&amp;C290&amp;" on the Bills sheet",IF(S290&lt;R290,"MRP is below the Purchase Rate","OK")))))))))</f>
        <v/>
      </c>
      <c r="B290" s="29"/>
      <c r="C290" s="22"/>
      <c r="D290" s="22"/>
      <c r="E290" s="24"/>
      <c r="F290" s="22"/>
      <c r="G290" s="22"/>
      <c r="H290" s="22"/>
      <c r="I290" s="30" t="str">
        <f>IF(H290="","",IFERROR(INDEX(Codes!$B$2:$B$13,MATCH(H290,Codes!$A$2:$A$13,0)),""))</f>
        <v/>
      </c>
      <c r="J290" s="23"/>
      <c r="K290" s="23"/>
      <c r="L290" s="23"/>
      <c r="M290" s="23"/>
      <c r="N290" s="23"/>
      <c r="O290" s="23"/>
      <c r="P290" s="23"/>
      <c r="Q290" s="31"/>
      <c r="R290" s="32"/>
      <c r="S290" s="32"/>
      <c r="T290" s="33" t="str">
        <f t="shared" si="8"/>
        <v/>
      </c>
      <c r="U290" s="34"/>
      <c r="V290" s="35"/>
      <c r="W290" s="33" t="str">
        <f t="shared" si="9"/>
        <v/>
      </c>
    </row>
    <row r="291" spans="1:23" x14ac:dyDescent="0.35">
      <c r="A291" s="21" t="str">
        <f>IF(COUNTA(B291:H291,J291:S291,U291:V291)=0,"",IF((IF(B291="","PO Ref, ","")&amp;IF(C291="","Vendor, ","")&amp;IF(D291="","Store, ","")&amp;IF(F291="","Product Type, ","")&amp;IF(G291="","Category, ","")&amp;IF(H291="","HSN Code, ","")&amp;IF(Q291="","Qty, ","")&amp;IF(R291="","Purchase Rate, ","")&amp;IF(S291="","MRP, ",""))&lt;&gt;"","Missing: "&amp;LEFT(IF(B291="","PO Ref, ","")&amp;IF(C291="","Vendor, ","")&amp;IF(D291="","Store, ","")&amp;IF(F291="","Product Type, ","")&amp;IF(G291="","Category, ","")&amp;IF(H291="","HSN Code, ","")&amp;IF(Q291="","Qty, ","")&amp;IF(R291="","Purchase Rate, ","")&amp;IF(S291="","MRP, ",""),LEN(IF(B291="","PO Ref, ","")&amp;IF(C291="","Vendor, ","")&amp;IF(D291="","Store, ","")&amp;IF(F291="","Product Type, ","")&amp;IF(G291="","Category, ","")&amp;IF(H291="","HSN Code, ","")&amp;IF(Q291="","Qty, ","")&amp;IF(R291="","Purchase Rate, ","")&amp;IF(S291="","MRP, ",""))-2),IF(COUNTIF(Vendors!$B$3:$B$202,C291)=0,"Add vendor "&amp;C291&amp;" on the Vendors sheet",IF(ISNA(MATCH(H291,Codes!$A$2:$A$13,0)),"Pick the HSN Code from the list",IF(AND(E291&lt;&gt;"",COUNTIFS($C$3:$C$1002,C291,$E$3:$E$1002,E291,$F$3:$F$1002,"&lt;&gt;"&amp;F291)+COUNTIFS($C$3:$C$1002,C291,$E$3:$E$1002,E291,$G$3:$G$1002,"&lt;&gt;"&amp;G291)&gt;0),"Design "&amp;E291&amp;" has another Product Type or Category on another row",IF(COUNTIFS($F$3:$F$1002,F291,$G$3:$G$1002,G291,$H$3:$H$1002,"&lt;&gt;"&amp;H291)&gt;0,F291&amp;" + "&amp;G291&amp;" has another HSN Code on another row",IF(AND(V291&lt;&gt;"",U291=""),"Received Qty needs the Vendor Invoice No",IF(AND(U291&lt;&gt;"",COUNTIFS(Bills!$B$3:$B$302,U291,Bills!$C$3:$C$302,C291)=0),"Add bill "&amp;U291&amp;" of "&amp;C291&amp;" on the Bills sheet",IF(S291&lt;R291,"MRP is below the Purchase Rate","OK")))))))))</f>
        <v/>
      </c>
      <c r="B291" s="29"/>
      <c r="C291" s="22"/>
      <c r="D291" s="22"/>
      <c r="E291" s="24"/>
      <c r="F291" s="22"/>
      <c r="G291" s="22"/>
      <c r="H291" s="22"/>
      <c r="I291" s="30" t="str">
        <f>IF(H291="","",IFERROR(INDEX(Codes!$B$2:$B$13,MATCH(H291,Codes!$A$2:$A$13,0)),""))</f>
        <v/>
      </c>
      <c r="J291" s="23"/>
      <c r="K291" s="23"/>
      <c r="L291" s="23"/>
      <c r="M291" s="23"/>
      <c r="N291" s="23"/>
      <c r="O291" s="23"/>
      <c r="P291" s="23"/>
      <c r="Q291" s="31"/>
      <c r="R291" s="32"/>
      <c r="S291" s="32"/>
      <c r="T291" s="33" t="str">
        <f t="shared" si="8"/>
        <v/>
      </c>
      <c r="U291" s="34"/>
      <c r="V291" s="35"/>
      <c r="W291" s="33" t="str">
        <f t="shared" si="9"/>
        <v/>
      </c>
    </row>
    <row r="292" spans="1:23" x14ac:dyDescent="0.35">
      <c r="A292" s="21" t="str">
        <f>IF(COUNTA(B292:H292,J292:S292,U292:V292)=0,"",IF((IF(B292="","PO Ref, ","")&amp;IF(C292="","Vendor, ","")&amp;IF(D292="","Store, ","")&amp;IF(F292="","Product Type, ","")&amp;IF(G292="","Category, ","")&amp;IF(H292="","HSN Code, ","")&amp;IF(Q292="","Qty, ","")&amp;IF(R292="","Purchase Rate, ","")&amp;IF(S292="","MRP, ",""))&lt;&gt;"","Missing: "&amp;LEFT(IF(B292="","PO Ref, ","")&amp;IF(C292="","Vendor, ","")&amp;IF(D292="","Store, ","")&amp;IF(F292="","Product Type, ","")&amp;IF(G292="","Category, ","")&amp;IF(H292="","HSN Code, ","")&amp;IF(Q292="","Qty, ","")&amp;IF(R292="","Purchase Rate, ","")&amp;IF(S292="","MRP, ",""),LEN(IF(B292="","PO Ref, ","")&amp;IF(C292="","Vendor, ","")&amp;IF(D292="","Store, ","")&amp;IF(F292="","Product Type, ","")&amp;IF(G292="","Category, ","")&amp;IF(H292="","HSN Code, ","")&amp;IF(Q292="","Qty, ","")&amp;IF(R292="","Purchase Rate, ","")&amp;IF(S292="","MRP, ",""))-2),IF(COUNTIF(Vendors!$B$3:$B$202,C292)=0,"Add vendor "&amp;C292&amp;" on the Vendors sheet",IF(ISNA(MATCH(H292,Codes!$A$2:$A$13,0)),"Pick the HSN Code from the list",IF(AND(E292&lt;&gt;"",COUNTIFS($C$3:$C$1002,C292,$E$3:$E$1002,E292,$F$3:$F$1002,"&lt;&gt;"&amp;F292)+COUNTIFS($C$3:$C$1002,C292,$E$3:$E$1002,E292,$G$3:$G$1002,"&lt;&gt;"&amp;G292)&gt;0),"Design "&amp;E292&amp;" has another Product Type or Category on another row",IF(COUNTIFS($F$3:$F$1002,F292,$G$3:$G$1002,G292,$H$3:$H$1002,"&lt;&gt;"&amp;H292)&gt;0,F292&amp;" + "&amp;G292&amp;" has another HSN Code on another row",IF(AND(V292&lt;&gt;"",U292=""),"Received Qty needs the Vendor Invoice No",IF(AND(U292&lt;&gt;"",COUNTIFS(Bills!$B$3:$B$302,U292,Bills!$C$3:$C$302,C292)=0),"Add bill "&amp;U292&amp;" of "&amp;C292&amp;" on the Bills sheet",IF(S292&lt;R292,"MRP is below the Purchase Rate","OK")))))))))</f>
        <v/>
      </c>
      <c r="B292" s="29"/>
      <c r="C292" s="22"/>
      <c r="D292" s="22"/>
      <c r="E292" s="24"/>
      <c r="F292" s="22"/>
      <c r="G292" s="22"/>
      <c r="H292" s="22"/>
      <c r="I292" s="30" t="str">
        <f>IF(H292="","",IFERROR(INDEX(Codes!$B$2:$B$13,MATCH(H292,Codes!$A$2:$A$13,0)),""))</f>
        <v/>
      </c>
      <c r="J292" s="23"/>
      <c r="K292" s="23"/>
      <c r="L292" s="23"/>
      <c r="M292" s="23"/>
      <c r="N292" s="23"/>
      <c r="O292" s="23"/>
      <c r="P292" s="23"/>
      <c r="Q292" s="31"/>
      <c r="R292" s="32"/>
      <c r="S292" s="32"/>
      <c r="T292" s="33" t="str">
        <f t="shared" si="8"/>
        <v/>
      </c>
      <c r="U292" s="34"/>
      <c r="V292" s="35"/>
      <c r="W292" s="33" t="str">
        <f t="shared" si="9"/>
        <v/>
      </c>
    </row>
    <row r="293" spans="1:23" x14ac:dyDescent="0.35">
      <c r="A293" s="21" t="str">
        <f>IF(COUNTA(B293:H293,J293:S293,U293:V293)=0,"",IF((IF(B293="","PO Ref, ","")&amp;IF(C293="","Vendor, ","")&amp;IF(D293="","Store, ","")&amp;IF(F293="","Product Type, ","")&amp;IF(G293="","Category, ","")&amp;IF(H293="","HSN Code, ","")&amp;IF(Q293="","Qty, ","")&amp;IF(R293="","Purchase Rate, ","")&amp;IF(S293="","MRP, ",""))&lt;&gt;"","Missing: "&amp;LEFT(IF(B293="","PO Ref, ","")&amp;IF(C293="","Vendor, ","")&amp;IF(D293="","Store, ","")&amp;IF(F293="","Product Type, ","")&amp;IF(G293="","Category, ","")&amp;IF(H293="","HSN Code, ","")&amp;IF(Q293="","Qty, ","")&amp;IF(R293="","Purchase Rate, ","")&amp;IF(S293="","MRP, ",""),LEN(IF(B293="","PO Ref, ","")&amp;IF(C293="","Vendor, ","")&amp;IF(D293="","Store, ","")&amp;IF(F293="","Product Type, ","")&amp;IF(G293="","Category, ","")&amp;IF(H293="","HSN Code, ","")&amp;IF(Q293="","Qty, ","")&amp;IF(R293="","Purchase Rate, ","")&amp;IF(S293="","MRP, ",""))-2),IF(COUNTIF(Vendors!$B$3:$B$202,C293)=0,"Add vendor "&amp;C293&amp;" on the Vendors sheet",IF(ISNA(MATCH(H293,Codes!$A$2:$A$13,0)),"Pick the HSN Code from the list",IF(AND(E293&lt;&gt;"",COUNTIFS($C$3:$C$1002,C293,$E$3:$E$1002,E293,$F$3:$F$1002,"&lt;&gt;"&amp;F293)+COUNTIFS($C$3:$C$1002,C293,$E$3:$E$1002,E293,$G$3:$G$1002,"&lt;&gt;"&amp;G293)&gt;0),"Design "&amp;E293&amp;" has another Product Type or Category on another row",IF(COUNTIFS($F$3:$F$1002,F293,$G$3:$G$1002,G293,$H$3:$H$1002,"&lt;&gt;"&amp;H293)&gt;0,F293&amp;" + "&amp;G293&amp;" has another HSN Code on another row",IF(AND(V293&lt;&gt;"",U293=""),"Received Qty needs the Vendor Invoice No",IF(AND(U293&lt;&gt;"",COUNTIFS(Bills!$B$3:$B$302,U293,Bills!$C$3:$C$302,C293)=0),"Add bill "&amp;U293&amp;" of "&amp;C293&amp;" on the Bills sheet",IF(S293&lt;R293,"MRP is below the Purchase Rate","OK")))))))))</f>
        <v/>
      </c>
      <c r="B293" s="29"/>
      <c r="C293" s="22"/>
      <c r="D293" s="22"/>
      <c r="E293" s="24"/>
      <c r="F293" s="22"/>
      <c r="G293" s="22"/>
      <c r="H293" s="22"/>
      <c r="I293" s="30" t="str">
        <f>IF(H293="","",IFERROR(INDEX(Codes!$B$2:$B$13,MATCH(H293,Codes!$A$2:$A$13,0)),""))</f>
        <v/>
      </c>
      <c r="J293" s="23"/>
      <c r="K293" s="23"/>
      <c r="L293" s="23"/>
      <c r="M293" s="23"/>
      <c r="N293" s="23"/>
      <c r="O293" s="23"/>
      <c r="P293" s="23"/>
      <c r="Q293" s="31"/>
      <c r="R293" s="32"/>
      <c r="S293" s="32"/>
      <c r="T293" s="33" t="str">
        <f t="shared" si="8"/>
        <v/>
      </c>
      <c r="U293" s="34"/>
      <c r="V293" s="35"/>
      <c r="W293" s="33" t="str">
        <f t="shared" si="9"/>
        <v/>
      </c>
    </row>
    <row r="294" spans="1:23" x14ac:dyDescent="0.35">
      <c r="A294" s="21" t="str">
        <f>IF(COUNTA(B294:H294,J294:S294,U294:V294)=0,"",IF((IF(B294="","PO Ref, ","")&amp;IF(C294="","Vendor, ","")&amp;IF(D294="","Store, ","")&amp;IF(F294="","Product Type, ","")&amp;IF(G294="","Category, ","")&amp;IF(H294="","HSN Code, ","")&amp;IF(Q294="","Qty, ","")&amp;IF(R294="","Purchase Rate, ","")&amp;IF(S294="","MRP, ",""))&lt;&gt;"","Missing: "&amp;LEFT(IF(B294="","PO Ref, ","")&amp;IF(C294="","Vendor, ","")&amp;IF(D294="","Store, ","")&amp;IF(F294="","Product Type, ","")&amp;IF(G294="","Category, ","")&amp;IF(H294="","HSN Code, ","")&amp;IF(Q294="","Qty, ","")&amp;IF(R294="","Purchase Rate, ","")&amp;IF(S294="","MRP, ",""),LEN(IF(B294="","PO Ref, ","")&amp;IF(C294="","Vendor, ","")&amp;IF(D294="","Store, ","")&amp;IF(F294="","Product Type, ","")&amp;IF(G294="","Category, ","")&amp;IF(H294="","HSN Code, ","")&amp;IF(Q294="","Qty, ","")&amp;IF(R294="","Purchase Rate, ","")&amp;IF(S294="","MRP, ",""))-2),IF(COUNTIF(Vendors!$B$3:$B$202,C294)=0,"Add vendor "&amp;C294&amp;" on the Vendors sheet",IF(ISNA(MATCH(H294,Codes!$A$2:$A$13,0)),"Pick the HSN Code from the list",IF(AND(E294&lt;&gt;"",COUNTIFS($C$3:$C$1002,C294,$E$3:$E$1002,E294,$F$3:$F$1002,"&lt;&gt;"&amp;F294)+COUNTIFS($C$3:$C$1002,C294,$E$3:$E$1002,E294,$G$3:$G$1002,"&lt;&gt;"&amp;G294)&gt;0),"Design "&amp;E294&amp;" has another Product Type or Category on another row",IF(COUNTIFS($F$3:$F$1002,F294,$G$3:$G$1002,G294,$H$3:$H$1002,"&lt;&gt;"&amp;H294)&gt;0,F294&amp;" + "&amp;G294&amp;" has another HSN Code on another row",IF(AND(V294&lt;&gt;"",U294=""),"Received Qty needs the Vendor Invoice No",IF(AND(U294&lt;&gt;"",COUNTIFS(Bills!$B$3:$B$302,U294,Bills!$C$3:$C$302,C294)=0),"Add bill "&amp;U294&amp;" of "&amp;C294&amp;" on the Bills sheet",IF(S294&lt;R294,"MRP is below the Purchase Rate","OK")))))))))</f>
        <v/>
      </c>
      <c r="B294" s="29"/>
      <c r="C294" s="22"/>
      <c r="D294" s="22"/>
      <c r="E294" s="24"/>
      <c r="F294" s="22"/>
      <c r="G294" s="22"/>
      <c r="H294" s="22"/>
      <c r="I294" s="30" t="str">
        <f>IF(H294="","",IFERROR(INDEX(Codes!$B$2:$B$13,MATCH(H294,Codes!$A$2:$A$13,0)),""))</f>
        <v/>
      </c>
      <c r="J294" s="23"/>
      <c r="K294" s="23"/>
      <c r="L294" s="23"/>
      <c r="M294" s="23"/>
      <c r="N294" s="23"/>
      <c r="O294" s="23"/>
      <c r="P294" s="23"/>
      <c r="Q294" s="31"/>
      <c r="R294" s="32"/>
      <c r="S294" s="32"/>
      <c r="T294" s="33" t="str">
        <f t="shared" si="8"/>
        <v/>
      </c>
      <c r="U294" s="34"/>
      <c r="V294" s="35"/>
      <c r="W294" s="33" t="str">
        <f t="shared" si="9"/>
        <v/>
      </c>
    </row>
    <row r="295" spans="1:23" x14ac:dyDescent="0.35">
      <c r="A295" s="21" t="str">
        <f>IF(COUNTA(B295:H295,J295:S295,U295:V295)=0,"",IF((IF(B295="","PO Ref, ","")&amp;IF(C295="","Vendor, ","")&amp;IF(D295="","Store, ","")&amp;IF(F295="","Product Type, ","")&amp;IF(G295="","Category, ","")&amp;IF(H295="","HSN Code, ","")&amp;IF(Q295="","Qty, ","")&amp;IF(R295="","Purchase Rate, ","")&amp;IF(S295="","MRP, ",""))&lt;&gt;"","Missing: "&amp;LEFT(IF(B295="","PO Ref, ","")&amp;IF(C295="","Vendor, ","")&amp;IF(D295="","Store, ","")&amp;IF(F295="","Product Type, ","")&amp;IF(G295="","Category, ","")&amp;IF(H295="","HSN Code, ","")&amp;IF(Q295="","Qty, ","")&amp;IF(R295="","Purchase Rate, ","")&amp;IF(S295="","MRP, ",""),LEN(IF(B295="","PO Ref, ","")&amp;IF(C295="","Vendor, ","")&amp;IF(D295="","Store, ","")&amp;IF(F295="","Product Type, ","")&amp;IF(G295="","Category, ","")&amp;IF(H295="","HSN Code, ","")&amp;IF(Q295="","Qty, ","")&amp;IF(R295="","Purchase Rate, ","")&amp;IF(S295="","MRP, ",""))-2),IF(COUNTIF(Vendors!$B$3:$B$202,C295)=0,"Add vendor "&amp;C295&amp;" on the Vendors sheet",IF(ISNA(MATCH(H295,Codes!$A$2:$A$13,0)),"Pick the HSN Code from the list",IF(AND(E295&lt;&gt;"",COUNTIFS($C$3:$C$1002,C295,$E$3:$E$1002,E295,$F$3:$F$1002,"&lt;&gt;"&amp;F295)+COUNTIFS($C$3:$C$1002,C295,$E$3:$E$1002,E295,$G$3:$G$1002,"&lt;&gt;"&amp;G295)&gt;0),"Design "&amp;E295&amp;" has another Product Type or Category on another row",IF(COUNTIFS($F$3:$F$1002,F295,$G$3:$G$1002,G295,$H$3:$H$1002,"&lt;&gt;"&amp;H295)&gt;0,F295&amp;" + "&amp;G295&amp;" has another HSN Code on another row",IF(AND(V295&lt;&gt;"",U295=""),"Received Qty needs the Vendor Invoice No",IF(AND(U295&lt;&gt;"",COUNTIFS(Bills!$B$3:$B$302,U295,Bills!$C$3:$C$302,C295)=0),"Add bill "&amp;U295&amp;" of "&amp;C295&amp;" on the Bills sheet",IF(S295&lt;R295,"MRP is below the Purchase Rate","OK")))))))))</f>
        <v/>
      </c>
      <c r="B295" s="29"/>
      <c r="C295" s="22"/>
      <c r="D295" s="22"/>
      <c r="E295" s="24"/>
      <c r="F295" s="22"/>
      <c r="G295" s="22"/>
      <c r="H295" s="22"/>
      <c r="I295" s="30" t="str">
        <f>IF(H295="","",IFERROR(INDEX(Codes!$B$2:$B$13,MATCH(H295,Codes!$A$2:$A$13,0)),""))</f>
        <v/>
      </c>
      <c r="J295" s="23"/>
      <c r="K295" s="23"/>
      <c r="L295" s="23"/>
      <c r="M295" s="23"/>
      <c r="N295" s="23"/>
      <c r="O295" s="23"/>
      <c r="P295" s="23"/>
      <c r="Q295" s="31"/>
      <c r="R295" s="32"/>
      <c r="S295" s="32"/>
      <c r="T295" s="33" t="str">
        <f t="shared" si="8"/>
        <v/>
      </c>
      <c r="U295" s="34"/>
      <c r="V295" s="35"/>
      <c r="W295" s="33" t="str">
        <f t="shared" si="9"/>
        <v/>
      </c>
    </row>
    <row r="296" spans="1:23" x14ac:dyDescent="0.35">
      <c r="A296" s="21" t="str">
        <f>IF(COUNTA(B296:H296,J296:S296,U296:V296)=0,"",IF((IF(B296="","PO Ref, ","")&amp;IF(C296="","Vendor, ","")&amp;IF(D296="","Store, ","")&amp;IF(F296="","Product Type, ","")&amp;IF(G296="","Category, ","")&amp;IF(H296="","HSN Code, ","")&amp;IF(Q296="","Qty, ","")&amp;IF(R296="","Purchase Rate, ","")&amp;IF(S296="","MRP, ",""))&lt;&gt;"","Missing: "&amp;LEFT(IF(B296="","PO Ref, ","")&amp;IF(C296="","Vendor, ","")&amp;IF(D296="","Store, ","")&amp;IF(F296="","Product Type, ","")&amp;IF(G296="","Category, ","")&amp;IF(H296="","HSN Code, ","")&amp;IF(Q296="","Qty, ","")&amp;IF(R296="","Purchase Rate, ","")&amp;IF(S296="","MRP, ",""),LEN(IF(B296="","PO Ref, ","")&amp;IF(C296="","Vendor, ","")&amp;IF(D296="","Store, ","")&amp;IF(F296="","Product Type, ","")&amp;IF(G296="","Category, ","")&amp;IF(H296="","HSN Code, ","")&amp;IF(Q296="","Qty, ","")&amp;IF(R296="","Purchase Rate, ","")&amp;IF(S296="","MRP, ",""))-2),IF(COUNTIF(Vendors!$B$3:$B$202,C296)=0,"Add vendor "&amp;C296&amp;" on the Vendors sheet",IF(ISNA(MATCH(H296,Codes!$A$2:$A$13,0)),"Pick the HSN Code from the list",IF(AND(E296&lt;&gt;"",COUNTIFS($C$3:$C$1002,C296,$E$3:$E$1002,E296,$F$3:$F$1002,"&lt;&gt;"&amp;F296)+COUNTIFS($C$3:$C$1002,C296,$E$3:$E$1002,E296,$G$3:$G$1002,"&lt;&gt;"&amp;G296)&gt;0),"Design "&amp;E296&amp;" has another Product Type or Category on another row",IF(COUNTIFS($F$3:$F$1002,F296,$G$3:$G$1002,G296,$H$3:$H$1002,"&lt;&gt;"&amp;H296)&gt;0,F296&amp;" + "&amp;G296&amp;" has another HSN Code on another row",IF(AND(V296&lt;&gt;"",U296=""),"Received Qty needs the Vendor Invoice No",IF(AND(U296&lt;&gt;"",COUNTIFS(Bills!$B$3:$B$302,U296,Bills!$C$3:$C$302,C296)=0),"Add bill "&amp;U296&amp;" of "&amp;C296&amp;" on the Bills sheet",IF(S296&lt;R296,"MRP is below the Purchase Rate","OK")))))))))</f>
        <v/>
      </c>
      <c r="B296" s="29"/>
      <c r="C296" s="22"/>
      <c r="D296" s="22"/>
      <c r="E296" s="24"/>
      <c r="F296" s="22"/>
      <c r="G296" s="22"/>
      <c r="H296" s="22"/>
      <c r="I296" s="30" t="str">
        <f>IF(H296="","",IFERROR(INDEX(Codes!$B$2:$B$13,MATCH(H296,Codes!$A$2:$A$13,0)),""))</f>
        <v/>
      </c>
      <c r="J296" s="23"/>
      <c r="K296" s="23"/>
      <c r="L296" s="23"/>
      <c r="M296" s="23"/>
      <c r="N296" s="23"/>
      <c r="O296" s="23"/>
      <c r="P296" s="23"/>
      <c r="Q296" s="31"/>
      <c r="R296" s="32"/>
      <c r="S296" s="32"/>
      <c r="T296" s="33" t="str">
        <f t="shared" si="8"/>
        <v/>
      </c>
      <c r="U296" s="34"/>
      <c r="V296" s="35"/>
      <c r="W296" s="33" t="str">
        <f t="shared" si="9"/>
        <v/>
      </c>
    </row>
    <row r="297" spans="1:23" x14ac:dyDescent="0.35">
      <c r="A297" s="21" t="str">
        <f>IF(COUNTA(B297:H297,J297:S297,U297:V297)=0,"",IF((IF(B297="","PO Ref, ","")&amp;IF(C297="","Vendor, ","")&amp;IF(D297="","Store, ","")&amp;IF(F297="","Product Type, ","")&amp;IF(G297="","Category, ","")&amp;IF(H297="","HSN Code, ","")&amp;IF(Q297="","Qty, ","")&amp;IF(R297="","Purchase Rate, ","")&amp;IF(S297="","MRP, ",""))&lt;&gt;"","Missing: "&amp;LEFT(IF(B297="","PO Ref, ","")&amp;IF(C297="","Vendor, ","")&amp;IF(D297="","Store, ","")&amp;IF(F297="","Product Type, ","")&amp;IF(G297="","Category, ","")&amp;IF(H297="","HSN Code, ","")&amp;IF(Q297="","Qty, ","")&amp;IF(R297="","Purchase Rate, ","")&amp;IF(S297="","MRP, ",""),LEN(IF(B297="","PO Ref, ","")&amp;IF(C297="","Vendor, ","")&amp;IF(D297="","Store, ","")&amp;IF(F297="","Product Type, ","")&amp;IF(G297="","Category, ","")&amp;IF(H297="","HSN Code, ","")&amp;IF(Q297="","Qty, ","")&amp;IF(R297="","Purchase Rate, ","")&amp;IF(S297="","MRP, ",""))-2),IF(COUNTIF(Vendors!$B$3:$B$202,C297)=0,"Add vendor "&amp;C297&amp;" on the Vendors sheet",IF(ISNA(MATCH(H297,Codes!$A$2:$A$13,0)),"Pick the HSN Code from the list",IF(AND(E297&lt;&gt;"",COUNTIFS($C$3:$C$1002,C297,$E$3:$E$1002,E297,$F$3:$F$1002,"&lt;&gt;"&amp;F297)+COUNTIFS($C$3:$C$1002,C297,$E$3:$E$1002,E297,$G$3:$G$1002,"&lt;&gt;"&amp;G297)&gt;0),"Design "&amp;E297&amp;" has another Product Type or Category on another row",IF(COUNTIFS($F$3:$F$1002,F297,$G$3:$G$1002,G297,$H$3:$H$1002,"&lt;&gt;"&amp;H297)&gt;0,F297&amp;" + "&amp;G297&amp;" has another HSN Code on another row",IF(AND(V297&lt;&gt;"",U297=""),"Received Qty needs the Vendor Invoice No",IF(AND(U297&lt;&gt;"",COUNTIFS(Bills!$B$3:$B$302,U297,Bills!$C$3:$C$302,C297)=0),"Add bill "&amp;U297&amp;" of "&amp;C297&amp;" on the Bills sheet",IF(S297&lt;R297,"MRP is below the Purchase Rate","OK")))))))))</f>
        <v/>
      </c>
      <c r="B297" s="29"/>
      <c r="C297" s="22"/>
      <c r="D297" s="22"/>
      <c r="E297" s="24"/>
      <c r="F297" s="22"/>
      <c r="G297" s="22"/>
      <c r="H297" s="22"/>
      <c r="I297" s="30" t="str">
        <f>IF(H297="","",IFERROR(INDEX(Codes!$B$2:$B$13,MATCH(H297,Codes!$A$2:$A$13,0)),""))</f>
        <v/>
      </c>
      <c r="J297" s="23"/>
      <c r="K297" s="23"/>
      <c r="L297" s="23"/>
      <c r="M297" s="23"/>
      <c r="N297" s="23"/>
      <c r="O297" s="23"/>
      <c r="P297" s="23"/>
      <c r="Q297" s="31"/>
      <c r="R297" s="32"/>
      <c r="S297" s="32"/>
      <c r="T297" s="33" t="str">
        <f t="shared" si="8"/>
        <v/>
      </c>
      <c r="U297" s="34"/>
      <c r="V297" s="35"/>
      <c r="W297" s="33" t="str">
        <f t="shared" si="9"/>
        <v/>
      </c>
    </row>
    <row r="298" spans="1:23" x14ac:dyDescent="0.35">
      <c r="A298" s="21" t="str">
        <f>IF(COUNTA(B298:H298,J298:S298,U298:V298)=0,"",IF((IF(B298="","PO Ref, ","")&amp;IF(C298="","Vendor, ","")&amp;IF(D298="","Store, ","")&amp;IF(F298="","Product Type, ","")&amp;IF(G298="","Category, ","")&amp;IF(H298="","HSN Code, ","")&amp;IF(Q298="","Qty, ","")&amp;IF(R298="","Purchase Rate, ","")&amp;IF(S298="","MRP, ",""))&lt;&gt;"","Missing: "&amp;LEFT(IF(B298="","PO Ref, ","")&amp;IF(C298="","Vendor, ","")&amp;IF(D298="","Store, ","")&amp;IF(F298="","Product Type, ","")&amp;IF(G298="","Category, ","")&amp;IF(H298="","HSN Code, ","")&amp;IF(Q298="","Qty, ","")&amp;IF(R298="","Purchase Rate, ","")&amp;IF(S298="","MRP, ",""),LEN(IF(B298="","PO Ref, ","")&amp;IF(C298="","Vendor, ","")&amp;IF(D298="","Store, ","")&amp;IF(F298="","Product Type, ","")&amp;IF(G298="","Category, ","")&amp;IF(H298="","HSN Code, ","")&amp;IF(Q298="","Qty, ","")&amp;IF(R298="","Purchase Rate, ","")&amp;IF(S298="","MRP, ",""))-2),IF(COUNTIF(Vendors!$B$3:$B$202,C298)=0,"Add vendor "&amp;C298&amp;" on the Vendors sheet",IF(ISNA(MATCH(H298,Codes!$A$2:$A$13,0)),"Pick the HSN Code from the list",IF(AND(E298&lt;&gt;"",COUNTIFS($C$3:$C$1002,C298,$E$3:$E$1002,E298,$F$3:$F$1002,"&lt;&gt;"&amp;F298)+COUNTIFS($C$3:$C$1002,C298,$E$3:$E$1002,E298,$G$3:$G$1002,"&lt;&gt;"&amp;G298)&gt;0),"Design "&amp;E298&amp;" has another Product Type or Category on another row",IF(COUNTIFS($F$3:$F$1002,F298,$G$3:$G$1002,G298,$H$3:$H$1002,"&lt;&gt;"&amp;H298)&gt;0,F298&amp;" + "&amp;G298&amp;" has another HSN Code on another row",IF(AND(V298&lt;&gt;"",U298=""),"Received Qty needs the Vendor Invoice No",IF(AND(U298&lt;&gt;"",COUNTIFS(Bills!$B$3:$B$302,U298,Bills!$C$3:$C$302,C298)=0),"Add bill "&amp;U298&amp;" of "&amp;C298&amp;" on the Bills sheet",IF(S298&lt;R298,"MRP is below the Purchase Rate","OK")))))))))</f>
        <v/>
      </c>
      <c r="B298" s="29"/>
      <c r="C298" s="22"/>
      <c r="D298" s="22"/>
      <c r="E298" s="24"/>
      <c r="F298" s="22"/>
      <c r="G298" s="22"/>
      <c r="H298" s="22"/>
      <c r="I298" s="30" t="str">
        <f>IF(H298="","",IFERROR(INDEX(Codes!$B$2:$B$13,MATCH(H298,Codes!$A$2:$A$13,0)),""))</f>
        <v/>
      </c>
      <c r="J298" s="23"/>
      <c r="K298" s="23"/>
      <c r="L298" s="23"/>
      <c r="M298" s="23"/>
      <c r="N298" s="23"/>
      <c r="O298" s="23"/>
      <c r="P298" s="23"/>
      <c r="Q298" s="31"/>
      <c r="R298" s="32"/>
      <c r="S298" s="32"/>
      <c r="T298" s="33" t="str">
        <f t="shared" si="8"/>
        <v/>
      </c>
      <c r="U298" s="34"/>
      <c r="V298" s="35"/>
      <c r="W298" s="33" t="str">
        <f t="shared" si="9"/>
        <v/>
      </c>
    </row>
    <row r="299" spans="1:23" x14ac:dyDescent="0.35">
      <c r="A299" s="21" t="str">
        <f>IF(COUNTA(B299:H299,J299:S299,U299:V299)=0,"",IF((IF(B299="","PO Ref, ","")&amp;IF(C299="","Vendor, ","")&amp;IF(D299="","Store, ","")&amp;IF(F299="","Product Type, ","")&amp;IF(G299="","Category, ","")&amp;IF(H299="","HSN Code, ","")&amp;IF(Q299="","Qty, ","")&amp;IF(R299="","Purchase Rate, ","")&amp;IF(S299="","MRP, ",""))&lt;&gt;"","Missing: "&amp;LEFT(IF(B299="","PO Ref, ","")&amp;IF(C299="","Vendor, ","")&amp;IF(D299="","Store, ","")&amp;IF(F299="","Product Type, ","")&amp;IF(G299="","Category, ","")&amp;IF(H299="","HSN Code, ","")&amp;IF(Q299="","Qty, ","")&amp;IF(R299="","Purchase Rate, ","")&amp;IF(S299="","MRP, ",""),LEN(IF(B299="","PO Ref, ","")&amp;IF(C299="","Vendor, ","")&amp;IF(D299="","Store, ","")&amp;IF(F299="","Product Type, ","")&amp;IF(G299="","Category, ","")&amp;IF(H299="","HSN Code, ","")&amp;IF(Q299="","Qty, ","")&amp;IF(R299="","Purchase Rate, ","")&amp;IF(S299="","MRP, ",""))-2),IF(COUNTIF(Vendors!$B$3:$B$202,C299)=0,"Add vendor "&amp;C299&amp;" on the Vendors sheet",IF(ISNA(MATCH(H299,Codes!$A$2:$A$13,0)),"Pick the HSN Code from the list",IF(AND(E299&lt;&gt;"",COUNTIFS($C$3:$C$1002,C299,$E$3:$E$1002,E299,$F$3:$F$1002,"&lt;&gt;"&amp;F299)+COUNTIFS($C$3:$C$1002,C299,$E$3:$E$1002,E299,$G$3:$G$1002,"&lt;&gt;"&amp;G299)&gt;0),"Design "&amp;E299&amp;" has another Product Type or Category on another row",IF(COUNTIFS($F$3:$F$1002,F299,$G$3:$G$1002,G299,$H$3:$H$1002,"&lt;&gt;"&amp;H299)&gt;0,F299&amp;" + "&amp;G299&amp;" has another HSN Code on another row",IF(AND(V299&lt;&gt;"",U299=""),"Received Qty needs the Vendor Invoice No",IF(AND(U299&lt;&gt;"",COUNTIFS(Bills!$B$3:$B$302,U299,Bills!$C$3:$C$302,C299)=0),"Add bill "&amp;U299&amp;" of "&amp;C299&amp;" on the Bills sheet",IF(S299&lt;R299,"MRP is below the Purchase Rate","OK")))))))))</f>
        <v/>
      </c>
      <c r="B299" s="29"/>
      <c r="C299" s="22"/>
      <c r="D299" s="22"/>
      <c r="E299" s="24"/>
      <c r="F299" s="22"/>
      <c r="G299" s="22"/>
      <c r="H299" s="22"/>
      <c r="I299" s="30" t="str">
        <f>IF(H299="","",IFERROR(INDEX(Codes!$B$2:$B$13,MATCH(H299,Codes!$A$2:$A$13,0)),""))</f>
        <v/>
      </c>
      <c r="J299" s="23"/>
      <c r="K299" s="23"/>
      <c r="L299" s="23"/>
      <c r="M299" s="23"/>
      <c r="N299" s="23"/>
      <c r="O299" s="23"/>
      <c r="P299" s="23"/>
      <c r="Q299" s="31"/>
      <c r="R299" s="32"/>
      <c r="S299" s="32"/>
      <c r="T299" s="33" t="str">
        <f t="shared" si="8"/>
        <v/>
      </c>
      <c r="U299" s="34"/>
      <c r="V299" s="35"/>
      <c r="W299" s="33" t="str">
        <f t="shared" si="9"/>
        <v/>
      </c>
    </row>
    <row r="300" spans="1:23" x14ac:dyDescent="0.35">
      <c r="A300" s="21" t="str">
        <f>IF(COUNTA(B300:H300,J300:S300,U300:V300)=0,"",IF((IF(B300="","PO Ref, ","")&amp;IF(C300="","Vendor, ","")&amp;IF(D300="","Store, ","")&amp;IF(F300="","Product Type, ","")&amp;IF(G300="","Category, ","")&amp;IF(H300="","HSN Code, ","")&amp;IF(Q300="","Qty, ","")&amp;IF(R300="","Purchase Rate, ","")&amp;IF(S300="","MRP, ",""))&lt;&gt;"","Missing: "&amp;LEFT(IF(B300="","PO Ref, ","")&amp;IF(C300="","Vendor, ","")&amp;IF(D300="","Store, ","")&amp;IF(F300="","Product Type, ","")&amp;IF(G300="","Category, ","")&amp;IF(H300="","HSN Code, ","")&amp;IF(Q300="","Qty, ","")&amp;IF(R300="","Purchase Rate, ","")&amp;IF(S300="","MRP, ",""),LEN(IF(B300="","PO Ref, ","")&amp;IF(C300="","Vendor, ","")&amp;IF(D300="","Store, ","")&amp;IF(F300="","Product Type, ","")&amp;IF(G300="","Category, ","")&amp;IF(H300="","HSN Code, ","")&amp;IF(Q300="","Qty, ","")&amp;IF(R300="","Purchase Rate, ","")&amp;IF(S300="","MRP, ",""))-2),IF(COUNTIF(Vendors!$B$3:$B$202,C300)=0,"Add vendor "&amp;C300&amp;" on the Vendors sheet",IF(ISNA(MATCH(H300,Codes!$A$2:$A$13,0)),"Pick the HSN Code from the list",IF(AND(E300&lt;&gt;"",COUNTIFS($C$3:$C$1002,C300,$E$3:$E$1002,E300,$F$3:$F$1002,"&lt;&gt;"&amp;F300)+COUNTIFS($C$3:$C$1002,C300,$E$3:$E$1002,E300,$G$3:$G$1002,"&lt;&gt;"&amp;G300)&gt;0),"Design "&amp;E300&amp;" has another Product Type or Category on another row",IF(COUNTIFS($F$3:$F$1002,F300,$G$3:$G$1002,G300,$H$3:$H$1002,"&lt;&gt;"&amp;H300)&gt;0,F300&amp;" + "&amp;G300&amp;" has another HSN Code on another row",IF(AND(V300&lt;&gt;"",U300=""),"Received Qty needs the Vendor Invoice No",IF(AND(U300&lt;&gt;"",COUNTIFS(Bills!$B$3:$B$302,U300,Bills!$C$3:$C$302,C300)=0),"Add bill "&amp;U300&amp;" of "&amp;C300&amp;" on the Bills sheet",IF(S300&lt;R300,"MRP is below the Purchase Rate","OK")))))))))</f>
        <v/>
      </c>
      <c r="B300" s="29"/>
      <c r="C300" s="22"/>
      <c r="D300" s="22"/>
      <c r="E300" s="24"/>
      <c r="F300" s="22"/>
      <c r="G300" s="22"/>
      <c r="H300" s="22"/>
      <c r="I300" s="30" t="str">
        <f>IF(H300="","",IFERROR(INDEX(Codes!$B$2:$B$13,MATCH(H300,Codes!$A$2:$A$13,0)),""))</f>
        <v/>
      </c>
      <c r="J300" s="23"/>
      <c r="K300" s="23"/>
      <c r="L300" s="23"/>
      <c r="M300" s="23"/>
      <c r="N300" s="23"/>
      <c r="O300" s="23"/>
      <c r="P300" s="23"/>
      <c r="Q300" s="31"/>
      <c r="R300" s="32"/>
      <c r="S300" s="32"/>
      <c r="T300" s="33" t="str">
        <f t="shared" si="8"/>
        <v/>
      </c>
      <c r="U300" s="34"/>
      <c r="V300" s="35"/>
      <c r="W300" s="33" t="str">
        <f t="shared" si="9"/>
        <v/>
      </c>
    </row>
    <row r="301" spans="1:23" x14ac:dyDescent="0.35">
      <c r="A301" s="21" t="str">
        <f>IF(COUNTA(B301:H301,J301:S301,U301:V301)=0,"",IF((IF(B301="","PO Ref, ","")&amp;IF(C301="","Vendor, ","")&amp;IF(D301="","Store, ","")&amp;IF(F301="","Product Type, ","")&amp;IF(G301="","Category, ","")&amp;IF(H301="","HSN Code, ","")&amp;IF(Q301="","Qty, ","")&amp;IF(R301="","Purchase Rate, ","")&amp;IF(S301="","MRP, ",""))&lt;&gt;"","Missing: "&amp;LEFT(IF(B301="","PO Ref, ","")&amp;IF(C301="","Vendor, ","")&amp;IF(D301="","Store, ","")&amp;IF(F301="","Product Type, ","")&amp;IF(G301="","Category, ","")&amp;IF(H301="","HSN Code, ","")&amp;IF(Q301="","Qty, ","")&amp;IF(R301="","Purchase Rate, ","")&amp;IF(S301="","MRP, ",""),LEN(IF(B301="","PO Ref, ","")&amp;IF(C301="","Vendor, ","")&amp;IF(D301="","Store, ","")&amp;IF(F301="","Product Type, ","")&amp;IF(G301="","Category, ","")&amp;IF(H301="","HSN Code, ","")&amp;IF(Q301="","Qty, ","")&amp;IF(R301="","Purchase Rate, ","")&amp;IF(S301="","MRP, ",""))-2),IF(COUNTIF(Vendors!$B$3:$B$202,C301)=0,"Add vendor "&amp;C301&amp;" on the Vendors sheet",IF(ISNA(MATCH(H301,Codes!$A$2:$A$13,0)),"Pick the HSN Code from the list",IF(AND(E301&lt;&gt;"",COUNTIFS($C$3:$C$1002,C301,$E$3:$E$1002,E301,$F$3:$F$1002,"&lt;&gt;"&amp;F301)+COUNTIFS($C$3:$C$1002,C301,$E$3:$E$1002,E301,$G$3:$G$1002,"&lt;&gt;"&amp;G301)&gt;0),"Design "&amp;E301&amp;" has another Product Type or Category on another row",IF(COUNTIFS($F$3:$F$1002,F301,$G$3:$G$1002,G301,$H$3:$H$1002,"&lt;&gt;"&amp;H301)&gt;0,F301&amp;" + "&amp;G301&amp;" has another HSN Code on another row",IF(AND(V301&lt;&gt;"",U301=""),"Received Qty needs the Vendor Invoice No",IF(AND(U301&lt;&gt;"",COUNTIFS(Bills!$B$3:$B$302,U301,Bills!$C$3:$C$302,C301)=0),"Add bill "&amp;U301&amp;" of "&amp;C301&amp;" on the Bills sheet",IF(S301&lt;R301,"MRP is below the Purchase Rate","OK")))))))))</f>
        <v/>
      </c>
      <c r="B301" s="29"/>
      <c r="C301" s="22"/>
      <c r="D301" s="22"/>
      <c r="E301" s="24"/>
      <c r="F301" s="22"/>
      <c r="G301" s="22"/>
      <c r="H301" s="22"/>
      <c r="I301" s="30" t="str">
        <f>IF(H301="","",IFERROR(INDEX(Codes!$B$2:$B$13,MATCH(H301,Codes!$A$2:$A$13,0)),""))</f>
        <v/>
      </c>
      <c r="J301" s="23"/>
      <c r="K301" s="23"/>
      <c r="L301" s="23"/>
      <c r="M301" s="23"/>
      <c r="N301" s="23"/>
      <c r="O301" s="23"/>
      <c r="P301" s="23"/>
      <c r="Q301" s="31"/>
      <c r="R301" s="32"/>
      <c r="S301" s="32"/>
      <c r="T301" s="33" t="str">
        <f t="shared" si="8"/>
        <v/>
      </c>
      <c r="U301" s="34"/>
      <c r="V301" s="35"/>
      <c r="W301" s="33" t="str">
        <f t="shared" si="9"/>
        <v/>
      </c>
    </row>
    <row r="302" spans="1:23" x14ac:dyDescent="0.35">
      <c r="A302" s="21" t="str">
        <f>IF(COUNTA(B302:H302,J302:S302,U302:V302)=0,"",IF((IF(B302="","PO Ref, ","")&amp;IF(C302="","Vendor, ","")&amp;IF(D302="","Store, ","")&amp;IF(F302="","Product Type, ","")&amp;IF(G302="","Category, ","")&amp;IF(H302="","HSN Code, ","")&amp;IF(Q302="","Qty, ","")&amp;IF(R302="","Purchase Rate, ","")&amp;IF(S302="","MRP, ",""))&lt;&gt;"","Missing: "&amp;LEFT(IF(B302="","PO Ref, ","")&amp;IF(C302="","Vendor, ","")&amp;IF(D302="","Store, ","")&amp;IF(F302="","Product Type, ","")&amp;IF(G302="","Category, ","")&amp;IF(H302="","HSN Code, ","")&amp;IF(Q302="","Qty, ","")&amp;IF(R302="","Purchase Rate, ","")&amp;IF(S302="","MRP, ",""),LEN(IF(B302="","PO Ref, ","")&amp;IF(C302="","Vendor, ","")&amp;IF(D302="","Store, ","")&amp;IF(F302="","Product Type, ","")&amp;IF(G302="","Category, ","")&amp;IF(H302="","HSN Code, ","")&amp;IF(Q302="","Qty, ","")&amp;IF(R302="","Purchase Rate, ","")&amp;IF(S302="","MRP, ",""))-2),IF(COUNTIF(Vendors!$B$3:$B$202,C302)=0,"Add vendor "&amp;C302&amp;" on the Vendors sheet",IF(ISNA(MATCH(H302,Codes!$A$2:$A$13,0)),"Pick the HSN Code from the list",IF(AND(E302&lt;&gt;"",COUNTIFS($C$3:$C$1002,C302,$E$3:$E$1002,E302,$F$3:$F$1002,"&lt;&gt;"&amp;F302)+COUNTIFS($C$3:$C$1002,C302,$E$3:$E$1002,E302,$G$3:$G$1002,"&lt;&gt;"&amp;G302)&gt;0),"Design "&amp;E302&amp;" has another Product Type or Category on another row",IF(COUNTIFS($F$3:$F$1002,F302,$G$3:$G$1002,G302,$H$3:$H$1002,"&lt;&gt;"&amp;H302)&gt;0,F302&amp;" + "&amp;G302&amp;" has another HSN Code on another row",IF(AND(V302&lt;&gt;"",U302=""),"Received Qty needs the Vendor Invoice No",IF(AND(U302&lt;&gt;"",COUNTIFS(Bills!$B$3:$B$302,U302,Bills!$C$3:$C$302,C302)=0),"Add bill "&amp;U302&amp;" of "&amp;C302&amp;" on the Bills sheet",IF(S302&lt;R302,"MRP is below the Purchase Rate","OK")))))))))</f>
        <v/>
      </c>
      <c r="B302" s="29"/>
      <c r="C302" s="22"/>
      <c r="D302" s="22"/>
      <c r="E302" s="24"/>
      <c r="F302" s="22"/>
      <c r="G302" s="22"/>
      <c r="H302" s="22"/>
      <c r="I302" s="30" t="str">
        <f>IF(H302="","",IFERROR(INDEX(Codes!$B$2:$B$13,MATCH(H302,Codes!$A$2:$A$13,0)),""))</f>
        <v/>
      </c>
      <c r="J302" s="23"/>
      <c r="K302" s="23"/>
      <c r="L302" s="23"/>
      <c r="M302" s="23"/>
      <c r="N302" s="23"/>
      <c r="O302" s="23"/>
      <c r="P302" s="23"/>
      <c r="Q302" s="31"/>
      <c r="R302" s="32"/>
      <c r="S302" s="32"/>
      <c r="T302" s="33" t="str">
        <f t="shared" si="8"/>
        <v/>
      </c>
      <c r="U302" s="34"/>
      <c r="V302" s="35"/>
      <c r="W302" s="33" t="str">
        <f t="shared" si="9"/>
        <v/>
      </c>
    </row>
    <row r="303" spans="1:23" x14ac:dyDescent="0.35">
      <c r="A303" s="21" t="str">
        <f>IF(COUNTA(B303:H303,J303:S303,U303:V303)=0,"",IF((IF(B303="","PO Ref, ","")&amp;IF(C303="","Vendor, ","")&amp;IF(D303="","Store, ","")&amp;IF(F303="","Product Type, ","")&amp;IF(G303="","Category, ","")&amp;IF(H303="","HSN Code, ","")&amp;IF(Q303="","Qty, ","")&amp;IF(R303="","Purchase Rate, ","")&amp;IF(S303="","MRP, ",""))&lt;&gt;"","Missing: "&amp;LEFT(IF(B303="","PO Ref, ","")&amp;IF(C303="","Vendor, ","")&amp;IF(D303="","Store, ","")&amp;IF(F303="","Product Type, ","")&amp;IF(G303="","Category, ","")&amp;IF(H303="","HSN Code, ","")&amp;IF(Q303="","Qty, ","")&amp;IF(R303="","Purchase Rate, ","")&amp;IF(S303="","MRP, ",""),LEN(IF(B303="","PO Ref, ","")&amp;IF(C303="","Vendor, ","")&amp;IF(D303="","Store, ","")&amp;IF(F303="","Product Type, ","")&amp;IF(G303="","Category, ","")&amp;IF(H303="","HSN Code, ","")&amp;IF(Q303="","Qty, ","")&amp;IF(R303="","Purchase Rate, ","")&amp;IF(S303="","MRP, ",""))-2),IF(COUNTIF(Vendors!$B$3:$B$202,C303)=0,"Add vendor "&amp;C303&amp;" on the Vendors sheet",IF(ISNA(MATCH(H303,Codes!$A$2:$A$13,0)),"Pick the HSN Code from the list",IF(AND(E303&lt;&gt;"",COUNTIFS($C$3:$C$1002,C303,$E$3:$E$1002,E303,$F$3:$F$1002,"&lt;&gt;"&amp;F303)+COUNTIFS($C$3:$C$1002,C303,$E$3:$E$1002,E303,$G$3:$G$1002,"&lt;&gt;"&amp;G303)&gt;0),"Design "&amp;E303&amp;" has another Product Type or Category on another row",IF(COUNTIFS($F$3:$F$1002,F303,$G$3:$G$1002,G303,$H$3:$H$1002,"&lt;&gt;"&amp;H303)&gt;0,F303&amp;" + "&amp;G303&amp;" has another HSN Code on another row",IF(AND(V303&lt;&gt;"",U303=""),"Received Qty needs the Vendor Invoice No",IF(AND(U303&lt;&gt;"",COUNTIFS(Bills!$B$3:$B$302,U303,Bills!$C$3:$C$302,C303)=0),"Add bill "&amp;U303&amp;" of "&amp;C303&amp;" on the Bills sheet",IF(S303&lt;R303,"MRP is below the Purchase Rate","OK")))))))))</f>
        <v/>
      </c>
      <c r="B303" s="29"/>
      <c r="C303" s="22"/>
      <c r="D303" s="22"/>
      <c r="E303" s="24"/>
      <c r="F303" s="22"/>
      <c r="G303" s="22"/>
      <c r="H303" s="22"/>
      <c r="I303" s="30" t="str">
        <f>IF(H303="","",IFERROR(INDEX(Codes!$B$2:$B$13,MATCH(H303,Codes!$A$2:$A$13,0)),""))</f>
        <v/>
      </c>
      <c r="J303" s="23"/>
      <c r="K303" s="23"/>
      <c r="L303" s="23"/>
      <c r="M303" s="23"/>
      <c r="N303" s="23"/>
      <c r="O303" s="23"/>
      <c r="P303" s="23"/>
      <c r="Q303" s="31"/>
      <c r="R303" s="32"/>
      <c r="S303" s="32"/>
      <c r="T303" s="33" t="str">
        <f t="shared" si="8"/>
        <v/>
      </c>
      <c r="U303" s="34"/>
      <c r="V303" s="35"/>
      <c r="W303" s="33" t="str">
        <f t="shared" si="9"/>
        <v/>
      </c>
    </row>
    <row r="304" spans="1:23" x14ac:dyDescent="0.35">
      <c r="A304" s="21" t="str">
        <f>IF(COUNTA(B304:H304,J304:S304,U304:V304)=0,"",IF((IF(B304="","PO Ref, ","")&amp;IF(C304="","Vendor, ","")&amp;IF(D304="","Store, ","")&amp;IF(F304="","Product Type, ","")&amp;IF(G304="","Category, ","")&amp;IF(H304="","HSN Code, ","")&amp;IF(Q304="","Qty, ","")&amp;IF(R304="","Purchase Rate, ","")&amp;IF(S304="","MRP, ",""))&lt;&gt;"","Missing: "&amp;LEFT(IF(B304="","PO Ref, ","")&amp;IF(C304="","Vendor, ","")&amp;IF(D304="","Store, ","")&amp;IF(F304="","Product Type, ","")&amp;IF(G304="","Category, ","")&amp;IF(H304="","HSN Code, ","")&amp;IF(Q304="","Qty, ","")&amp;IF(R304="","Purchase Rate, ","")&amp;IF(S304="","MRP, ",""),LEN(IF(B304="","PO Ref, ","")&amp;IF(C304="","Vendor, ","")&amp;IF(D304="","Store, ","")&amp;IF(F304="","Product Type, ","")&amp;IF(G304="","Category, ","")&amp;IF(H304="","HSN Code, ","")&amp;IF(Q304="","Qty, ","")&amp;IF(R304="","Purchase Rate, ","")&amp;IF(S304="","MRP, ",""))-2),IF(COUNTIF(Vendors!$B$3:$B$202,C304)=0,"Add vendor "&amp;C304&amp;" on the Vendors sheet",IF(ISNA(MATCH(H304,Codes!$A$2:$A$13,0)),"Pick the HSN Code from the list",IF(AND(E304&lt;&gt;"",COUNTIFS($C$3:$C$1002,C304,$E$3:$E$1002,E304,$F$3:$F$1002,"&lt;&gt;"&amp;F304)+COUNTIFS($C$3:$C$1002,C304,$E$3:$E$1002,E304,$G$3:$G$1002,"&lt;&gt;"&amp;G304)&gt;0),"Design "&amp;E304&amp;" has another Product Type or Category on another row",IF(COUNTIFS($F$3:$F$1002,F304,$G$3:$G$1002,G304,$H$3:$H$1002,"&lt;&gt;"&amp;H304)&gt;0,F304&amp;" + "&amp;G304&amp;" has another HSN Code on another row",IF(AND(V304&lt;&gt;"",U304=""),"Received Qty needs the Vendor Invoice No",IF(AND(U304&lt;&gt;"",COUNTIFS(Bills!$B$3:$B$302,U304,Bills!$C$3:$C$302,C304)=0),"Add bill "&amp;U304&amp;" of "&amp;C304&amp;" on the Bills sheet",IF(S304&lt;R304,"MRP is below the Purchase Rate","OK")))))))))</f>
        <v/>
      </c>
      <c r="B304" s="29"/>
      <c r="C304" s="22"/>
      <c r="D304" s="22"/>
      <c r="E304" s="24"/>
      <c r="F304" s="22"/>
      <c r="G304" s="22"/>
      <c r="H304" s="22"/>
      <c r="I304" s="30" t="str">
        <f>IF(H304="","",IFERROR(INDEX(Codes!$B$2:$B$13,MATCH(H304,Codes!$A$2:$A$13,0)),""))</f>
        <v/>
      </c>
      <c r="J304" s="23"/>
      <c r="K304" s="23"/>
      <c r="L304" s="23"/>
      <c r="M304" s="23"/>
      <c r="N304" s="23"/>
      <c r="O304" s="23"/>
      <c r="P304" s="23"/>
      <c r="Q304" s="31"/>
      <c r="R304" s="32"/>
      <c r="S304" s="32"/>
      <c r="T304" s="33" t="str">
        <f t="shared" si="8"/>
        <v/>
      </c>
      <c r="U304" s="34"/>
      <c r="V304" s="35"/>
      <c r="W304" s="33" t="str">
        <f t="shared" si="9"/>
        <v/>
      </c>
    </row>
    <row r="305" spans="1:23" x14ac:dyDescent="0.35">
      <c r="A305" s="21" t="str">
        <f>IF(COUNTA(B305:H305,J305:S305,U305:V305)=0,"",IF((IF(B305="","PO Ref, ","")&amp;IF(C305="","Vendor, ","")&amp;IF(D305="","Store, ","")&amp;IF(F305="","Product Type, ","")&amp;IF(G305="","Category, ","")&amp;IF(H305="","HSN Code, ","")&amp;IF(Q305="","Qty, ","")&amp;IF(R305="","Purchase Rate, ","")&amp;IF(S305="","MRP, ",""))&lt;&gt;"","Missing: "&amp;LEFT(IF(B305="","PO Ref, ","")&amp;IF(C305="","Vendor, ","")&amp;IF(D305="","Store, ","")&amp;IF(F305="","Product Type, ","")&amp;IF(G305="","Category, ","")&amp;IF(H305="","HSN Code, ","")&amp;IF(Q305="","Qty, ","")&amp;IF(R305="","Purchase Rate, ","")&amp;IF(S305="","MRP, ",""),LEN(IF(B305="","PO Ref, ","")&amp;IF(C305="","Vendor, ","")&amp;IF(D305="","Store, ","")&amp;IF(F305="","Product Type, ","")&amp;IF(G305="","Category, ","")&amp;IF(H305="","HSN Code, ","")&amp;IF(Q305="","Qty, ","")&amp;IF(R305="","Purchase Rate, ","")&amp;IF(S305="","MRP, ",""))-2),IF(COUNTIF(Vendors!$B$3:$B$202,C305)=0,"Add vendor "&amp;C305&amp;" on the Vendors sheet",IF(ISNA(MATCH(H305,Codes!$A$2:$A$13,0)),"Pick the HSN Code from the list",IF(AND(E305&lt;&gt;"",COUNTIFS($C$3:$C$1002,C305,$E$3:$E$1002,E305,$F$3:$F$1002,"&lt;&gt;"&amp;F305)+COUNTIFS($C$3:$C$1002,C305,$E$3:$E$1002,E305,$G$3:$G$1002,"&lt;&gt;"&amp;G305)&gt;0),"Design "&amp;E305&amp;" has another Product Type or Category on another row",IF(COUNTIFS($F$3:$F$1002,F305,$G$3:$G$1002,G305,$H$3:$H$1002,"&lt;&gt;"&amp;H305)&gt;0,F305&amp;" + "&amp;G305&amp;" has another HSN Code on another row",IF(AND(V305&lt;&gt;"",U305=""),"Received Qty needs the Vendor Invoice No",IF(AND(U305&lt;&gt;"",COUNTIFS(Bills!$B$3:$B$302,U305,Bills!$C$3:$C$302,C305)=0),"Add bill "&amp;U305&amp;" of "&amp;C305&amp;" on the Bills sheet",IF(S305&lt;R305,"MRP is below the Purchase Rate","OK")))))))))</f>
        <v/>
      </c>
      <c r="B305" s="29"/>
      <c r="C305" s="22"/>
      <c r="D305" s="22"/>
      <c r="E305" s="24"/>
      <c r="F305" s="22"/>
      <c r="G305" s="22"/>
      <c r="H305" s="22"/>
      <c r="I305" s="30" t="str">
        <f>IF(H305="","",IFERROR(INDEX(Codes!$B$2:$B$13,MATCH(H305,Codes!$A$2:$A$13,0)),""))</f>
        <v/>
      </c>
      <c r="J305" s="23"/>
      <c r="K305" s="23"/>
      <c r="L305" s="23"/>
      <c r="M305" s="23"/>
      <c r="N305" s="23"/>
      <c r="O305" s="23"/>
      <c r="P305" s="23"/>
      <c r="Q305" s="31"/>
      <c r="R305" s="32"/>
      <c r="S305" s="32"/>
      <c r="T305" s="33" t="str">
        <f t="shared" si="8"/>
        <v/>
      </c>
      <c r="U305" s="34"/>
      <c r="V305" s="35"/>
      <c r="W305" s="33" t="str">
        <f t="shared" si="9"/>
        <v/>
      </c>
    </row>
    <row r="306" spans="1:23" x14ac:dyDescent="0.35">
      <c r="A306" s="21" t="str">
        <f>IF(COUNTA(B306:H306,J306:S306,U306:V306)=0,"",IF((IF(B306="","PO Ref, ","")&amp;IF(C306="","Vendor, ","")&amp;IF(D306="","Store, ","")&amp;IF(F306="","Product Type, ","")&amp;IF(G306="","Category, ","")&amp;IF(H306="","HSN Code, ","")&amp;IF(Q306="","Qty, ","")&amp;IF(R306="","Purchase Rate, ","")&amp;IF(S306="","MRP, ",""))&lt;&gt;"","Missing: "&amp;LEFT(IF(B306="","PO Ref, ","")&amp;IF(C306="","Vendor, ","")&amp;IF(D306="","Store, ","")&amp;IF(F306="","Product Type, ","")&amp;IF(G306="","Category, ","")&amp;IF(H306="","HSN Code, ","")&amp;IF(Q306="","Qty, ","")&amp;IF(R306="","Purchase Rate, ","")&amp;IF(S306="","MRP, ",""),LEN(IF(B306="","PO Ref, ","")&amp;IF(C306="","Vendor, ","")&amp;IF(D306="","Store, ","")&amp;IF(F306="","Product Type, ","")&amp;IF(G306="","Category, ","")&amp;IF(H306="","HSN Code, ","")&amp;IF(Q306="","Qty, ","")&amp;IF(R306="","Purchase Rate, ","")&amp;IF(S306="","MRP, ",""))-2),IF(COUNTIF(Vendors!$B$3:$B$202,C306)=0,"Add vendor "&amp;C306&amp;" on the Vendors sheet",IF(ISNA(MATCH(H306,Codes!$A$2:$A$13,0)),"Pick the HSN Code from the list",IF(AND(E306&lt;&gt;"",COUNTIFS($C$3:$C$1002,C306,$E$3:$E$1002,E306,$F$3:$F$1002,"&lt;&gt;"&amp;F306)+COUNTIFS($C$3:$C$1002,C306,$E$3:$E$1002,E306,$G$3:$G$1002,"&lt;&gt;"&amp;G306)&gt;0),"Design "&amp;E306&amp;" has another Product Type or Category on another row",IF(COUNTIFS($F$3:$F$1002,F306,$G$3:$G$1002,G306,$H$3:$H$1002,"&lt;&gt;"&amp;H306)&gt;0,F306&amp;" + "&amp;G306&amp;" has another HSN Code on another row",IF(AND(V306&lt;&gt;"",U306=""),"Received Qty needs the Vendor Invoice No",IF(AND(U306&lt;&gt;"",COUNTIFS(Bills!$B$3:$B$302,U306,Bills!$C$3:$C$302,C306)=0),"Add bill "&amp;U306&amp;" of "&amp;C306&amp;" on the Bills sheet",IF(S306&lt;R306,"MRP is below the Purchase Rate","OK")))))))))</f>
        <v/>
      </c>
      <c r="B306" s="29"/>
      <c r="C306" s="22"/>
      <c r="D306" s="22"/>
      <c r="E306" s="24"/>
      <c r="F306" s="22"/>
      <c r="G306" s="22"/>
      <c r="H306" s="22"/>
      <c r="I306" s="30" t="str">
        <f>IF(H306="","",IFERROR(INDEX(Codes!$B$2:$B$13,MATCH(H306,Codes!$A$2:$A$13,0)),""))</f>
        <v/>
      </c>
      <c r="J306" s="23"/>
      <c r="K306" s="23"/>
      <c r="L306" s="23"/>
      <c r="M306" s="23"/>
      <c r="N306" s="23"/>
      <c r="O306" s="23"/>
      <c r="P306" s="23"/>
      <c r="Q306" s="31"/>
      <c r="R306" s="32"/>
      <c r="S306" s="32"/>
      <c r="T306" s="33" t="str">
        <f t="shared" si="8"/>
        <v/>
      </c>
      <c r="U306" s="34"/>
      <c r="V306" s="35"/>
      <c r="W306" s="33" t="str">
        <f t="shared" si="9"/>
        <v/>
      </c>
    </row>
    <row r="307" spans="1:23" x14ac:dyDescent="0.35">
      <c r="A307" s="21" t="str">
        <f>IF(COUNTA(B307:H307,J307:S307,U307:V307)=0,"",IF((IF(B307="","PO Ref, ","")&amp;IF(C307="","Vendor, ","")&amp;IF(D307="","Store, ","")&amp;IF(F307="","Product Type, ","")&amp;IF(G307="","Category, ","")&amp;IF(H307="","HSN Code, ","")&amp;IF(Q307="","Qty, ","")&amp;IF(R307="","Purchase Rate, ","")&amp;IF(S307="","MRP, ",""))&lt;&gt;"","Missing: "&amp;LEFT(IF(B307="","PO Ref, ","")&amp;IF(C307="","Vendor, ","")&amp;IF(D307="","Store, ","")&amp;IF(F307="","Product Type, ","")&amp;IF(G307="","Category, ","")&amp;IF(H307="","HSN Code, ","")&amp;IF(Q307="","Qty, ","")&amp;IF(R307="","Purchase Rate, ","")&amp;IF(S307="","MRP, ",""),LEN(IF(B307="","PO Ref, ","")&amp;IF(C307="","Vendor, ","")&amp;IF(D307="","Store, ","")&amp;IF(F307="","Product Type, ","")&amp;IF(G307="","Category, ","")&amp;IF(H307="","HSN Code, ","")&amp;IF(Q307="","Qty, ","")&amp;IF(R307="","Purchase Rate, ","")&amp;IF(S307="","MRP, ",""))-2),IF(COUNTIF(Vendors!$B$3:$B$202,C307)=0,"Add vendor "&amp;C307&amp;" on the Vendors sheet",IF(ISNA(MATCH(H307,Codes!$A$2:$A$13,0)),"Pick the HSN Code from the list",IF(AND(E307&lt;&gt;"",COUNTIFS($C$3:$C$1002,C307,$E$3:$E$1002,E307,$F$3:$F$1002,"&lt;&gt;"&amp;F307)+COUNTIFS($C$3:$C$1002,C307,$E$3:$E$1002,E307,$G$3:$G$1002,"&lt;&gt;"&amp;G307)&gt;0),"Design "&amp;E307&amp;" has another Product Type or Category on another row",IF(COUNTIFS($F$3:$F$1002,F307,$G$3:$G$1002,G307,$H$3:$H$1002,"&lt;&gt;"&amp;H307)&gt;0,F307&amp;" + "&amp;G307&amp;" has another HSN Code on another row",IF(AND(V307&lt;&gt;"",U307=""),"Received Qty needs the Vendor Invoice No",IF(AND(U307&lt;&gt;"",COUNTIFS(Bills!$B$3:$B$302,U307,Bills!$C$3:$C$302,C307)=0),"Add bill "&amp;U307&amp;" of "&amp;C307&amp;" on the Bills sheet",IF(S307&lt;R307,"MRP is below the Purchase Rate","OK")))))))))</f>
        <v/>
      </c>
      <c r="B307" s="29"/>
      <c r="C307" s="22"/>
      <c r="D307" s="22"/>
      <c r="E307" s="24"/>
      <c r="F307" s="22"/>
      <c r="G307" s="22"/>
      <c r="H307" s="22"/>
      <c r="I307" s="30" t="str">
        <f>IF(H307="","",IFERROR(INDEX(Codes!$B$2:$B$13,MATCH(H307,Codes!$A$2:$A$13,0)),""))</f>
        <v/>
      </c>
      <c r="J307" s="23"/>
      <c r="K307" s="23"/>
      <c r="L307" s="23"/>
      <c r="M307" s="23"/>
      <c r="N307" s="23"/>
      <c r="O307" s="23"/>
      <c r="P307" s="23"/>
      <c r="Q307" s="31"/>
      <c r="R307" s="32"/>
      <c r="S307" s="32"/>
      <c r="T307" s="33" t="str">
        <f t="shared" si="8"/>
        <v/>
      </c>
      <c r="U307" s="34"/>
      <c r="V307" s="35"/>
      <c r="W307" s="33" t="str">
        <f t="shared" si="9"/>
        <v/>
      </c>
    </row>
    <row r="308" spans="1:23" x14ac:dyDescent="0.35">
      <c r="A308" s="21" t="str">
        <f>IF(COUNTA(B308:H308,J308:S308,U308:V308)=0,"",IF((IF(B308="","PO Ref, ","")&amp;IF(C308="","Vendor, ","")&amp;IF(D308="","Store, ","")&amp;IF(F308="","Product Type, ","")&amp;IF(G308="","Category, ","")&amp;IF(H308="","HSN Code, ","")&amp;IF(Q308="","Qty, ","")&amp;IF(R308="","Purchase Rate, ","")&amp;IF(S308="","MRP, ",""))&lt;&gt;"","Missing: "&amp;LEFT(IF(B308="","PO Ref, ","")&amp;IF(C308="","Vendor, ","")&amp;IF(D308="","Store, ","")&amp;IF(F308="","Product Type, ","")&amp;IF(G308="","Category, ","")&amp;IF(H308="","HSN Code, ","")&amp;IF(Q308="","Qty, ","")&amp;IF(R308="","Purchase Rate, ","")&amp;IF(S308="","MRP, ",""),LEN(IF(B308="","PO Ref, ","")&amp;IF(C308="","Vendor, ","")&amp;IF(D308="","Store, ","")&amp;IF(F308="","Product Type, ","")&amp;IF(G308="","Category, ","")&amp;IF(H308="","HSN Code, ","")&amp;IF(Q308="","Qty, ","")&amp;IF(R308="","Purchase Rate, ","")&amp;IF(S308="","MRP, ",""))-2),IF(COUNTIF(Vendors!$B$3:$B$202,C308)=0,"Add vendor "&amp;C308&amp;" on the Vendors sheet",IF(ISNA(MATCH(H308,Codes!$A$2:$A$13,0)),"Pick the HSN Code from the list",IF(AND(E308&lt;&gt;"",COUNTIFS($C$3:$C$1002,C308,$E$3:$E$1002,E308,$F$3:$F$1002,"&lt;&gt;"&amp;F308)+COUNTIFS($C$3:$C$1002,C308,$E$3:$E$1002,E308,$G$3:$G$1002,"&lt;&gt;"&amp;G308)&gt;0),"Design "&amp;E308&amp;" has another Product Type or Category on another row",IF(COUNTIFS($F$3:$F$1002,F308,$G$3:$G$1002,G308,$H$3:$H$1002,"&lt;&gt;"&amp;H308)&gt;0,F308&amp;" + "&amp;G308&amp;" has another HSN Code on another row",IF(AND(V308&lt;&gt;"",U308=""),"Received Qty needs the Vendor Invoice No",IF(AND(U308&lt;&gt;"",COUNTIFS(Bills!$B$3:$B$302,U308,Bills!$C$3:$C$302,C308)=0),"Add bill "&amp;U308&amp;" of "&amp;C308&amp;" on the Bills sheet",IF(S308&lt;R308,"MRP is below the Purchase Rate","OK")))))))))</f>
        <v/>
      </c>
      <c r="B308" s="29"/>
      <c r="C308" s="22"/>
      <c r="D308" s="22"/>
      <c r="E308" s="24"/>
      <c r="F308" s="22"/>
      <c r="G308" s="22"/>
      <c r="H308" s="22"/>
      <c r="I308" s="30" t="str">
        <f>IF(H308="","",IFERROR(INDEX(Codes!$B$2:$B$13,MATCH(H308,Codes!$A$2:$A$13,0)),""))</f>
        <v/>
      </c>
      <c r="J308" s="23"/>
      <c r="K308" s="23"/>
      <c r="L308" s="23"/>
      <c r="M308" s="23"/>
      <c r="N308" s="23"/>
      <c r="O308" s="23"/>
      <c r="P308" s="23"/>
      <c r="Q308" s="31"/>
      <c r="R308" s="32"/>
      <c r="S308" s="32"/>
      <c r="T308" s="33" t="str">
        <f t="shared" si="8"/>
        <v/>
      </c>
      <c r="U308" s="34"/>
      <c r="V308" s="35"/>
      <c r="W308" s="33" t="str">
        <f t="shared" si="9"/>
        <v/>
      </c>
    </row>
    <row r="309" spans="1:23" x14ac:dyDescent="0.35">
      <c r="A309" s="21" t="str">
        <f>IF(COUNTA(B309:H309,J309:S309,U309:V309)=0,"",IF((IF(B309="","PO Ref, ","")&amp;IF(C309="","Vendor, ","")&amp;IF(D309="","Store, ","")&amp;IF(F309="","Product Type, ","")&amp;IF(G309="","Category, ","")&amp;IF(H309="","HSN Code, ","")&amp;IF(Q309="","Qty, ","")&amp;IF(R309="","Purchase Rate, ","")&amp;IF(S309="","MRP, ",""))&lt;&gt;"","Missing: "&amp;LEFT(IF(B309="","PO Ref, ","")&amp;IF(C309="","Vendor, ","")&amp;IF(D309="","Store, ","")&amp;IF(F309="","Product Type, ","")&amp;IF(G309="","Category, ","")&amp;IF(H309="","HSN Code, ","")&amp;IF(Q309="","Qty, ","")&amp;IF(R309="","Purchase Rate, ","")&amp;IF(S309="","MRP, ",""),LEN(IF(B309="","PO Ref, ","")&amp;IF(C309="","Vendor, ","")&amp;IF(D309="","Store, ","")&amp;IF(F309="","Product Type, ","")&amp;IF(G309="","Category, ","")&amp;IF(H309="","HSN Code, ","")&amp;IF(Q309="","Qty, ","")&amp;IF(R309="","Purchase Rate, ","")&amp;IF(S309="","MRP, ",""))-2),IF(COUNTIF(Vendors!$B$3:$B$202,C309)=0,"Add vendor "&amp;C309&amp;" on the Vendors sheet",IF(ISNA(MATCH(H309,Codes!$A$2:$A$13,0)),"Pick the HSN Code from the list",IF(AND(E309&lt;&gt;"",COUNTIFS($C$3:$C$1002,C309,$E$3:$E$1002,E309,$F$3:$F$1002,"&lt;&gt;"&amp;F309)+COUNTIFS($C$3:$C$1002,C309,$E$3:$E$1002,E309,$G$3:$G$1002,"&lt;&gt;"&amp;G309)&gt;0),"Design "&amp;E309&amp;" has another Product Type or Category on another row",IF(COUNTIFS($F$3:$F$1002,F309,$G$3:$G$1002,G309,$H$3:$H$1002,"&lt;&gt;"&amp;H309)&gt;0,F309&amp;" + "&amp;G309&amp;" has another HSN Code on another row",IF(AND(V309&lt;&gt;"",U309=""),"Received Qty needs the Vendor Invoice No",IF(AND(U309&lt;&gt;"",COUNTIFS(Bills!$B$3:$B$302,U309,Bills!$C$3:$C$302,C309)=0),"Add bill "&amp;U309&amp;" of "&amp;C309&amp;" on the Bills sheet",IF(S309&lt;R309,"MRP is below the Purchase Rate","OK")))))))))</f>
        <v/>
      </c>
      <c r="B309" s="29"/>
      <c r="C309" s="22"/>
      <c r="D309" s="22"/>
      <c r="E309" s="24"/>
      <c r="F309" s="22"/>
      <c r="G309" s="22"/>
      <c r="H309" s="22"/>
      <c r="I309" s="30" t="str">
        <f>IF(H309="","",IFERROR(INDEX(Codes!$B$2:$B$13,MATCH(H309,Codes!$A$2:$A$13,0)),""))</f>
        <v/>
      </c>
      <c r="J309" s="23"/>
      <c r="K309" s="23"/>
      <c r="L309" s="23"/>
      <c r="M309" s="23"/>
      <c r="N309" s="23"/>
      <c r="O309" s="23"/>
      <c r="P309" s="23"/>
      <c r="Q309" s="31"/>
      <c r="R309" s="32"/>
      <c r="S309" s="32"/>
      <c r="T309" s="33" t="str">
        <f t="shared" si="8"/>
        <v/>
      </c>
      <c r="U309" s="34"/>
      <c r="V309" s="35"/>
      <c r="W309" s="33" t="str">
        <f t="shared" si="9"/>
        <v/>
      </c>
    </row>
    <row r="310" spans="1:23" x14ac:dyDescent="0.35">
      <c r="A310" s="21" t="str">
        <f>IF(COUNTA(B310:H310,J310:S310,U310:V310)=0,"",IF((IF(B310="","PO Ref, ","")&amp;IF(C310="","Vendor, ","")&amp;IF(D310="","Store, ","")&amp;IF(F310="","Product Type, ","")&amp;IF(G310="","Category, ","")&amp;IF(H310="","HSN Code, ","")&amp;IF(Q310="","Qty, ","")&amp;IF(R310="","Purchase Rate, ","")&amp;IF(S310="","MRP, ",""))&lt;&gt;"","Missing: "&amp;LEFT(IF(B310="","PO Ref, ","")&amp;IF(C310="","Vendor, ","")&amp;IF(D310="","Store, ","")&amp;IF(F310="","Product Type, ","")&amp;IF(G310="","Category, ","")&amp;IF(H310="","HSN Code, ","")&amp;IF(Q310="","Qty, ","")&amp;IF(R310="","Purchase Rate, ","")&amp;IF(S310="","MRP, ",""),LEN(IF(B310="","PO Ref, ","")&amp;IF(C310="","Vendor, ","")&amp;IF(D310="","Store, ","")&amp;IF(F310="","Product Type, ","")&amp;IF(G310="","Category, ","")&amp;IF(H310="","HSN Code, ","")&amp;IF(Q310="","Qty, ","")&amp;IF(R310="","Purchase Rate, ","")&amp;IF(S310="","MRP, ",""))-2),IF(COUNTIF(Vendors!$B$3:$B$202,C310)=0,"Add vendor "&amp;C310&amp;" on the Vendors sheet",IF(ISNA(MATCH(H310,Codes!$A$2:$A$13,0)),"Pick the HSN Code from the list",IF(AND(E310&lt;&gt;"",COUNTIFS($C$3:$C$1002,C310,$E$3:$E$1002,E310,$F$3:$F$1002,"&lt;&gt;"&amp;F310)+COUNTIFS($C$3:$C$1002,C310,$E$3:$E$1002,E310,$G$3:$G$1002,"&lt;&gt;"&amp;G310)&gt;0),"Design "&amp;E310&amp;" has another Product Type or Category on another row",IF(COUNTIFS($F$3:$F$1002,F310,$G$3:$G$1002,G310,$H$3:$H$1002,"&lt;&gt;"&amp;H310)&gt;0,F310&amp;" + "&amp;G310&amp;" has another HSN Code on another row",IF(AND(V310&lt;&gt;"",U310=""),"Received Qty needs the Vendor Invoice No",IF(AND(U310&lt;&gt;"",COUNTIFS(Bills!$B$3:$B$302,U310,Bills!$C$3:$C$302,C310)=0),"Add bill "&amp;U310&amp;" of "&amp;C310&amp;" on the Bills sheet",IF(S310&lt;R310,"MRP is below the Purchase Rate","OK")))))))))</f>
        <v/>
      </c>
      <c r="B310" s="29"/>
      <c r="C310" s="22"/>
      <c r="D310" s="22"/>
      <c r="E310" s="24"/>
      <c r="F310" s="22"/>
      <c r="G310" s="22"/>
      <c r="H310" s="22"/>
      <c r="I310" s="30" t="str">
        <f>IF(H310="","",IFERROR(INDEX(Codes!$B$2:$B$13,MATCH(H310,Codes!$A$2:$A$13,0)),""))</f>
        <v/>
      </c>
      <c r="J310" s="23"/>
      <c r="K310" s="23"/>
      <c r="L310" s="23"/>
      <c r="M310" s="23"/>
      <c r="N310" s="23"/>
      <c r="O310" s="23"/>
      <c r="P310" s="23"/>
      <c r="Q310" s="31"/>
      <c r="R310" s="32"/>
      <c r="S310" s="32"/>
      <c r="T310" s="33" t="str">
        <f t="shared" si="8"/>
        <v/>
      </c>
      <c r="U310" s="34"/>
      <c r="V310" s="35"/>
      <c r="W310" s="33" t="str">
        <f t="shared" si="9"/>
        <v/>
      </c>
    </row>
    <row r="311" spans="1:23" x14ac:dyDescent="0.35">
      <c r="A311" s="21" t="str">
        <f>IF(COUNTA(B311:H311,J311:S311,U311:V311)=0,"",IF((IF(B311="","PO Ref, ","")&amp;IF(C311="","Vendor, ","")&amp;IF(D311="","Store, ","")&amp;IF(F311="","Product Type, ","")&amp;IF(G311="","Category, ","")&amp;IF(H311="","HSN Code, ","")&amp;IF(Q311="","Qty, ","")&amp;IF(R311="","Purchase Rate, ","")&amp;IF(S311="","MRP, ",""))&lt;&gt;"","Missing: "&amp;LEFT(IF(B311="","PO Ref, ","")&amp;IF(C311="","Vendor, ","")&amp;IF(D311="","Store, ","")&amp;IF(F311="","Product Type, ","")&amp;IF(G311="","Category, ","")&amp;IF(H311="","HSN Code, ","")&amp;IF(Q311="","Qty, ","")&amp;IF(R311="","Purchase Rate, ","")&amp;IF(S311="","MRP, ",""),LEN(IF(B311="","PO Ref, ","")&amp;IF(C311="","Vendor, ","")&amp;IF(D311="","Store, ","")&amp;IF(F311="","Product Type, ","")&amp;IF(G311="","Category, ","")&amp;IF(H311="","HSN Code, ","")&amp;IF(Q311="","Qty, ","")&amp;IF(R311="","Purchase Rate, ","")&amp;IF(S311="","MRP, ",""))-2),IF(COUNTIF(Vendors!$B$3:$B$202,C311)=0,"Add vendor "&amp;C311&amp;" on the Vendors sheet",IF(ISNA(MATCH(H311,Codes!$A$2:$A$13,0)),"Pick the HSN Code from the list",IF(AND(E311&lt;&gt;"",COUNTIFS($C$3:$C$1002,C311,$E$3:$E$1002,E311,$F$3:$F$1002,"&lt;&gt;"&amp;F311)+COUNTIFS($C$3:$C$1002,C311,$E$3:$E$1002,E311,$G$3:$G$1002,"&lt;&gt;"&amp;G311)&gt;0),"Design "&amp;E311&amp;" has another Product Type or Category on another row",IF(COUNTIFS($F$3:$F$1002,F311,$G$3:$G$1002,G311,$H$3:$H$1002,"&lt;&gt;"&amp;H311)&gt;0,F311&amp;" + "&amp;G311&amp;" has another HSN Code on another row",IF(AND(V311&lt;&gt;"",U311=""),"Received Qty needs the Vendor Invoice No",IF(AND(U311&lt;&gt;"",COUNTIFS(Bills!$B$3:$B$302,U311,Bills!$C$3:$C$302,C311)=0),"Add bill "&amp;U311&amp;" of "&amp;C311&amp;" on the Bills sheet",IF(S311&lt;R311,"MRP is below the Purchase Rate","OK")))))))))</f>
        <v/>
      </c>
      <c r="B311" s="29"/>
      <c r="C311" s="22"/>
      <c r="D311" s="22"/>
      <c r="E311" s="24"/>
      <c r="F311" s="22"/>
      <c r="G311" s="22"/>
      <c r="H311" s="22"/>
      <c r="I311" s="30" t="str">
        <f>IF(H311="","",IFERROR(INDEX(Codes!$B$2:$B$13,MATCH(H311,Codes!$A$2:$A$13,0)),""))</f>
        <v/>
      </c>
      <c r="J311" s="23"/>
      <c r="K311" s="23"/>
      <c r="L311" s="23"/>
      <c r="M311" s="23"/>
      <c r="N311" s="23"/>
      <c r="O311" s="23"/>
      <c r="P311" s="23"/>
      <c r="Q311" s="31"/>
      <c r="R311" s="32"/>
      <c r="S311" s="32"/>
      <c r="T311" s="33" t="str">
        <f t="shared" si="8"/>
        <v/>
      </c>
      <c r="U311" s="34"/>
      <c r="V311" s="35"/>
      <c r="W311" s="33" t="str">
        <f t="shared" si="9"/>
        <v/>
      </c>
    </row>
    <row r="312" spans="1:23" x14ac:dyDescent="0.35">
      <c r="A312" s="21" t="str">
        <f>IF(COUNTA(B312:H312,J312:S312,U312:V312)=0,"",IF((IF(B312="","PO Ref, ","")&amp;IF(C312="","Vendor, ","")&amp;IF(D312="","Store, ","")&amp;IF(F312="","Product Type, ","")&amp;IF(G312="","Category, ","")&amp;IF(H312="","HSN Code, ","")&amp;IF(Q312="","Qty, ","")&amp;IF(R312="","Purchase Rate, ","")&amp;IF(S312="","MRP, ",""))&lt;&gt;"","Missing: "&amp;LEFT(IF(B312="","PO Ref, ","")&amp;IF(C312="","Vendor, ","")&amp;IF(D312="","Store, ","")&amp;IF(F312="","Product Type, ","")&amp;IF(G312="","Category, ","")&amp;IF(H312="","HSN Code, ","")&amp;IF(Q312="","Qty, ","")&amp;IF(R312="","Purchase Rate, ","")&amp;IF(S312="","MRP, ",""),LEN(IF(B312="","PO Ref, ","")&amp;IF(C312="","Vendor, ","")&amp;IF(D312="","Store, ","")&amp;IF(F312="","Product Type, ","")&amp;IF(G312="","Category, ","")&amp;IF(H312="","HSN Code, ","")&amp;IF(Q312="","Qty, ","")&amp;IF(R312="","Purchase Rate, ","")&amp;IF(S312="","MRP, ",""))-2),IF(COUNTIF(Vendors!$B$3:$B$202,C312)=0,"Add vendor "&amp;C312&amp;" on the Vendors sheet",IF(ISNA(MATCH(H312,Codes!$A$2:$A$13,0)),"Pick the HSN Code from the list",IF(AND(E312&lt;&gt;"",COUNTIFS($C$3:$C$1002,C312,$E$3:$E$1002,E312,$F$3:$F$1002,"&lt;&gt;"&amp;F312)+COUNTIFS($C$3:$C$1002,C312,$E$3:$E$1002,E312,$G$3:$G$1002,"&lt;&gt;"&amp;G312)&gt;0),"Design "&amp;E312&amp;" has another Product Type or Category on another row",IF(COUNTIFS($F$3:$F$1002,F312,$G$3:$G$1002,G312,$H$3:$H$1002,"&lt;&gt;"&amp;H312)&gt;0,F312&amp;" + "&amp;G312&amp;" has another HSN Code on another row",IF(AND(V312&lt;&gt;"",U312=""),"Received Qty needs the Vendor Invoice No",IF(AND(U312&lt;&gt;"",COUNTIFS(Bills!$B$3:$B$302,U312,Bills!$C$3:$C$302,C312)=0),"Add bill "&amp;U312&amp;" of "&amp;C312&amp;" on the Bills sheet",IF(S312&lt;R312,"MRP is below the Purchase Rate","OK")))))))))</f>
        <v/>
      </c>
      <c r="B312" s="29"/>
      <c r="C312" s="22"/>
      <c r="D312" s="22"/>
      <c r="E312" s="24"/>
      <c r="F312" s="22"/>
      <c r="G312" s="22"/>
      <c r="H312" s="22"/>
      <c r="I312" s="30" t="str">
        <f>IF(H312="","",IFERROR(INDEX(Codes!$B$2:$B$13,MATCH(H312,Codes!$A$2:$A$13,0)),""))</f>
        <v/>
      </c>
      <c r="J312" s="23"/>
      <c r="K312" s="23"/>
      <c r="L312" s="23"/>
      <c r="M312" s="23"/>
      <c r="N312" s="23"/>
      <c r="O312" s="23"/>
      <c r="P312" s="23"/>
      <c r="Q312" s="31"/>
      <c r="R312" s="32"/>
      <c r="S312" s="32"/>
      <c r="T312" s="33" t="str">
        <f t="shared" si="8"/>
        <v/>
      </c>
      <c r="U312" s="34"/>
      <c r="V312" s="35"/>
      <c r="W312" s="33" t="str">
        <f t="shared" si="9"/>
        <v/>
      </c>
    </row>
    <row r="313" spans="1:23" x14ac:dyDescent="0.35">
      <c r="A313" s="21" t="str">
        <f>IF(COUNTA(B313:H313,J313:S313,U313:V313)=0,"",IF((IF(B313="","PO Ref, ","")&amp;IF(C313="","Vendor, ","")&amp;IF(D313="","Store, ","")&amp;IF(F313="","Product Type, ","")&amp;IF(G313="","Category, ","")&amp;IF(H313="","HSN Code, ","")&amp;IF(Q313="","Qty, ","")&amp;IF(R313="","Purchase Rate, ","")&amp;IF(S313="","MRP, ",""))&lt;&gt;"","Missing: "&amp;LEFT(IF(B313="","PO Ref, ","")&amp;IF(C313="","Vendor, ","")&amp;IF(D313="","Store, ","")&amp;IF(F313="","Product Type, ","")&amp;IF(G313="","Category, ","")&amp;IF(H313="","HSN Code, ","")&amp;IF(Q313="","Qty, ","")&amp;IF(R313="","Purchase Rate, ","")&amp;IF(S313="","MRP, ",""),LEN(IF(B313="","PO Ref, ","")&amp;IF(C313="","Vendor, ","")&amp;IF(D313="","Store, ","")&amp;IF(F313="","Product Type, ","")&amp;IF(G313="","Category, ","")&amp;IF(H313="","HSN Code, ","")&amp;IF(Q313="","Qty, ","")&amp;IF(R313="","Purchase Rate, ","")&amp;IF(S313="","MRP, ",""))-2),IF(COUNTIF(Vendors!$B$3:$B$202,C313)=0,"Add vendor "&amp;C313&amp;" on the Vendors sheet",IF(ISNA(MATCH(H313,Codes!$A$2:$A$13,0)),"Pick the HSN Code from the list",IF(AND(E313&lt;&gt;"",COUNTIFS($C$3:$C$1002,C313,$E$3:$E$1002,E313,$F$3:$F$1002,"&lt;&gt;"&amp;F313)+COUNTIFS($C$3:$C$1002,C313,$E$3:$E$1002,E313,$G$3:$G$1002,"&lt;&gt;"&amp;G313)&gt;0),"Design "&amp;E313&amp;" has another Product Type or Category on another row",IF(COUNTIFS($F$3:$F$1002,F313,$G$3:$G$1002,G313,$H$3:$H$1002,"&lt;&gt;"&amp;H313)&gt;0,F313&amp;" + "&amp;G313&amp;" has another HSN Code on another row",IF(AND(V313&lt;&gt;"",U313=""),"Received Qty needs the Vendor Invoice No",IF(AND(U313&lt;&gt;"",COUNTIFS(Bills!$B$3:$B$302,U313,Bills!$C$3:$C$302,C313)=0),"Add bill "&amp;U313&amp;" of "&amp;C313&amp;" on the Bills sheet",IF(S313&lt;R313,"MRP is below the Purchase Rate","OK")))))))))</f>
        <v/>
      </c>
      <c r="B313" s="29"/>
      <c r="C313" s="22"/>
      <c r="D313" s="22"/>
      <c r="E313" s="24"/>
      <c r="F313" s="22"/>
      <c r="G313" s="22"/>
      <c r="H313" s="22"/>
      <c r="I313" s="30" t="str">
        <f>IF(H313="","",IFERROR(INDEX(Codes!$B$2:$B$13,MATCH(H313,Codes!$A$2:$A$13,0)),""))</f>
        <v/>
      </c>
      <c r="J313" s="23"/>
      <c r="K313" s="23"/>
      <c r="L313" s="23"/>
      <c r="M313" s="23"/>
      <c r="N313" s="23"/>
      <c r="O313" s="23"/>
      <c r="P313" s="23"/>
      <c r="Q313" s="31"/>
      <c r="R313" s="32"/>
      <c r="S313" s="32"/>
      <c r="T313" s="33" t="str">
        <f t="shared" si="8"/>
        <v/>
      </c>
      <c r="U313" s="34"/>
      <c r="V313" s="35"/>
      <c r="W313" s="33" t="str">
        <f t="shared" si="9"/>
        <v/>
      </c>
    </row>
    <row r="314" spans="1:23" x14ac:dyDescent="0.35">
      <c r="A314" s="21" t="str">
        <f>IF(COUNTA(B314:H314,J314:S314,U314:V314)=0,"",IF((IF(B314="","PO Ref, ","")&amp;IF(C314="","Vendor, ","")&amp;IF(D314="","Store, ","")&amp;IF(F314="","Product Type, ","")&amp;IF(G314="","Category, ","")&amp;IF(H314="","HSN Code, ","")&amp;IF(Q314="","Qty, ","")&amp;IF(R314="","Purchase Rate, ","")&amp;IF(S314="","MRP, ",""))&lt;&gt;"","Missing: "&amp;LEFT(IF(B314="","PO Ref, ","")&amp;IF(C314="","Vendor, ","")&amp;IF(D314="","Store, ","")&amp;IF(F314="","Product Type, ","")&amp;IF(G314="","Category, ","")&amp;IF(H314="","HSN Code, ","")&amp;IF(Q314="","Qty, ","")&amp;IF(R314="","Purchase Rate, ","")&amp;IF(S314="","MRP, ",""),LEN(IF(B314="","PO Ref, ","")&amp;IF(C314="","Vendor, ","")&amp;IF(D314="","Store, ","")&amp;IF(F314="","Product Type, ","")&amp;IF(G314="","Category, ","")&amp;IF(H314="","HSN Code, ","")&amp;IF(Q314="","Qty, ","")&amp;IF(R314="","Purchase Rate, ","")&amp;IF(S314="","MRP, ",""))-2),IF(COUNTIF(Vendors!$B$3:$B$202,C314)=0,"Add vendor "&amp;C314&amp;" on the Vendors sheet",IF(ISNA(MATCH(H314,Codes!$A$2:$A$13,0)),"Pick the HSN Code from the list",IF(AND(E314&lt;&gt;"",COUNTIFS($C$3:$C$1002,C314,$E$3:$E$1002,E314,$F$3:$F$1002,"&lt;&gt;"&amp;F314)+COUNTIFS($C$3:$C$1002,C314,$E$3:$E$1002,E314,$G$3:$G$1002,"&lt;&gt;"&amp;G314)&gt;0),"Design "&amp;E314&amp;" has another Product Type or Category on another row",IF(COUNTIFS($F$3:$F$1002,F314,$G$3:$G$1002,G314,$H$3:$H$1002,"&lt;&gt;"&amp;H314)&gt;0,F314&amp;" + "&amp;G314&amp;" has another HSN Code on another row",IF(AND(V314&lt;&gt;"",U314=""),"Received Qty needs the Vendor Invoice No",IF(AND(U314&lt;&gt;"",COUNTIFS(Bills!$B$3:$B$302,U314,Bills!$C$3:$C$302,C314)=0),"Add bill "&amp;U314&amp;" of "&amp;C314&amp;" on the Bills sheet",IF(S314&lt;R314,"MRP is below the Purchase Rate","OK")))))))))</f>
        <v/>
      </c>
      <c r="B314" s="29"/>
      <c r="C314" s="22"/>
      <c r="D314" s="22"/>
      <c r="E314" s="24"/>
      <c r="F314" s="22"/>
      <c r="G314" s="22"/>
      <c r="H314" s="22"/>
      <c r="I314" s="30" t="str">
        <f>IF(H314="","",IFERROR(INDEX(Codes!$B$2:$B$13,MATCH(H314,Codes!$A$2:$A$13,0)),""))</f>
        <v/>
      </c>
      <c r="J314" s="23"/>
      <c r="K314" s="23"/>
      <c r="L314" s="23"/>
      <c r="M314" s="23"/>
      <c r="N314" s="23"/>
      <c r="O314" s="23"/>
      <c r="P314" s="23"/>
      <c r="Q314" s="31"/>
      <c r="R314" s="32"/>
      <c r="S314" s="32"/>
      <c r="T314" s="33" t="str">
        <f t="shared" si="8"/>
        <v/>
      </c>
      <c r="U314" s="34"/>
      <c r="V314" s="35"/>
      <c r="W314" s="33" t="str">
        <f t="shared" si="9"/>
        <v/>
      </c>
    </row>
    <row r="315" spans="1:23" x14ac:dyDescent="0.35">
      <c r="A315" s="21" t="str">
        <f>IF(COUNTA(B315:H315,J315:S315,U315:V315)=0,"",IF((IF(B315="","PO Ref, ","")&amp;IF(C315="","Vendor, ","")&amp;IF(D315="","Store, ","")&amp;IF(F315="","Product Type, ","")&amp;IF(G315="","Category, ","")&amp;IF(H315="","HSN Code, ","")&amp;IF(Q315="","Qty, ","")&amp;IF(R315="","Purchase Rate, ","")&amp;IF(S315="","MRP, ",""))&lt;&gt;"","Missing: "&amp;LEFT(IF(B315="","PO Ref, ","")&amp;IF(C315="","Vendor, ","")&amp;IF(D315="","Store, ","")&amp;IF(F315="","Product Type, ","")&amp;IF(G315="","Category, ","")&amp;IF(H315="","HSN Code, ","")&amp;IF(Q315="","Qty, ","")&amp;IF(R315="","Purchase Rate, ","")&amp;IF(S315="","MRP, ",""),LEN(IF(B315="","PO Ref, ","")&amp;IF(C315="","Vendor, ","")&amp;IF(D315="","Store, ","")&amp;IF(F315="","Product Type, ","")&amp;IF(G315="","Category, ","")&amp;IF(H315="","HSN Code, ","")&amp;IF(Q315="","Qty, ","")&amp;IF(R315="","Purchase Rate, ","")&amp;IF(S315="","MRP, ",""))-2),IF(COUNTIF(Vendors!$B$3:$B$202,C315)=0,"Add vendor "&amp;C315&amp;" on the Vendors sheet",IF(ISNA(MATCH(H315,Codes!$A$2:$A$13,0)),"Pick the HSN Code from the list",IF(AND(E315&lt;&gt;"",COUNTIFS($C$3:$C$1002,C315,$E$3:$E$1002,E315,$F$3:$F$1002,"&lt;&gt;"&amp;F315)+COUNTIFS($C$3:$C$1002,C315,$E$3:$E$1002,E315,$G$3:$G$1002,"&lt;&gt;"&amp;G315)&gt;0),"Design "&amp;E315&amp;" has another Product Type or Category on another row",IF(COUNTIFS($F$3:$F$1002,F315,$G$3:$G$1002,G315,$H$3:$H$1002,"&lt;&gt;"&amp;H315)&gt;0,F315&amp;" + "&amp;G315&amp;" has another HSN Code on another row",IF(AND(V315&lt;&gt;"",U315=""),"Received Qty needs the Vendor Invoice No",IF(AND(U315&lt;&gt;"",COUNTIFS(Bills!$B$3:$B$302,U315,Bills!$C$3:$C$302,C315)=0),"Add bill "&amp;U315&amp;" of "&amp;C315&amp;" on the Bills sheet",IF(S315&lt;R315,"MRP is below the Purchase Rate","OK")))))))))</f>
        <v/>
      </c>
      <c r="B315" s="29"/>
      <c r="C315" s="22"/>
      <c r="D315" s="22"/>
      <c r="E315" s="24"/>
      <c r="F315" s="22"/>
      <c r="G315" s="22"/>
      <c r="H315" s="22"/>
      <c r="I315" s="30" t="str">
        <f>IF(H315="","",IFERROR(INDEX(Codes!$B$2:$B$13,MATCH(H315,Codes!$A$2:$A$13,0)),""))</f>
        <v/>
      </c>
      <c r="J315" s="23"/>
      <c r="K315" s="23"/>
      <c r="L315" s="23"/>
      <c r="M315" s="23"/>
      <c r="N315" s="23"/>
      <c r="O315" s="23"/>
      <c r="P315" s="23"/>
      <c r="Q315" s="31"/>
      <c r="R315" s="32"/>
      <c r="S315" s="32"/>
      <c r="T315" s="33" t="str">
        <f t="shared" si="8"/>
        <v/>
      </c>
      <c r="U315" s="34"/>
      <c r="V315" s="35"/>
      <c r="W315" s="33" t="str">
        <f t="shared" si="9"/>
        <v/>
      </c>
    </row>
    <row r="316" spans="1:23" x14ac:dyDescent="0.35">
      <c r="A316" s="21" t="str">
        <f>IF(COUNTA(B316:H316,J316:S316,U316:V316)=0,"",IF((IF(B316="","PO Ref, ","")&amp;IF(C316="","Vendor, ","")&amp;IF(D316="","Store, ","")&amp;IF(F316="","Product Type, ","")&amp;IF(G316="","Category, ","")&amp;IF(H316="","HSN Code, ","")&amp;IF(Q316="","Qty, ","")&amp;IF(R316="","Purchase Rate, ","")&amp;IF(S316="","MRP, ",""))&lt;&gt;"","Missing: "&amp;LEFT(IF(B316="","PO Ref, ","")&amp;IF(C316="","Vendor, ","")&amp;IF(D316="","Store, ","")&amp;IF(F316="","Product Type, ","")&amp;IF(G316="","Category, ","")&amp;IF(H316="","HSN Code, ","")&amp;IF(Q316="","Qty, ","")&amp;IF(R316="","Purchase Rate, ","")&amp;IF(S316="","MRP, ",""),LEN(IF(B316="","PO Ref, ","")&amp;IF(C316="","Vendor, ","")&amp;IF(D316="","Store, ","")&amp;IF(F316="","Product Type, ","")&amp;IF(G316="","Category, ","")&amp;IF(H316="","HSN Code, ","")&amp;IF(Q316="","Qty, ","")&amp;IF(R316="","Purchase Rate, ","")&amp;IF(S316="","MRP, ",""))-2),IF(COUNTIF(Vendors!$B$3:$B$202,C316)=0,"Add vendor "&amp;C316&amp;" on the Vendors sheet",IF(ISNA(MATCH(H316,Codes!$A$2:$A$13,0)),"Pick the HSN Code from the list",IF(AND(E316&lt;&gt;"",COUNTIFS($C$3:$C$1002,C316,$E$3:$E$1002,E316,$F$3:$F$1002,"&lt;&gt;"&amp;F316)+COUNTIFS($C$3:$C$1002,C316,$E$3:$E$1002,E316,$G$3:$G$1002,"&lt;&gt;"&amp;G316)&gt;0),"Design "&amp;E316&amp;" has another Product Type or Category on another row",IF(COUNTIFS($F$3:$F$1002,F316,$G$3:$G$1002,G316,$H$3:$H$1002,"&lt;&gt;"&amp;H316)&gt;0,F316&amp;" + "&amp;G316&amp;" has another HSN Code on another row",IF(AND(V316&lt;&gt;"",U316=""),"Received Qty needs the Vendor Invoice No",IF(AND(U316&lt;&gt;"",COUNTIFS(Bills!$B$3:$B$302,U316,Bills!$C$3:$C$302,C316)=0),"Add bill "&amp;U316&amp;" of "&amp;C316&amp;" on the Bills sheet",IF(S316&lt;R316,"MRP is below the Purchase Rate","OK")))))))))</f>
        <v/>
      </c>
      <c r="B316" s="29"/>
      <c r="C316" s="22"/>
      <c r="D316" s="22"/>
      <c r="E316" s="24"/>
      <c r="F316" s="22"/>
      <c r="G316" s="22"/>
      <c r="H316" s="22"/>
      <c r="I316" s="30" t="str">
        <f>IF(H316="","",IFERROR(INDEX(Codes!$B$2:$B$13,MATCH(H316,Codes!$A$2:$A$13,0)),""))</f>
        <v/>
      </c>
      <c r="J316" s="23"/>
      <c r="K316" s="23"/>
      <c r="L316" s="23"/>
      <c r="M316" s="23"/>
      <c r="N316" s="23"/>
      <c r="O316" s="23"/>
      <c r="P316" s="23"/>
      <c r="Q316" s="31"/>
      <c r="R316" s="32"/>
      <c r="S316" s="32"/>
      <c r="T316" s="33" t="str">
        <f t="shared" si="8"/>
        <v/>
      </c>
      <c r="U316" s="34"/>
      <c r="V316" s="35"/>
      <c r="W316" s="33" t="str">
        <f t="shared" si="9"/>
        <v/>
      </c>
    </row>
    <row r="317" spans="1:23" x14ac:dyDescent="0.35">
      <c r="A317" s="21" t="str">
        <f>IF(COUNTA(B317:H317,J317:S317,U317:V317)=0,"",IF((IF(B317="","PO Ref, ","")&amp;IF(C317="","Vendor, ","")&amp;IF(D317="","Store, ","")&amp;IF(F317="","Product Type, ","")&amp;IF(G317="","Category, ","")&amp;IF(H317="","HSN Code, ","")&amp;IF(Q317="","Qty, ","")&amp;IF(R317="","Purchase Rate, ","")&amp;IF(S317="","MRP, ",""))&lt;&gt;"","Missing: "&amp;LEFT(IF(B317="","PO Ref, ","")&amp;IF(C317="","Vendor, ","")&amp;IF(D317="","Store, ","")&amp;IF(F317="","Product Type, ","")&amp;IF(G317="","Category, ","")&amp;IF(H317="","HSN Code, ","")&amp;IF(Q317="","Qty, ","")&amp;IF(R317="","Purchase Rate, ","")&amp;IF(S317="","MRP, ",""),LEN(IF(B317="","PO Ref, ","")&amp;IF(C317="","Vendor, ","")&amp;IF(D317="","Store, ","")&amp;IF(F317="","Product Type, ","")&amp;IF(G317="","Category, ","")&amp;IF(H317="","HSN Code, ","")&amp;IF(Q317="","Qty, ","")&amp;IF(R317="","Purchase Rate, ","")&amp;IF(S317="","MRP, ",""))-2),IF(COUNTIF(Vendors!$B$3:$B$202,C317)=0,"Add vendor "&amp;C317&amp;" on the Vendors sheet",IF(ISNA(MATCH(H317,Codes!$A$2:$A$13,0)),"Pick the HSN Code from the list",IF(AND(E317&lt;&gt;"",COUNTIFS($C$3:$C$1002,C317,$E$3:$E$1002,E317,$F$3:$F$1002,"&lt;&gt;"&amp;F317)+COUNTIFS($C$3:$C$1002,C317,$E$3:$E$1002,E317,$G$3:$G$1002,"&lt;&gt;"&amp;G317)&gt;0),"Design "&amp;E317&amp;" has another Product Type or Category on another row",IF(COUNTIFS($F$3:$F$1002,F317,$G$3:$G$1002,G317,$H$3:$H$1002,"&lt;&gt;"&amp;H317)&gt;0,F317&amp;" + "&amp;G317&amp;" has another HSN Code on another row",IF(AND(V317&lt;&gt;"",U317=""),"Received Qty needs the Vendor Invoice No",IF(AND(U317&lt;&gt;"",COUNTIFS(Bills!$B$3:$B$302,U317,Bills!$C$3:$C$302,C317)=0),"Add bill "&amp;U317&amp;" of "&amp;C317&amp;" on the Bills sheet",IF(S317&lt;R317,"MRP is below the Purchase Rate","OK")))))))))</f>
        <v/>
      </c>
      <c r="B317" s="29"/>
      <c r="C317" s="22"/>
      <c r="D317" s="22"/>
      <c r="E317" s="24"/>
      <c r="F317" s="22"/>
      <c r="G317" s="22"/>
      <c r="H317" s="22"/>
      <c r="I317" s="30" t="str">
        <f>IF(H317="","",IFERROR(INDEX(Codes!$B$2:$B$13,MATCH(H317,Codes!$A$2:$A$13,0)),""))</f>
        <v/>
      </c>
      <c r="J317" s="23"/>
      <c r="K317" s="23"/>
      <c r="L317" s="23"/>
      <c r="M317" s="23"/>
      <c r="N317" s="23"/>
      <c r="O317" s="23"/>
      <c r="P317" s="23"/>
      <c r="Q317" s="31"/>
      <c r="R317" s="32"/>
      <c r="S317" s="32"/>
      <c r="T317" s="33" t="str">
        <f t="shared" si="8"/>
        <v/>
      </c>
      <c r="U317" s="34"/>
      <c r="V317" s="35"/>
      <c r="W317" s="33" t="str">
        <f t="shared" si="9"/>
        <v/>
      </c>
    </row>
    <row r="318" spans="1:23" x14ac:dyDescent="0.35">
      <c r="A318" s="21" t="str">
        <f>IF(COUNTA(B318:H318,J318:S318,U318:V318)=0,"",IF((IF(B318="","PO Ref, ","")&amp;IF(C318="","Vendor, ","")&amp;IF(D318="","Store, ","")&amp;IF(F318="","Product Type, ","")&amp;IF(G318="","Category, ","")&amp;IF(H318="","HSN Code, ","")&amp;IF(Q318="","Qty, ","")&amp;IF(R318="","Purchase Rate, ","")&amp;IF(S318="","MRP, ",""))&lt;&gt;"","Missing: "&amp;LEFT(IF(B318="","PO Ref, ","")&amp;IF(C318="","Vendor, ","")&amp;IF(D318="","Store, ","")&amp;IF(F318="","Product Type, ","")&amp;IF(G318="","Category, ","")&amp;IF(H318="","HSN Code, ","")&amp;IF(Q318="","Qty, ","")&amp;IF(R318="","Purchase Rate, ","")&amp;IF(S318="","MRP, ",""),LEN(IF(B318="","PO Ref, ","")&amp;IF(C318="","Vendor, ","")&amp;IF(D318="","Store, ","")&amp;IF(F318="","Product Type, ","")&amp;IF(G318="","Category, ","")&amp;IF(H318="","HSN Code, ","")&amp;IF(Q318="","Qty, ","")&amp;IF(R318="","Purchase Rate, ","")&amp;IF(S318="","MRP, ",""))-2),IF(COUNTIF(Vendors!$B$3:$B$202,C318)=0,"Add vendor "&amp;C318&amp;" on the Vendors sheet",IF(ISNA(MATCH(H318,Codes!$A$2:$A$13,0)),"Pick the HSN Code from the list",IF(AND(E318&lt;&gt;"",COUNTIFS($C$3:$C$1002,C318,$E$3:$E$1002,E318,$F$3:$F$1002,"&lt;&gt;"&amp;F318)+COUNTIFS($C$3:$C$1002,C318,$E$3:$E$1002,E318,$G$3:$G$1002,"&lt;&gt;"&amp;G318)&gt;0),"Design "&amp;E318&amp;" has another Product Type or Category on another row",IF(COUNTIFS($F$3:$F$1002,F318,$G$3:$G$1002,G318,$H$3:$H$1002,"&lt;&gt;"&amp;H318)&gt;0,F318&amp;" + "&amp;G318&amp;" has another HSN Code on another row",IF(AND(V318&lt;&gt;"",U318=""),"Received Qty needs the Vendor Invoice No",IF(AND(U318&lt;&gt;"",COUNTIFS(Bills!$B$3:$B$302,U318,Bills!$C$3:$C$302,C318)=0),"Add bill "&amp;U318&amp;" of "&amp;C318&amp;" on the Bills sheet",IF(S318&lt;R318,"MRP is below the Purchase Rate","OK")))))))))</f>
        <v/>
      </c>
      <c r="B318" s="29"/>
      <c r="C318" s="22"/>
      <c r="D318" s="22"/>
      <c r="E318" s="24"/>
      <c r="F318" s="22"/>
      <c r="G318" s="22"/>
      <c r="H318" s="22"/>
      <c r="I318" s="30" t="str">
        <f>IF(H318="","",IFERROR(INDEX(Codes!$B$2:$B$13,MATCH(H318,Codes!$A$2:$A$13,0)),""))</f>
        <v/>
      </c>
      <c r="J318" s="23"/>
      <c r="K318" s="23"/>
      <c r="L318" s="23"/>
      <c r="M318" s="23"/>
      <c r="N318" s="23"/>
      <c r="O318" s="23"/>
      <c r="P318" s="23"/>
      <c r="Q318" s="31"/>
      <c r="R318" s="32"/>
      <c r="S318" s="32"/>
      <c r="T318" s="33" t="str">
        <f t="shared" si="8"/>
        <v/>
      </c>
      <c r="U318" s="34"/>
      <c r="V318" s="35"/>
      <c r="W318" s="33" t="str">
        <f t="shared" si="9"/>
        <v/>
      </c>
    </row>
    <row r="319" spans="1:23" x14ac:dyDescent="0.35">
      <c r="A319" s="21" t="str">
        <f>IF(COUNTA(B319:H319,J319:S319,U319:V319)=0,"",IF((IF(B319="","PO Ref, ","")&amp;IF(C319="","Vendor, ","")&amp;IF(D319="","Store, ","")&amp;IF(F319="","Product Type, ","")&amp;IF(G319="","Category, ","")&amp;IF(H319="","HSN Code, ","")&amp;IF(Q319="","Qty, ","")&amp;IF(R319="","Purchase Rate, ","")&amp;IF(S319="","MRP, ",""))&lt;&gt;"","Missing: "&amp;LEFT(IF(B319="","PO Ref, ","")&amp;IF(C319="","Vendor, ","")&amp;IF(D319="","Store, ","")&amp;IF(F319="","Product Type, ","")&amp;IF(G319="","Category, ","")&amp;IF(H319="","HSN Code, ","")&amp;IF(Q319="","Qty, ","")&amp;IF(R319="","Purchase Rate, ","")&amp;IF(S319="","MRP, ",""),LEN(IF(B319="","PO Ref, ","")&amp;IF(C319="","Vendor, ","")&amp;IF(D319="","Store, ","")&amp;IF(F319="","Product Type, ","")&amp;IF(G319="","Category, ","")&amp;IF(H319="","HSN Code, ","")&amp;IF(Q319="","Qty, ","")&amp;IF(R319="","Purchase Rate, ","")&amp;IF(S319="","MRP, ",""))-2),IF(COUNTIF(Vendors!$B$3:$B$202,C319)=0,"Add vendor "&amp;C319&amp;" on the Vendors sheet",IF(ISNA(MATCH(H319,Codes!$A$2:$A$13,0)),"Pick the HSN Code from the list",IF(AND(E319&lt;&gt;"",COUNTIFS($C$3:$C$1002,C319,$E$3:$E$1002,E319,$F$3:$F$1002,"&lt;&gt;"&amp;F319)+COUNTIFS($C$3:$C$1002,C319,$E$3:$E$1002,E319,$G$3:$G$1002,"&lt;&gt;"&amp;G319)&gt;0),"Design "&amp;E319&amp;" has another Product Type or Category on another row",IF(COUNTIFS($F$3:$F$1002,F319,$G$3:$G$1002,G319,$H$3:$H$1002,"&lt;&gt;"&amp;H319)&gt;0,F319&amp;" + "&amp;G319&amp;" has another HSN Code on another row",IF(AND(V319&lt;&gt;"",U319=""),"Received Qty needs the Vendor Invoice No",IF(AND(U319&lt;&gt;"",COUNTIFS(Bills!$B$3:$B$302,U319,Bills!$C$3:$C$302,C319)=0),"Add bill "&amp;U319&amp;" of "&amp;C319&amp;" on the Bills sheet",IF(S319&lt;R319,"MRP is below the Purchase Rate","OK")))))))))</f>
        <v/>
      </c>
      <c r="B319" s="29"/>
      <c r="C319" s="22"/>
      <c r="D319" s="22"/>
      <c r="E319" s="24"/>
      <c r="F319" s="22"/>
      <c r="G319" s="22"/>
      <c r="H319" s="22"/>
      <c r="I319" s="30" t="str">
        <f>IF(H319="","",IFERROR(INDEX(Codes!$B$2:$B$13,MATCH(H319,Codes!$A$2:$A$13,0)),""))</f>
        <v/>
      </c>
      <c r="J319" s="23"/>
      <c r="K319" s="23"/>
      <c r="L319" s="23"/>
      <c r="M319" s="23"/>
      <c r="N319" s="23"/>
      <c r="O319" s="23"/>
      <c r="P319" s="23"/>
      <c r="Q319" s="31"/>
      <c r="R319" s="32"/>
      <c r="S319" s="32"/>
      <c r="T319" s="33" t="str">
        <f t="shared" si="8"/>
        <v/>
      </c>
      <c r="U319" s="34"/>
      <c r="V319" s="35"/>
      <c r="W319" s="33" t="str">
        <f t="shared" si="9"/>
        <v/>
      </c>
    </row>
    <row r="320" spans="1:23" x14ac:dyDescent="0.35">
      <c r="A320" s="21" t="str">
        <f>IF(COUNTA(B320:H320,J320:S320,U320:V320)=0,"",IF((IF(B320="","PO Ref, ","")&amp;IF(C320="","Vendor, ","")&amp;IF(D320="","Store, ","")&amp;IF(F320="","Product Type, ","")&amp;IF(G320="","Category, ","")&amp;IF(H320="","HSN Code, ","")&amp;IF(Q320="","Qty, ","")&amp;IF(R320="","Purchase Rate, ","")&amp;IF(S320="","MRP, ",""))&lt;&gt;"","Missing: "&amp;LEFT(IF(B320="","PO Ref, ","")&amp;IF(C320="","Vendor, ","")&amp;IF(D320="","Store, ","")&amp;IF(F320="","Product Type, ","")&amp;IF(G320="","Category, ","")&amp;IF(H320="","HSN Code, ","")&amp;IF(Q320="","Qty, ","")&amp;IF(R320="","Purchase Rate, ","")&amp;IF(S320="","MRP, ",""),LEN(IF(B320="","PO Ref, ","")&amp;IF(C320="","Vendor, ","")&amp;IF(D320="","Store, ","")&amp;IF(F320="","Product Type, ","")&amp;IF(G320="","Category, ","")&amp;IF(H320="","HSN Code, ","")&amp;IF(Q320="","Qty, ","")&amp;IF(R320="","Purchase Rate, ","")&amp;IF(S320="","MRP, ",""))-2),IF(COUNTIF(Vendors!$B$3:$B$202,C320)=0,"Add vendor "&amp;C320&amp;" on the Vendors sheet",IF(ISNA(MATCH(H320,Codes!$A$2:$A$13,0)),"Pick the HSN Code from the list",IF(AND(E320&lt;&gt;"",COUNTIFS($C$3:$C$1002,C320,$E$3:$E$1002,E320,$F$3:$F$1002,"&lt;&gt;"&amp;F320)+COUNTIFS($C$3:$C$1002,C320,$E$3:$E$1002,E320,$G$3:$G$1002,"&lt;&gt;"&amp;G320)&gt;0),"Design "&amp;E320&amp;" has another Product Type or Category on another row",IF(COUNTIFS($F$3:$F$1002,F320,$G$3:$G$1002,G320,$H$3:$H$1002,"&lt;&gt;"&amp;H320)&gt;0,F320&amp;" + "&amp;G320&amp;" has another HSN Code on another row",IF(AND(V320&lt;&gt;"",U320=""),"Received Qty needs the Vendor Invoice No",IF(AND(U320&lt;&gt;"",COUNTIFS(Bills!$B$3:$B$302,U320,Bills!$C$3:$C$302,C320)=0),"Add bill "&amp;U320&amp;" of "&amp;C320&amp;" on the Bills sheet",IF(S320&lt;R320,"MRP is below the Purchase Rate","OK")))))))))</f>
        <v/>
      </c>
      <c r="B320" s="29"/>
      <c r="C320" s="22"/>
      <c r="D320" s="22"/>
      <c r="E320" s="24"/>
      <c r="F320" s="22"/>
      <c r="G320" s="22"/>
      <c r="H320" s="22"/>
      <c r="I320" s="30" t="str">
        <f>IF(H320="","",IFERROR(INDEX(Codes!$B$2:$B$13,MATCH(H320,Codes!$A$2:$A$13,0)),""))</f>
        <v/>
      </c>
      <c r="J320" s="23"/>
      <c r="K320" s="23"/>
      <c r="L320" s="23"/>
      <c r="M320" s="23"/>
      <c r="N320" s="23"/>
      <c r="O320" s="23"/>
      <c r="P320" s="23"/>
      <c r="Q320" s="31"/>
      <c r="R320" s="32"/>
      <c r="S320" s="32"/>
      <c r="T320" s="33" t="str">
        <f t="shared" si="8"/>
        <v/>
      </c>
      <c r="U320" s="34"/>
      <c r="V320" s="35"/>
      <c r="W320" s="33" t="str">
        <f t="shared" si="9"/>
        <v/>
      </c>
    </row>
    <row r="321" spans="1:23" x14ac:dyDescent="0.35">
      <c r="A321" s="21" t="str">
        <f>IF(COUNTA(B321:H321,J321:S321,U321:V321)=0,"",IF((IF(B321="","PO Ref, ","")&amp;IF(C321="","Vendor, ","")&amp;IF(D321="","Store, ","")&amp;IF(F321="","Product Type, ","")&amp;IF(G321="","Category, ","")&amp;IF(H321="","HSN Code, ","")&amp;IF(Q321="","Qty, ","")&amp;IF(R321="","Purchase Rate, ","")&amp;IF(S321="","MRP, ",""))&lt;&gt;"","Missing: "&amp;LEFT(IF(B321="","PO Ref, ","")&amp;IF(C321="","Vendor, ","")&amp;IF(D321="","Store, ","")&amp;IF(F321="","Product Type, ","")&amp;IF(G321="","Category, ","")&amp;IF(H321="","HSN Code, ","")&amp;IF(Q321="","Qty, ","")&amp;IF(R321="","Purchase Rate, ","")&amp;IF(S321="","MRP, ",""),LEN(IF(B321="","PO Ref, ","")&amp;IF(C321="","Vendor, ","")&amp;IF(D321="","Store, ","")&amp;IF(F321="","Product Type, ","")&amp;IF(G321="","Category, ","")&amp;IF(H321="","HSN Code, ","")&amp;IF(Q321="","Qty, ","")&amp;IF(R321="","Purchase Rate, ","")&amp;IF(S321="","MRP, ",""))-2),IF(COUNTIF(Vendors!$B$3:$B$202,C321)=0,"Add vendor "&amp;C321&amp;" on the Vendors sheet",IF(ISNA(MATCH(H321,Codes!$A$2:$A$13,0)),"Pick the HSN Code from the list",IF(AND(E321&lt;&gt;"",COUNTIFS($C$3:$C$1002,C321,$E$3:$E$1002,E321,$F$3:$F$1002,"&lt;&gt;"&amp;F321)+COUNTIFS($C$3:$C$1002,C321,$E$3:$E$1002,E321,$G$3:$G$1002,"&lt;&gt;"&amp;G321)&gt;0),"Design "&amp;E321&amp;" has another Product Type or Category on another row",IF(COUNTIFS($F$3:$F$1002,F321,$G$3:$G$1002,G321,$H$3:$H$1002,"&lt;&gt;"&amp;H321)&gt;0,F321&amp;" + "&amp;G321&amp;" has another HSN Code on another row",IF(AND(V321&lt;&gt;"",U321=""),"Received Qty needs the Vendor Invoice No",IF(AND(U321&lt;&gt;"",COUNTIFS(Bills!$B$3:$B$302,U321,Bills!$C$3:$C$302,C321)=0),"Add bill "&amp;U321&amp;" of "&amp;C321&amp;" on the Bills sheet",IF(S321&lt;R321,"MRP is below the Purchase Rate","OK")))))))))</f>
        <v/>
      </c>
      <c r="B321" s="29"/>
      <c r="C321" s="22"/>
      <c r="D321" s="22"/>
      <c r="E321" s="24"/>
      <c r="F321" s="22"/>
      <c r="G321" s="22"/>
      <c r="H321" s="22"/>
      <c r="I321" s="30" t="str">
        <f>IF(H321="","",IFERROR(INDEX(Codes!$B$2:$B$13,MATCH(H321,Codes!$A$2:$A$13,0)),""))</f>
        <v/>
      </c>
      <c r="J321" s="23"/>
      <c r="K321" s="23"/>
      <c r="L321" s="23"/>
      <c r="M321" s="23"/>
      <c r="N321" s="23"/>
      <c r="O321" s="23"/>
      <c r="P321" s="23"/>
      <c r="Q321" s="31"/>
      <c r="R321" s="32"/>
      <c r="S321" s="32"/>
      <c r="T321" s="33" t="str">
        <f t="shared" si="8"/>
        <v/>
      </c>
      <c r="U321" s="34"/>
      <c r="V321" s="35"/>
      <c r="W321" s="33" t="str">
        <f t="shared" si="9"/>
        <v/>
      </c>
    </row>
    <row r="322" spans="1:23" x14ac:dyDescent="0.35">
      <c r="A322" s="21" t="str">
        <f>IF(COUNTA(B322:H322,J322:S322,U322:V322)=0,"",IF((IF(B322="","PO Ref, ","")&amp;IF(C322="","Vendor, ","")&amp;IF(D322="","Store, ","")&amp;IF(F322="","Product Type, ","")&amp;IF(G322="","Category, ","")&amp;IF(H322="","HSN Code, ","")&amp;IF(Q322="","Qty, ","")&amp;IF(R322="","Purchase Rate, ","")&amp;IF(S322="","MRP, ",""))&lt;&gt;"","Missing: "&amp;LEFT(IF(B322="","PO Ref, ","")&amp;IF(C322="","Vendor, ","")&amp;IF(D322="","Store, ","")&amp;IF(F322="","Product Type, ","")&amp;IF(G322="","Category, ","")&amp;IF(H322="","HSN Code, ","")&amp;IF(Q322="","Qty, ","")&amp;IF(R322="","Purchase Rate, ","")&amp;IF(S322="","MRP, ",""),LEN(IF(B322="","PO Ref, ","")&amp;IF(C322="","Vendor, ","")&amp;IF(D322="","Store, ","")&amp;IF(F322="","Product Type, ","")&amp;IF(G322="","Category, ","")&amp;IF(H322="","HSN Code, ","")&amp;IF(Q322="","Qty, ","")&amp;IF(R322="","Purchase Rate, ","")&amp;IF(S322="","MRP, ",""))-2),IF(COUNTIF(Vendors!$B$3:$B$202,C322)=0,"Add vendor "&amp;C322&amp;" on the Vendors sheet",IF(ISNA(MATCH(H322,Codes!$A$2:$A$13,0)),"Pick the HSN Code from the list",IF(AND(E322&lt;&gt;"",COUNTIFS($C$3:$C$1002,C322,$E$3:$E$1002,E322,$F$3:$F$1002,"&lt;&gt;"&amp;F322)+COUNTIFS($C$3:$C$1002,C322,$E$3:$E$1002,E322,$G$3:$G$1002,"&lt;&gt;"&amp;G322)&gt;0),"Design "&amp;E322&amp;" has another Product Type or Category on another row",IF(COUNTIFS($F$3:$F$1002,F322,$G$3:$G$1002,G322,$H$3:$H$1002,"&lt;&gt;"&amp;H322)&gt;0,F322&amp;" + "&amp;G322&amp;" has another HSN Code on another row",IF(AND(V322&lt;&gt;"",U322=""),"Received Qty needs the Vendor Invoice No",IF(AND(U322&lt;&gt;"",COUNTIFS(Bills!$B$3:$B$302,U322,Bills!$C$3:$C$302,C322)=0),"Add bill "&amp;U322&amp;" of "&amp;C322&amp;" on the Bills sheet",IF(S322&lt;R322,"MRP is below the Purchase Rate","OK")))))))))</f>
        <v/>
      </c>
      <c r="B322" s="29"/>
      <c r="C322" s="22"/>
      <c r="D322" s="22"/>
      <c r="E322" s="24"/>
      <c r="F322" s="22"/>
      <c r="G322" s="22"/>
      <c r="H322" s="22"/>
      <c r="I322" s="30" t="str">
        <f>IF(H322="","",IFERROR(INDEX(Codes!$B$2:$B$13,MATCH(H322,Codes!$A$2:$A$13,0)),""))</f>
        <v/>
      </c>
      <c r="J322" s="23"/>
      <c r="K322" s="23"/>
      <c r="L322" s="23"/>
      <c r="M322" s="23"/>
      <c r="N322" s="23"/>
      <c r="O322" s="23"/>
      <c r="P322" s="23"/>
      <c r="Q322" s="31"/>
      <c r="R322" s="32"/>
      <c r="S322" s="32"/>
      <c r="T322" s="33" t="str">
        <f t="shared" si="8"/>
        <v/>
      </c>
      <c r="U322" s="34"/>
      <c r="V322" s="35"/>
      <c r="W322" s="33" t="str">
        <f t="shared" si="9"/>
        <v/>
      </c>
    </row>
    <row r="323" spans="1:23" x14ac:dyDescent="0.35">
      <c r="A323" s="21" t="str">
        <f>IF(COUNTA(B323:H323,J323:S323,U323:V323)=0,"",IF((IF(B323="","PO Ref, ","")&amp;IF(C323="","Vendor, ","")&amp;IF(D323="","Store, ","")&amp;IF(F323="","Product Type, ","")&amp;IF(G323="","Category, ","")&amp;IF(H323="","HSN Code, ","")&amp;IF(Q323="","Qty, ","")&amp;IF(R323="","Purchase Rate, ","")&amp;IF(S323="","MRP, ",""))&lt;&gt;"","Missing: "&amp;LEFT(IF(B323="","PO Ref, ","")&amp;IF(C323="","Vendor, ","")&amp;IF(D323="","Store, ","")&amp;IF(F323="","Product Type, ","")&amp;IF(G323="","Category, ","")&amp;IF(H323="","HSN Code, ","")&amp;IF(Q323="","Qty, ","")&amp;IF(R323="","Purchase Rate, ","")&amp;IF(S323="","MRP, ",""),LEN(IF(B323="","PO Ref, ","")&amp;IF(C323="","Vendor, ","")&amp;IF(D323="","Store, ","")&amp;IF(F323="","Product Type, ","")&amp;IF(G323="","Category, ","")&amp;IF(H323="","HSN Code, ","")&amp;IF(Q323="","Qty, ","")&amp;IF(R323="","Purchase Rate, ","")&amp;IF(S323="","MRP, ",""))-2),IF(COUNTIF(Vendors!$B$3:$B$202,C323)=0,"Add vendor "&amp;C323&amp;" on the Vendors sheet",IF(ISNA(MATCH(H323,Codes!$A$2:$A$13,0)),"Pick the HSN Code from the list",IF(AND(E323&lt;&gt;"",COUNTIFS($C$3:$C$1002,C323,$E$3:$E$1002,E323,$F$3:$F$1002,"&lt;&gt;"&amp;F323)+COUNTIFS($C$3:$C$1002,C323,$E$3:$E$1002,E323,$G$3:$G$1002,"&lt;&gt;"&amp;G323)&gt;0),"Design "&amp;E323&amp;" has another Product Type or Category on another row",IF(COUNTIFS($F$3:$F$1002,F323,$G$3:$G$1002,G323,$H$3:$H$1002,"&lt;&gt;"&amp;H323)&gt;0,F323&amp;" + "&amp;G323&amp;" has another HSN Code on another row",IF(AND(V323&lt;&gt;"",U323=""),"Received Qty needs the Vendor Invoice No",IF(AND(U323&lt;&gt;"",COUNTIFS(Bills!$B$3:$B$302,U323,Bills!$C$3:$C$302,C323)=0),"Add bill "&amp;U323&amp;" of "&amp;C323&amp;" on the Bills sheet",IF(S323&lt;R323,"MRP is below the Purchase Rate","OK")))))))))</f>
        <v/>
      </c>
      <c r="B323" s="29"/>
      <c r="C323" s="22"/>
      <c r="D323" s="22"/>
      <c r="E323" s="24"/>
      <c r="F323" s="22"/>
      <c r="G323" s="22"/>
      <c r="H323" s="22"/>
      <c r="I323" s="30" t="str">
        <f>IF(H323="","",IFERROR(INDEX(Codes!$B$2:$B$13,MATCH(H323,Codes!$A$2:$A$13,0)),""))</f>
        <v/>
      </c>
      <c r="J323" s="23"/>
      <c r="K323" s="23"/>
      <c r="L323" s="23"/>
      <c r="M323" s="23"/>
      <c r="N323" s="23"/>
      <c r="O323" s="23"/>
      <c r="P323" s="23"/>
      <c r="Q323" s="31"/>
      <c r="R323" s="32"/>
      <c r="S323" s="32"/>
      <c r="T323" s="33" t="str">
        <f t="shared" ref="T323:T386" si="10">IF(OR(Q323="",R323=""),"",Q323*R323)</f>
        <v/>
      </c>
      <c r="U323" s="34"/>
      <c r="V323" s="35"/>
      <c r="W323" s="33" t="str">
        <f t="shared" ref="W323:W386" si="11">IF(OR(U323="",R323=""),"",IF(V323="",Q323,V323)*R323)</f>
        <v/>
      </c>
    </row>
    <row r="324" spans="1:23" x14ac:dyDescent="0.35">
      <c r="A324" s="21" t="str">
        <f>IF(COUNTA(B324:H324,J324:S324,U324:V324)=0,"",IF((IF(B324="","PO Ref, ","")&amp;IF(C324="","Vendor, ","")&amp;IF(D324="","Store, ","")&amp;IF(F324="","Product Type, ","")&amp;IF(G324="","Category, ","")&amp;IF(H324="","HSN Code, ","")&amp;IF(Q324="","Qty, ","")&amp;IF(R324="","Purchase Rate, ","")&amp;IF(S324="","MRP, ",""))&lt;&gt;"","Missing: "&amp;LEFT(IF(B324="","PO Ref, ","")&amp;IF(C324="","Vendor, ","")&amp;IF(D324="","Store, ","")&amp;IF(F324="","Product Type, ","")&amp;IF(G324="","Category, ","")&amp;IF(H324="","HSN Code, ","")&amp;IF(Q324="","Qty, ","")&amp;IF(R324="","Purchase Rate, ","")&amp;IF(S324="","MRP, ",""),LEN(IF(B324="","PO Ref, ","")&amp;IF(C324="","Vendor, ","")&amp;IF(D324="","Store, ","")&amp;IF(F324="","Product Type, ","")&amp;IF(G324="","Category, ","")&amp;IF(H324="","HSN Code, ","")&amp;IF(Q324="","Qty, ","")&amp;IF(R324="","Purchase Rate, ","")&amp;IF(S324="","MRP, ",""))-2),IF(COUNTIF(Vendors!$B$3:$B$202,C324)=0,"Add vendor "&amp;C324&amp;" on the Vendors sheet",IF(ISNA(MATCH(H324,Codes!$A$2:$A$13,0)),"Pick the HSN Code from the list",IF(AND(E324&lt;&gt;"",COUNTIFS($C$3:$C$1002,C324,$E$3:$E$1002,E324,$F$3:$F$1002,"&lt;&gt;"&amp;F324)+COUNTIFS($C$3:$C$1002,C324,$E$3:$E$1002,E324,$G$3:$G$1002,"&lt;&gt;"&amp;G324)&gt;0),"Design "&amp;E324&amp;" has another Product Type or Category on another row",IF(COUNTIFS($F$3:$F$1002,F324,$G$3:$G$1002,G324,$H$3:$H$1002,"&lt;&gt;"&amp;H324)&gt;0,F324&amp;" + "&amp;G324&amp;" has another HSN Code on another row",IF(AND(V324&lt;&gt;"",U324=""),"Received Qty needs the Vendor Invoice No",IF(AND(U324&lt;&gt;"",COUNTIFS(Bills!$B$3:$B$302,U324,Bills!$C$3:$C$302,C324)=0),"Add bill "&amp;U324&amp;" of "&amp;C324&amp;" on the Bills sheet",IF(S324&lt;R324,"MRP is below the Purchase Rate","OK")))))))))</f>
        <v/>
      </c>
      <c r="B324" s="29"/>
      <c r="C324" s="22"/>
      <c r="D324" s="22"/>
      <c r="E324" s="24"/>
      <c r="F324" s="22"/>
      <c r="G324" s="22"/>
      <c r="H324" s="22"/>
      <c r="I324" s="30" t="str">
        <f>IF(H324="","",IFERROR(INDEX(Codes!$B$2:$B$13,MATCH(H324,Codes!$A$2:$A$13,0)),""))</f>
        <v/>
      </c>
      <c r="J324" s="23"/>
      <c r="K324" s="23"/>
      <c r="L324" s="23"/>
      <c r="M324" s="23"/>
      <c r="N324" s="23"/>
      <c r="O324" s="23"/>
      <c r="P324" s="23"/>
      <c r="Q324" s="31"/>
      <c r="R324" s="32"/>
      <c r="S324" s="32"/>
      <c r="T324" s="33" t="str">
        <f t="shared" si="10"/>
        <v/>
      </c>
      <c r="U324" s="34"/>
      <c r="V324" s="35"/>
      <c r="W324" s="33" t="str">
        <f t="shared" si="11"/>
        <v/>
      </c>
    </row>
    <row r="325" spans="1:23" x14ac:dyDescent="0.35">
      <c r="A325" s="21" t="str">
        <f>IF(COUNTA(B325:H325,J325:S325,U325:V325)=0,"",IF((IF(B325="","PO Ref, ","")&amp;IF(C325="","Vendor, ","")&amp;IF(D325="","Store, ","")&amp;IF(F325="","Product Type, ","")&amp;IF(G325="","Category, ","")&amp;IF(H325="","HSN Code, ","")&amp;IF(Q325="","Qty, ","")&amp;IF(R325="","Purchase Rate, ","")&amp;IF(S325="","MRP, ",""))&lt;&gt;"","Missing: "&amp;LEFT(IF(B325="","PO Ref, ","")&amp;IF(C325="","Vendor, ","")&amp;IF(D325="","Store, ","")&amp;IF(F325="","Product Type, ","")&amp;IF(G325="","Category, ","")&amp;IF(H325="","HSN Code, ","")&amp;IF(Q325="","Qty, ","")&amp;IF(R325="","Purchase Rate, ","")&amp;IF(S325="","MRP, ",""),LEN(IF(B325="","PO Ref, ","")&amp;IF(C325="","Vendor, ","")&amp;IF(D325="","Store, ","")&amp;IF(F325="","Product Type, ","")&amp;IF(G325="","Category, ","")&amp;IF(H325="","HSN Code, ","")&amp;IF(Q325="","Qty, ","")&amp;IF(R325="","Purchase Rate, ","")&amp;IF(S325="","MRP, ",""))-2),IF(COUNTIF(Vendors!$B$3:$B$202,C325)=0,"Add vendor "&amp;C325&amp;" on the Vendors sheet",IF(ISNA(MATCH(H325,Codes!$A$2:$A$13,0)),"Pick the HSN Code from the list",IF(AND(E325&lt;&gt;"",COUNTIFS($C$3:$C$1002,C325,$E$3:$E$1002,E325,$F$3:$F$1002,"&lt;&gt;"&amp;F325)+COUNTIFS($C$3:$C$1002,C325,$E$3:$E$1002,E325,$G$3:$G$1002,"&lt;&gt;"&amp;G325)&gt;0),"Design "&amp;E325&amp;" has another Product Type or Category on another row",IF(COUNTIFS($F$3:$F$1002,F325,$G$3:$G$1002,G325,$H$3:$H$1002,"&lt;&gt;"&amp;H325)&gt;0,F325&amp;" + "&amp;G325&amp;" has another HSN Code on another row",IF(AND(V325&lt;&gt;"",U325=""),"Received Qty needs the Vendor Invoice No",IF(AND(U325&lt;&gt;"",COUNTIFS(Bills!$B$3:$B$302,U325,Bills!$C$3:$C$302,C325)=0),"Add bill "&amp;U325&amp;" of "&amp;C325&amp;" on the Bills sheet",IF(S325&lt;R325,"MRP is below the Purchase Rate","OK")))))))))</f>
        <v/>
      </c>
      <c r="B325" s="29"/>
      <c r="C325" s="22"/>
      <c r="D325" s="22"/>
      <c r="E325" s="24"/>
      <c r="F325" s="22"/>
      <c r="G325" s="22"/>
      <c r="H325" s="22"/>
      <c r="I325" s="30" t="str">
        <f>IF(H325="","",IFERROR(INDEX(Codes!$B$2:$B$13,MATCH(H325,Codes!$A$2:$A$13,0)),""))</f>
        <v/>
      </c>
      <c r="J325" s="23"/>
      <c r="K325" s="23"/>
      <c r="L325" s="23"/>
      <c r="M325" s="23"/>
      <c r="N325" s="23"/>
      <c r="O325" s="23"/>
      <c r="P325" s="23"/>
      <c r="Q325" s="31"/>
      <c r="R325" s="32"/>
      <c r="S325" s="32"/>
      <c r="T325" s="33" t="str">
        <f t="shared" si="10"/>
        <v/>
      </c>
      <c r="U325" s="34"/>
      <c r="V325" s="35"/>
      <c r="W325" s="33" t="str">
        <f t="shared" si="11"/>
        <v/>
      </c>
    </row>
    <row r="326" spans="1:23" x14ac:dyDescent="0.35">
      <c r="A326" s="21" t="str">
        <f>IF(COUNTA(B326:H326,J326:S326,U326:V326)=0,"",IF((IF(B326="","PO Ref, ","")&amp;IF(C326="","Vendor, ","")&amp;IF(D326="","Store, ","")&amp;IF(F326="","Product Type, ","")&amp;IF(G326="","Category, ","")&amp;IF(H326="","HSN Code, ","")&amp;IF(Q326="","Qty, ","")&amp;IF(R326="","Purchase Rate, ","")&amp;IF(S326="","MRP, ",""))&lt;&gt;"","Missing: "&amp;LEFT(IF(B326="","PO Ref, ","")&amp;IF(C326="","Vendor, ","")&amp;IF(D326="","Store, ","")&amp;IF(F326="","Product Type, ","")&amp;IF(G326="","Category, ","")&amp;IF(H326="","HSN Code, ","")&amp;IF(Q326="","Qty, ","")&amp;IF(R326="","Purchase Rate, ","")&amp;IF(S326="","MRP, ",""),LEN(IF(B326="","PO Ref, ","")&amp;IF(C326="","Vendor, ","")&amp;IF(D326="","Store, ","")&amp;IF(F326="","Product Type, ","")&amp;IF(G326="","Category, ","")&amp;IF(H326="","HSN Code, ","")&amp;IF(Q326="","Qty, ","")&amp;IF(R326="","Purchase Rate, ","")&amp;IF(S326="","MRP, ",""))-2),IF(COUNTIF(Vendors!$B$3:$B$202,C326)=0,"Add vendor "&amp;C326&amp;" on the Vendors sheet",IF(ISNA(MATCH(H326,Codes!$A$2:$A$13,0)),"Pick the HSN Code from the list",IF(AND(E326&lt;&gt;"",COUNTIFS($C$3:$C$1002,C326,$E$3:$E$1002,E326,$F$3:$F$1002,"&lt;&gt;"&amp;F326)+COUNTIFS($C$3:$C$1002,C326,$E$3:$E$1002,E326,$G$3:$G$1002,"&lt;&gt;"&amp;G326)&gt;0),"Design "&amp;E326&amp;" has another Product Type or Category on another row",IF(COUNTIFS($F$3:$F$1002,F326,$G$3:$G$1002,G326,$H$3:$H$1002,"&lt;&gt;"&amp;H326)&gt;0,F326&amp;" + "&amp;G326&amp;" has another HSN Code on another row",IF(AND(V326&lt;&gt;"",U326=""),"Received Qty needs the Vendor Invoice No",IF(AND(U326&lt;&gt;"",COUNTIFS(Bills!$B$3:$B$302,U326,Bills!$C$3:$C$302,C326)=0),"Add bill "&amp;U326&amp;" of "&amp;C326&amp;" on the Bills sheet",IF(S326&lt;R326,"MRP is below the Purchase Rate","OK")))))))))</f>
        <v/>
      </c>
      <c r="B326" s="29"/>
      <c r="C326" s="22"/>
      <c r="D326" s="22"/>
      <c r="E326" s="24"/>
      <c r="F326" s="22"/>
      <c r="G326" s="22"/>
      <c r="H326" s="22"/>
      <c r="I326" s="30" t="str">
        <f>IF(H326="","",IFERROR(INDEX(Codes!$B$2:$B$13,MATCH(H326,Codes!$A$2:$A$13,0)),""))</f>
        <v/>
      </c>
      <c r="J326" s="23"/>
      <c r="K326" s="23"/>
      <c r="L326" s="23"/>
      <c r="M326" s="23"/>
      <c r="N326" s="23"/>
      <c r="O326" s="23"/>
      <c r="P326" s="23"/>
      <c r="Q326" s="31"/>
      <c r="R326" s="32"/>
      <c r="S326" s="32"/>
      <c r="T326" s="33" t="str">
        <f t="shared" si="10"/>
        <v/>
      </c>
      <c r="U326" s="34"/>
      <c r="V326" s="35"/>
      <c r="W326" s="33" t="str">
        <f t="shared" si="11"/>
        <v/>
      </c>
    </row>
    <row r="327" spans="1:23" x14ac:dyDescent="0.35">
      <c r="A327" s="21" t="str">
        <f>IF(COUNTA(B327:H327,J327:S327,U327:V327)=0,"",IF((IF(B327="","PO Ref, ","")&amp;IF(C327="","Vendor, ","")&amp;IF(D327="","Store, ","")&amp;IF(F327="","Product Type, ","")&amp;IF(G327="","Category, ","")&amp;IF(H327="","HSN Code, ","")&amp;IF(Q327="","Qty, ","")&amp;IF(R327="","Purchase Rate, ","")&amp;IF(S327="","MRP, ",""))&lt;&gt;"","Missing: "&amp;LEFT(IF(B327="","PO Ref, ","")&amp;IF(C327="","Vendor, ","")&amp;IF(D327="","Store, ","")&amp;IF(F327="","Product Type, ","")&amp;IF(G327="","Category, ","")&amp;IF(H327="","HSN Code, ","")&amp;IF(Q327="","Qty, ","")&amp;IF(R327="","Purchase Rate, ","")&amp;IF(S327="","MRP, ",""),LEN(IF(B327="","PO Ref, ","")&amp;IF(C327="","Vendor, ","")&amp;IF(D327="","Store, ","")&amp;IF(F327="","Product Type, ","")&amp;IF(G327="","Category, ","")&amp;IF(H327="","HSN Code, ","")&amp;IF(Q327="","Qty, ","")&amp;IF(R327="","Purchase Rate, ","")&amp;IF(S327="","MRP, ",""))-2),IF(COUNTIF(Vendors!$B$3:$B$202,C327)=0,"Add vendor "&amp;C327&amp;" on the Vendors sheet",IF(ISNA(MATCH(H327,Codes!$A$2:$A$13,0)),"Pick the HSN Code from the list",IF(AND(E327&lt;&gt;"",COUNTIFS($C$3:$C$1002,C327,$E$3:$E$1002,E327,$F$3:$F$1002,"&lt;&gt;"&amp;F327)+COUNTIFS($C$3:$C$1002,C327,$E$3:$E$1002,E327,$G$3:$G$1002,"&lt;&gt;"&amp;G327)&gt;0),"Design "&amp;E327&amp;" has another Product Type or Category on another row",IF(COUNTIFS($F$3:$F$1002,F327,$G$3:$G$1002,G327,$H$3:$H$1002,"&lt;&gt;"&amp;H327)&gt;0,F327&amp;" + "&amp;G327&amp;" has another HSN Code on another row",IF(AND(V327&lt;&gt;"",U327=""),"Received Qty needs the Vendor Invoice No",IF(AND(U327&lt;&gt;"",COUNTIFS(Bills!$B$3:$B$302,U327,Bills!$C$3:$C$302,C327)=0),"Add bill "&amp;U327&amp;" of "&amp;C327&amp;" on the Bills sheet",IF(S327&lt;R327,"MRP is below the Purchase Rate","OK")))))))))</f>
        <v/>
      </c>
      <c r="B327" s="29"/>
      <c r="C327" s="22"/>
      <c r="D327" s="22"/>
      <c r="E327" s="24"/>
      <c r="F327" s="22"/>
      <c r="G327" s="22"/>
      <c r="H327" s="22"/>
      <c r="I327" s="30" t="str">
        <f>IF(H327="","",IFERROR(INDEX(Codes!$B$2:$B$13,MATCH(H327,Codes!$A$2:$A$13,0)),""))</f>
        <v/>
      </c>
      <c r="J327" s="23"/>
      <c r="K327" s="23"/>
      <c r="L327" s="23"/>
      <c r="M327" s="23"/>
      <c r="N327" s="23"/>
      <c r="O327" s="23"/>
      <c r="P327" s="23"/>
      <c r="Q327" s="31"/>
      <c r="R327" s="32"/>
      <c r="S327" s="32"/>
      <c r="T327" s="33" t="str">
        <f t="shared" si="10"/>
        <v/>
      </c>
      <c r="U327" s="34"/>
      <c r="V327" s="35"/>
      <c r="W327" s="33" t="str">
        <f t="shared" si="11"/>
        <v/>
      </c>
    </row>
    <row r="328" spans="1:23" x14ac:dyDescent="0.35">
      <c r="A328" s="21" t="str">
        <f>IF(COUNTA(B328:H328,J328:S328,U328:V328)=0,"",IF((IF(B328="","PO Ref, ","")&amp;IF(C328="","Vendor, ","")&amp;IF(D328="","Store, ","")&amp;IF(F328="","Product Type, ","")&amp;IF(G328="","Category, ","")&amp;IF(H328="","HSN Code, ","")&amp;IF(Q328="","Qty, ","")&amp;IF(R328="","Purchase Rate, ","")&amp;IF(S328="","MRP, ",""))&lt;&gt;"","Missing: "&amp;LEFT(IF(B328="","PO Ref, ","")&amp;IF(C328="","Vendor, ","")&amp;IF(D328="","Store, ","")&amp;IF(F328="","Product Type, ","")&amp;IF(G328="","Category, ","")&amp;IF(H328="","HSN Code, ","")&amp;IF(Q328="","Qty, ","")&amp;IF(R328="","Purchase Rate, ","")&amp;IF(S328="","MRP, ",""),LEN(IF(B328="","PO Ref, ","")&amp;IF(C328="","Vendor, ","")&amp;IF(D328="","Store, ","")&amp;IF(F328="","Product Type, ","")&amp;IF(G328="","Category, ","")&amp;IF(H328="","HSN Code, ","")&amp;IF(Q328="","Qty, ","")&amp;IF(R328="","Purchase Rate, ","")&amp;IF(S328="","MRP, ",""))-2),IF(COUNTIF(Vendors!$B$3:$B$202,C328)=0,"Add vendor "&amp;C328&amp;" on the Vendors sheet",IF(ISNA(MATCH(H328,Codes!$A$2:$A$13,0)),"Pick the HSN Code from the list",IF(AND(E328&lt;&gt;"",COUNTIFS($C$3:$C$1002,C328,$E$3:$E$1002,E328,$F$3:$F$1002,"&lt;&gt;"&amp;F328)+COUNTIFS($C$3:$C$1002,C328,$E$3:$E$1002,E328,$G$3:$G$1002,"&lt;&gt;"&amp;G328)&gt;0),"Design "&amp;E328&amp;" has another Product Type or Category on another row",IF(COUNTIFS($F$3:$F$1002,F328,$G$3:$G$1002,G328,$H$3:$H$1002,"&lt;&gt;"&amp;H328)&gt;0,F328&amp;" + "&amp;G328&amp;" has another HSN Code on another row",IF(AND(V328&lt;&gt;"",U328=""),"Received Qty needs the Vendor Invoice No",IF(AND(U328&lt;&gt;"",COUNTIFS(Bills!$B$3:$B$302,U328,Bills!$C$3:$C$302,C328)=0),"Add bill "&amp;U328&amp;" of "&amp;C328&amp;" on the Bills sheet",IF(S328&lt;R328,"MRP is below the Purchase Rate","OK")))))))))</f>
        <v/>
      </c>
      <c r="B328" s="29"/>
      <c r="C328" s="22"/>
      <c r="D328" s="22"/>
      <c r="E328" s="24"/>
      <c r="F328" s="22"/>
      <c r="G328" s="22"/>
      <c r="H328" s="22"/>
      <c r="I328" s="30" t="str">
        <f>IF(H328="","",IFERROR(INDEX(Codes!$B$2:$B$13,MATCH(H328,Codes!$A$2:$A$13,0)),""))</f>
        <v/>
      </c>
      <c r="J328" s="23"/>
      <c r="K328" s="23"/>
      <c r="L328" s="23"/>
      <c r="M328" s="23"/>
      <c r="N328" s="23"/>
      <c r="O328" s="23"/>
      <c r="P328" s="23"/>
      <c r="Q328" s="31"/>
      <c r="R328" s="32"/>
      <c r="S328" s="32"/>
      <c r="T328" s="33" t="str">
        <f t="shared" si="10"/>
        <v/>
      </c>
      <c r="U328" s="34"/>
      <c r="V328" s="35"/>
      <c r="W328" s="33" t="str">
        <f t="shared" si="11"/>
        <v/>
      </c>
    </row>
    <row r="329" spans="1:23" x14ac:dyDescent="0.35">
      <c r="A329" s="21" t="str">
        <f>IF(COUNTA(B329:H329,J329:S329,U329:V329)=0,"",IF((IF(B329="","PO Ref, ","")&amp;IF(C329="","Vendor, ","")&amp;IF(D329="","Store, ","")&amp;IF(F329="","Product Type, ","")&amp;IF(G329="","Category, ","")&amp;IF(H329="","HSN Code, ","")&amp;IF(Q329="","Qty, ","")&amp;IF(R329="","Purchase Rate, ","")&amp;IF(S329="","MRP, ",""))&lt;&gt;"","Missing: "&amp;LEFT(IF(B329="","PO Ref, ","")&amp;IF(C329="","Vendor, ","")&amp;IF(D329="","Store, ","")&amp;IF(F329="","Product Type, ","")&amp;IF(G329="","Category, ","")&amp;IF(H329="","HSN Code, ","")&amp;IF(Q329="","Qty, ","")&amp;IF(R329="","Purchase Rate, ","")&amp;IF(S329="","MRP, ",""),LEN(IF(B329="","PO Ref, ","")&amp;IF(C329="","Vendor, ","")&amp;IF(D329="","Store, ","")&amp;IF(F329="","Product Type, ","")&amp;IF(G329="","Category, ","")&amp;IF(H329="","HSN Code, ","")&amp;IF(Q329="","Qty, ","")&amp;IF(R329="","Purchase Rate, ","")&amp;IF(S329="","MRP, ",""))-2),IF(COUNTIF(Vendors!$B$3:$B$202,C329)=0,"Add vendor "&amp;C329&amp;" on the Vendors sheet",IF(ISNA(MATCH(H329,Codes!$A$2:$A$13,0)),"Pick the HSN Code from the list",IF(AND(E329&lt;&gt;"",COUNTIFS($C$3:$C$1002,C329,$E$3:$E$1002,E329,$F$3:$F$1002,"&lt;&gt;"&amp;F329)+COUNTIFS($C$3:$C$1002,C329,$E$3:$E$1002,E329,$G$3:$G$1002,"&lt;&gt;"&amp;G329)&gt;0),"Design "&amp;E329&amp;" has another Product Type or Category on another row",IF(COUNTIFS($F$3:$F$1002,F329,$G$3:$G$1002,G329,$H$3:$H$1002,"&lt;&gt;"&amp;H329)&gt;0,F329&amp;" + "&amp;G329&amp;" has another HSN Code on another row",IF(AND(V329&lt;&gt;"",U329=""),"Received Qty needs the Vendor Invoice No",IF(AND(U329&lt;&gt;"",COUNTIFS(Bills!$B$3:$B$302,U329,Bills!$C$3:$C$302,C329)=0),"Add bill "&amp;U329&amp;" of "&amp;C329&amp;" on the Bills sheet",IF(S329&lt;R329,"MRP is below the Purchase Rate","OK")))))))))</f>
        <v/>
      </c>
      <c r="B329" s="29"/>
      <c r="C329" s="22"/>
      <c r="D329" s="22"/>
      <c r="E329" s="24"/>
      <c r="F329" s="22"/>
      <c r="G329" s="22"/>
      <c r="H329" s="22"/>
      <c r="I329" s="30" t="str">
        <f>IF(H329="","",IFERROR(INDEX(Codes!$B$2:$B$13,MATCH(H329,Codes!$A$2:$A$13,0)),""))</f>
        <v/>
      </c>
      <c r="J329" s="23"/>
      <c r="K329" s="23"/>
      <c r="L329" s="23"/>
      <c r="M329" s="23"/>
      <c r="N329" s="23"/>
      <c r="O329" s="23"/>
      <c r="P329" s="23"/>
      <c r="Q329" s="31"/>
      <c r="R329" s="32"/>
      <c r="S329" s="32"/>
      <c r="T329" s="33" t="str">
        <f t="shared" si="10"/>
        <v/>
      </c>
      <c r="U329" s="34"/>
      <c r="V329" s="35"/>
      <c r="W329" s="33" t="str">
        <f t="shared" si="11"/>
        <v/>
      </c>
    </row>
    <row r="330" spans="1:23" x14ac:dyDescent="0.35">
      <c r="A330" s="21" t="str">
        <f>IF(COUNTA(B330:H330,J330:S330,U330:V330)=0,"",IF((IF(B330="","PO Ref, ","")&amp;IF(C330="","Vendor, ","")&amp;IF(D330="","Store, ","")&amp;IF(F330="","Product Type, ","")&amp;IF(G330="","Category, ","")&amp;IF(H330="","HSN Code, ","")&amp;IF(Q330="","Qty, ","")&amp;IF(R330="","Purchase Rate, ","")&amp;IF(S330="","MRP, ",""))&lt;&gt;"","Missing: "&amp;LEFT(IF(B330="","PO Ref, ","")&amp;IF(C330="","Vendor, ","")&amp;IF(D330="","Store, ","")&amp;IF(F330="","Product Type, ","")&amp;IF(G330="","Category, ","")&amp;IF(H330="","HSN Code, ","")&amp;IF(Q330="","Qty, ","")&amp;IF(R330="","Purchase Rate, ","")&amp;IF(S330="","MRP, ",""),LEN(IF(B330="","PO Ref, ","")&amp;IF(C330="","Vendor, ","")&amp;IF(D330="","Store, ","")&amp;IF(F330="","Product Type, ","")&amp;IF(G330="","Category, ","")&amp;IF(H330="","HSN Code, ","")&amp;IF(Q330="","Qty, ","")&amp;IF(R330="","Purchase Rate, ","")&amp;IF(S330="","MRP, ",""))-2),IF(COUNTIF(Vendors!$B$3:$B$202,C330)=0,"Add vendor "&amp;C330&amp;" on the Vendors sheet",IF(ISNA(MATCH(H330,Codes!$A$2:$A$13,0)),"Pick the HSN Code from the list",IF(AND(E330&lt;&gt;"",COUNTIFS($C$3:$C$1002,C330,$E$3:$E$1002,E330,$F$3:$F$1002,"&lt;&gt;"&amp;F330)+COUNTIFS($C$3:$C$1002,C330,$E$3:$E$1002,E330,$G$3:$G$1002,"&lt;&gt;"&amp;G330)&gt;0),"Design "&amp;E330&amp;" has another Product Type or Category on another row",IF(COUNTIFS($F$3:$F$1002,F330,$G$3:$G$1002,G330,$H$3:$H$1002,"&lt;&gt;"&amp;H330)&gt;0,F330&amp;" + "&amp;G330&amp;" has another HSN Code on another row",IF(AND(V330&lt;&gt;"",U330=""),"Received Qty needs the Vendor Invoice No",IF(AND(U330&lt;&gt;"",COUNTIFS(Bills!$B$3:$B$302,U330,Bills!$C$3:$C$302,C330)=0),"Add bill "&amp;U330&amp;" of "&amp;C330&amp;" on the Bills sheet",IF(S330&lt;R330,"MRP is below the Purchase Rate","OK")))))))))</f>
        <v/>
      </c>
      <c r="B330" s="29"/>
      <c r="C330" s="22"/>
      <c r="D330" s="22"/>
      <c r="E330" s="24"/>
      <c r="F330" s="22"/>
      <c r="G330" s="22"/>
      <c r="H330" s="22"/>
      <c r="I330" s="30" t="str">
        <f>IF(H330="","",IFERROR(INDEX(Codes!$B$2:$B$13,MATCH(H330,Codes!$A$2:$A$13,0)),""))</f>
        <v/>
      </c>
      <c r="J330" s="23"/>
      <c r="K330" s="23"/>
      <c r="L330" s="23"/>
      <c r="M330" s="23"/>
      <c r="N330" s="23"/>
      <c r="O330" s="23"/>
      <c r="P330" s="23"/>
      <c r="Q330" s="31"/>
      <c r="R330" s="32"/>
      <c r="S330" s="32"/>
      <c r="T330" s="33" t="str">
        <f t="shared" si="10"/>
        <v/>
      </c>
      <c r="U330" s="34"/>
      <c r="V330" s="35"/>
      <c r="W330" s="33" t="str">
        <f t="shared" si="11"/>
        <v/>
      </c>
    </row>
    <row r="331" spans="1:23" x14ac:dyDescent="0.35">
      <c r="A331" s="21" t="str">
        <f>IF(COUNTA(B331:H331,J331:S331,U331:V331)=0,"",IF((IF(B331="","PO Ref, ","")&amp;IF(C331="","Vendor, ","")&amp;IF(D331="","Store, ","")&amp;IF(F331="","Product Type, ","")&amp;IF(G331="","Category, ","")&amp;IF(H331="","HSN Code, ","")&amp;IF(Q331="","Qty, ","")&amp;IF(R331="","Purchase Rate, ","")&amp;IF(S331="","MRP, ",""))&lt;&gt;"","Missing: "&amp;LEFT(IF(B331="","PO Ref, ","")&amp;IF(C331="","Vendor, ","")&amp;IF(D331="","Store, ","")&amp;IF(F331="","Product Type, ","")&amp;IF(G331="","Category, ","")&amp;IF(H331="","HSN Code, ","")&amp;IF(Q331="","Qty, ","")&amp;IF(R331="","Purchase Rate, ","")&amp;IF(S331="","MRP, ",""),LEN(IF(B331="","PO Ref, ","")&amp;IF(C331="","Vendor, ","")&amp;IF(D331="","Store, ","")&amp;IF(F331="","Product Type, ","")&amp;IF(G331="","Category, ","")&amp;IF(H331="","HSN Code, ","")&amp;IF(Q331="","Qty, ","")&amp;IF(R331="","Purchase Rate, ","")&amp;IF(S331="","MRP, ",""))-2),IF(COUNTIF(Vendors!$B$3:$B$202,C331)=0,"Add vendor "&amp;C331&amp;" on the Vendors sheet",IF(ISNA(MATCH(H331,Codes!$A$2:$A$13,0)),"Pick the HSN Code from the list",IF(AND(E331&lt;&gt;"",COUNTIFS($C$3:$C$1002,C331,$E$3:$E$1002,E331,$F$3:$F$1002,"&lt;&gt;"&amp;F331)+COUNTIFS($C$3:$C$1002,C331,$E$3:$E$1002,E331,$G$3:$G$1002,"&lt;&gt;"&amp;G331)&gt;0),"Design "&amp;E331&amp;" has another Product Type or Category on another row",IF(COUNTIFS($F$3:$F$1002,F331,$G$3:$G$1002,G331,$H$3:$H$1002,"&lt;&gt;"&amp;H331)&gt;0,F331&amp;" + "&amp;G331&amp;" has another HSN Code on another row",IF(AND(V331&lt;&gt;"",U331=""),"Received Qty needs the Vendor Invoice No",IF(AND(U331&lt;&gt;"",COUNTIFS(Bills!$B$3:$B$302,U331,Bills!$C$3:$C$302,C331)=0),"Add bill "&amp;U331&amp;" of "&amp;C331&amp;" on the Bills sheet",IF(S331&lt;R331,"MRP is below the Purchase Rate","OK")))))))))</f>
        <v/>
      </c>
      <c r="B331" s="29"/>
      <c r="C331" s="22"/>
      <c r="D331" s="22"/>
      <c r="E331" s="24"/>
      <c r="F331" s="22"/>
      <c r="G331" s="22"/>
      <c r="H331" s="22"/>
      <c r="I331" s="30" t="str">
        <f>IF(H331="","",IFERROR(INDEX(Codes!$B$2:$B$13,MATCH(H331,Codes!$A$2:$A$13,0)),""))</f>
        <v/>
      </c>
      <c r="J331" s="23"/>
      <c r="K331" s="23"/>
      <c r="L331" s="23"/>
      <c r="M331" s="23"/>
      <c r="N331" s="23"/>
      <c r="O331" s="23"/>
      <c r="P331" s="23"/>
      <c r="Q331" s="31"/>
      <c r="R331" s="32"/>
      <c r="S331" s="32"/>
      <c r="T331" s="33" t="str">
        <f t="shared" si="10"/>
        <v/>
      </c>
      <c r="U331" s="34"/>
      <c r="V331" s="35"/>
      <c r="W331" s="33" t="str">
        <f t="shared" si="11"/>
        <v/>
      </c>
    </row>
    <row r="332" spans="1:23" x14ac:dyDescent="0.35">
      <c r="A332" s="21" t="str">
        <f>IF(COUNTA(B332:H332,J332:S332,U332:V332)=0,"",IF((IF(B332="","PO Ref, ","")&amp;IF(C332="","Vendor, ","")&amp;IF(D332="","Store, ","")&amp;IF(F332="","Product Type, ","")&amp;IF(G332="","Category, ","")&amp;IF(H332="","HSN Code, ","")&amp;IF(Q332="","Qty, ","")&amp;IF(R332="","Purchase Rate, ","")&amp;IF(S332="","MRP, ",""))&lt;&gt;"","Missing: "&amp;LEFT(IF(B332="","PO Ref, ","")&amp;IF(C332="","Vendor, ","")&amp;IF(D332="","Store, ","")&amp;IF(F332="","Product Type, ","")&amp;IF(G332="","Category, ","")&amp;IF(H332="","HSN Code, ","")&amp;IF(Q332="","Qty, ","")&amp;IF(R332="","Purchase Rate, ","")&amp;IF(S332="","MRP, ",""),LEN(IF(B332="","PO Ref, ","")&amp;IF(C332="","Vendor, ","")&amp;IF(D332="","Store, ","")&amp;IF(F332="","Product Type, ","")&amp;IF(G332="","Category, ","")&amp;IF(H332="","HSN Code, ","")&amp;IF(Q332="","Qty, ","")&amp;IF(R332="","Purchase Rate, ","")&amp;IF(S332="","MRP, ",""))-2),IF(COUNTIF(Vendors!$B$3:$B$202,C332)=0,"Add vendor "&amp;C332&amp;" on the Vendors sheet",IF(ISNA(MATCH(H332,Codes!$A$2:$A$13,0)),"Pick the HSN Code from the list",IF(AND(E332&lt;&gt;"",COUNTIFS($C$3:$C$1002,C332,$E$3:$E$1002,E332,$F$3:$F$1002,"&lt;&gt;"&amp;F332)+COUNTIFS($C$3:$C$1002,C332,$E$3:$E$1002,E332,$G$3:$G$1002,"&lt;&gt;"&amp;G332)&gt;0),"Design "&amp;E332&amp;" has another Product Type or Category on another row",IF(COUNTIFS($F$3:$F$1002,F332,$G$3:$G$1002,G332,$H$3:$H$1002,"&lt;&gt;"&amp;H332)&gt;0,F332&amp;" + "&amp;G332&amp;" has another HSN Code on another row",IF(AND(V332&lt;&gt;"",U332=""),"Received Qty needs the Vendor Invoice No",IF(AND(U332&lt;&gt;"",COUNTIFS(Bills!$B$3:$B$302,U332,Bills!$C$3:$C$302,C332)=0),"Add bill "&amp;U332&amp;" of "&amp;C332&amp;" on the Bills sheet",IF(S332&lt;R332,"MRP is below the Purchase Rate","OK")))))))))</f>
        <v/>
      </c>
      <c r="B332" s="29"/>
      <c r="C332" s="22"/>
      <c r="D332" s="22"/>
      <c r="E332" s="24"/>
      <c r="F332" s="22"/>
      <c r="G332" s="22"/>
      <c r="H332" s="22"/>
      <c r="I332" s="30" t="str">
        <f>IF(H332="","",IFERROR(INDEX(Codes!$B$2:$B$13,MATCH(H332,Codes!$A$2:$A$13,0)),""))</f>
        <v/>
      </c>
      <c r="J332" s="23"/>
      <c r="K332" s="23"/>
      <c r="L332" s="23"/>
      <c r="M332" s="23"/>
      <c r="N332" s="23"/>
      <c r="O332" s="23"/>
      <c r="P332" s="23"/>
      <c r="Q332" s="31"/>
      <c r="R332" s="32"/>
      <c r="S332" s="32"/>
      <c r="T332" s="33" t="str">
        <f t="shared" si="10"/>
        <v/>
      </c>
      <c r="U332" s="34"/>
      <c r="V332" s="35"/>
      <c r="W332" s="33" t="str">
        <f t="shared" si="11"/>
        <v/>
      </c>
    </row>
    <row r="333" spans="1:23" x14ac:dyDescent="0.35">
      <c r="A333" s="21" t="str">
        <f>IF(COUNTA(B333:H333,J333:S333,U333:V333)=0,"",IF((IF(B333="","PO Ref, ","")&amp;IF(C333="","Vendor, ","")&amp;IF(D333="","Store, ","")&amp;IF(F333="","Product Type, ","")&amp;IF(G333="","Category, ","")&amp;IF(H333="","HSN Code, ","")&amp;IF(Q333="","Qty, ","")&amp;IF(R333="","Purchase Rate, ","")&amp;IF(S333="","MRP, ",""))&lt;&gt;"","Missing: "&amp;LEFT(IF(B333="","PO Ref, ","")&amp;IF(C333="","Vendor, ","")&amp;IF(D333="","Store, ","")&amp;IF(F333="","Product Type, ","")&amp;IF(G333="","Category, ","")&amp;IF(H333="","HSN Code, ","")&amp;IF(Q333="","Qty, ","")&amp;IF(R333="","Purchase Rate, ","")&amp;IF(S333="","MRP, ",""),LEN(IF(B333="","PO Ref, ","")&amp;IF(C333="","Vendor, ","")&amp;IF(D333="","Store, ","")&amp;IF(F333="","Product Type, ","")&amp;IF(G333="","Category, ","")&amp;IF(H333="","HSN Code, ","")&amp;IF(Q333="","Qty, ","")&amp;IF(R333="","Purchase Rate, ","")&amp;IF(S333="","MRP, ",""))-2),IF(COUNTIF(Vendors!$B$3:$B$202,C333)=0,"Add vendor "&amp;C333&amp;" on the Vendors sheet",IF(ISNA(MATCH(H333,Codes!$A$2:$A$13,0)),"Pick the HSN Code from the list",IF(AND(E333&lt;&gt;"",COUNTIFS($C$3:$C$1002,C333,$E$3:$E$1002,E333,$F$3:$F$1002,"&lt;&gt;"&amp;F333)+COUNTIFS($C$3:$C$1002,C333,$E$3:$E$1002,E333,$G$3:$G$1002,"&lt;&gt;"&amp;G333)&gt;0),"Design "&amp;E333&amp;" has another Product Type or Category on another row",IF(COUNTIFS($F$3:$F$1002,F333,$G$3:$G$1002,G333,$H$3:$H$1002,"&lt;&gt;"&amp;H333)&gt;0,F333&amp;" + "&amp;G333&amp;" has another HSN Code on another row",IF(AND(V333&lt;&gt;"",U333=""),"Received Qty needs the Vendor Invoice No",IF(AND(U333&lt;&gt;"",COUNTIFS(Bills!$B$3:$B$302,U333,Bills!$C$3:$C$302,C333)=0),"Add bill "&amp;U333&amp;" of "&amp;C333&amp;" on the Bills sheet",IF(S333&lt;R333,"MRP is below the Purchase Rate","OK")))))))))</f>
        <v/>
      </c>
      <c r="B333" s="29"/>
      <c r="C333" s="22"/>
      <c r="D333" s="22"/>
      <c r="E333" s="24"/>
      <c r="F333" s="22"/>
      <c r="G333" s="22"/>
      <c r="H333" s="22"/>
      <c r="I333" s="30" t="str">
        <f>IF(H333="","",IFERROR(INDEX(Codes!$B$2:$B$13,MATCH(H333,Codes!$A$2:$A$13,0)),""))</f>
        <v/>
      </c>
      <c r="J333" s="23"/>
      <c r="K333" s="23"/>
      <c r="L333" s="23"/>
      <c r="M333" s="23"/>
      <c r="N333" s="23"/>
      <c r="O333" s="23"/>
      <c r="P333" s="23"/>
      <c r="Q333" s="31"/>
      <c r="R333" s="32"/>
      <c r="S333" s="32"/>
      <c r="T333" s="33" t="str">
        <f t="shared" si="10"/>
        <v/>
      </c>
      <c r="U333" s="34"/>
      <c r="V333" s="35"/>
      <c r="W333" s="33" t="str">
        <f t="shared" si="11"/>
        <v/>
      </c>
    </row>
    <row r="334" spans="1:23" x14ac:dyDescent="0.35">
      <c r="A334" s="21" t="str">
        <f>IF(COUNTA(B334:H334,J334:S334,U334:V334)=0,"",IF((IF(B334="","PO Ref, ","")&amp;IF(C334="","Vendor, ","")&amp;IF(D334="","Store, ","")&amp;IF(F334="","Product Type, ","")&amp;IF(G334="","Category, ","")&amp;IF(H334="","HSN Code, ","")&amp;IF(Q334="","Qty, ","")&amp;IF(R334="","Purchase Rate, ","")&amp;IF(S334="","MRP, ",""))&lt;&gt;"","Missing: "&amp;LEFT(IF(B334="","PO Ref, ","")&amp;IF(C334="","Vendor, ","")&amp;IF(D334="","Store, ","")&amp;IF(F334="","Product Type, ","")&amp;IF(G334="","Category, ","")&amp;IF(H334="","HSN Code, ","")&amp;IF(Q334="","Qty, ","")&amp;IF(R334="","Purchase Rate, ","")&amp;IF(S334="","MRP, ",""),LEN(IF(B334="","PO Ref, ","")&amp;IF(C334="","Vendor, ","")&amp;IF(D334="","Store, ","")&amp;IF(F334="","Product Type, ","")&amp;IF(G334="","Category, ","")&amp;IF(H334="","HSN Code, ","")&amp;IF(Q334="","Qty, ","")&amp;IF(R334="","Purchase Rate, ","")&amp;IF(S334="","MRP, ",""))-2),IF(COUNTIF(Vendors!$B$3:$B$202,C334)=0,"Add vendor "&amp;C334&amp;" on the Vendors sheet",IF(ISNA(MATCH(H334,Codes!$A$2:$A$13,0)),"Pick the HSN Code from the list",IF(AND(E334&lt;&gt;"",COUNTIFS($C$3:$C$1002,C334,$E$3:$E$1002,E334,$F$3:$F$1002,"&lt;&gt;"&amp;F334)+COUNTIFS($C$3:$C$1002,C334,$E$3:$E$1002,E334,$G$3:$G$1002,"&lt;&gt;"&amp;G334)&gt;0),"Design "&amp;E334&amp;" has another Product Type or Category on another row",IF(COUNTIFS($F$3:$F$1002,F334,$G$3:$G$1002,G334,$H$3:$H$1002,"&lt;&gt;"&amp;H334)&gt;0,F334&amp;" + "&amp;G334&amp;" has another HSN Code on another row",IF(AND(V334&lt;&gt;"",U334=""),"Received Qty needs the Vendor Invoice No",IF(AND(U334&lt;&gt;"",COUNTIFS(Bills!$B$3:$B$302,U334,Bills!$C$3:$C$302,C334)=0),"Add bill "&amp;U334&amp;" of "&amp;C334&amp;" on the Bills sheet",IF(S334&lt;R334,"MRP is below the Purchase Rate","OK")))))))))</f>
        <v/>
      </c>
      <c r="B334" s="29"/>
      <c r="C334" s="22"/>
      <c r="D334" s="22"/>
      <c r="E334" s="24"/>
      <c r="F334" s="22"/>
      <c r="G334" s="22"/>
      <c r="H334" s="22"/>
      <c r="I334" s="30" t="str">
        <f>IF(H334="","",IFERROR(INDEX(Codes!$B$2:$B$13,MATCH(H334,Codes!$A$2:$A$13,0)),""))</f>
        <v/>
      </c>
      <c r="J334" s="23"/>
      <c r="K334" s="23"/>
      <c r="L334" s="23"/>
      <c r="M334" s="23"/>
      <c r="N334" s="23"/>
      <c r="O334" s="23"/>
      <c r="P334" s="23"/>
      <c r="Q334" s="31"/>
      <c r="R334" s="32"/>
      <c r="S334" s="32"/>
      <c r="T334" s="33" t="str">
        <f t="shared" si="10"/>
        <v/>
      </c>
      <c r="U334" s="34"/>
      <c r="V334" s="35"/>
      <c r="W334" s="33" t="str">
        <f t="shared" si="11"/>
        <v/>
      </c>
    </row>
    <row r="335" spans="1:23" x14ac:dyDescent="0.35">
      <c r="A335" s="21" t="str">
        <f>IF(COUNTA(B335:H335,J335:S335,U335:V335)=0,"",IF((IF(B335="","PO Ref, ","")&amp;IF(C335="","Vendor, ","")&amp;IF(D335="","Store, ","")&amp;IF(F335="","Product Type, ","")&amp;IF(G335="","Category, ","")&amp;IF(H335="","HSN Code, ","")&amp;IF(Q335="","Qty, ","")&amp;IF(R335="","Purchase Rate, ","")&amp;IF(S335="","MRP, ",""))&lt;&gt;"","Missing: "&amp;LEFT(IF(B335="","PO Ref, ","")&amp;IF(C335="","Vendor, ","")&amp;IF(D335="","Store, ","")&amp;IF(F335="","Product Type, ","")&amp;IF(G335="","Category, ","")&amp;IF(H335="","HSN Code, ","")&amp;IF(Q335="","Qty, ","")&amp;IF(R335="","Purchase Rate, ","")&amp;IF(S335="","MRP, ",""),LEN(IF(B335="","PO Ref, ","")&amp;IF(C335="","Vendor, ","")&amp;IF(D335="","Store, ","")&amp;IF(F335="","Product Type, ","")&amp;IF(G335="","Category, ","")&amp;IF(H335="","HSN Code, ","")&amp;IF(Q335="","Qty, ","")&amp;IF(R335="","Purchase Rate, ","")&amp;IF(S335="","MRP, ",""))-2),IF(COUNTIF(Vendors!$B$3:$B$202,C335)=0,"Add vendor "&amp;C335&amp;" on the Vendors sheet",IF(ISNA(MATCH(H335,Codes!$A$2:$A$13,0)),"Pick the HSN Code from the list",IF(AND(E335&lt;&gt;"",COUNTIFS($C$3:$C$1002,C335,$E$3:$E$1002,E335,$F$3:$F$1002,"&lt;&gt;"&amp;F335)+COUNTIFS($C$3:$C$1002,C335,$E$3:$E$1002,E335,$G$3:$G$1002,"&lt;&gt;"&amp;G335)&gt;0),"Design "&amp;E335&amp;" has another Product Type or Category on another row",IF(COUNTIFS($F$3:$F$1002,F335,$G$3:$G$1002,G335,$H$3:$H$1002,"&lt;&gt;"&amp;H335)&gt;0,F335&amp;" + "&amp;G335&amp;" has another HSN Code on another row",IF(AND(V335&lt;&gt;"",U335=""),"Received Qty needs the Vendor Invoice No",IF(AND(U335&lt;&gt;"",COUNTIFS(Bills!$B$3:$B$302,U335,Bills!$C$3:$C$302,C335)=0),"Add bill "&amp;U335&amp;" of "&amp;C335&amp;" on the Bills sheet",IF(S335&lt;R335,"MRP is below the Purchase Rate","OK")))))))))</f>
        <v/>
      </c>
      <c r="B335" s="29"/>
      <c r="C335" s="22"/>
      <c r="D335" s="22"/>
      <c r="E335" s="24"/>
      <c r="F335" s="22"/>
      <c r="G335" s="22"/>
      <c r="H335" s="22"/>
      <c r="I335" s="30" t="str">
        <f>IF(H335="","",IFERROR(INDEX(Codes!$B$2:$B$13,MATCH(H335,Codes!$A$2:$A$13,0)),""))</f>
        <v/>
      </c>
      <c r="J335" s="23"/>
      <c r="K335" s="23"/>
      <c r="L335" s="23"/>
      <c r="M335" s="23"/>
      <c r="N335" s="23"/>
      <c r="O335" s="23"/>
      <c r="P335" s="23"/>
      <c r="Q335" s="31"/>
      <c r="R335" s="32"/>
      <c r="S335" s="32"/>
      <c r="T335" s="33" t="str">
        <f t="shared" si="10"/>
        <v/>
      </c>
      <c r="U335" s="34"/>
      <c r="V335" s="35"/>
      <c r="W335" s="33" t="str">
        <f t="shared" si="11"/>
        <v/>
      </c>
    </row>
    <row r="336" spans="1:23" x14ac:dyDescent="0.35">
      <c r="A336" s="21" t="str">
        <f>IF(COUNTA(B336:H336,J336:S336,U336:V336)=0,"",IF((IF(B336="","PO Ref, ","")&amp;IF(C336="","Vendor, ","")&amp;IF(D336="","Store, ","")&amp;IF(F336="","Product Type, ","")&amp;IF(G336="","Category, ","")&amp;IF(H336="","HSN Code, ","")&amp;IF(Q336="","Qty, ","")&amp;IF(R336="","Purchase Rate, ","")&amp;IF(S336="","MRP, ",""))&lt;&gt;"","Missing: "&amp;LEFT(IF(B336="","PO Ref, ","")&amp;IF(C336="","Vendor, ","")&amp;IF(D336="","Store, ","")&amp;IF(F336="","Product Type, ","")&amp;IF(G336="","Category, ","")&amp;IF(H336="","HSN Code, ","")&amp;IF(Q336="","Qty, ","")&amp;IF(R336="","Purchase Rate, ","")&amp;IF(S336="","MRP, ",""),LEN(IF(B336="","PO Ref, ","")&amp;IF(C336="","Vendor, ","")&amp;IF(D336="","Store, ","")&amp;IF(F336="","Product Type, ","")&amp;IF(G336="","Category, ","")&amp;IF(H336="","HSN Code, ","")&amp;IF(Q336="","Qty, ","")&amp;IF(R336="","Purchase Rate, ","")&amp;IF(S336="","MRP, ",""))-2),IF(COUNTIF(Vendors!$B$3:$B$202,C336)=0,"Add vendor "&amp;C336&amp;" on the Vendors sheet",IF(ISNA(MATCH(H336,Codes!$A$2:$A$13,0)),"Pick the HSN Code from the list",IF(AND(E336&lt;&gt;"",COUNTIFS($C$3:$C$1002,C336,$E$3:$E$1002,E336,$F$3:$F$1002,"&lt;&gt;"&amp;F336)+COUNTIFS($C$3:$C$1002,C336,$E$3:$E$1002,E336,$G$3:$G$1002,"&lt;&gt;"&amp;G336)&gt;0),"Design "&amp;E336&amp;" has another Product Type or Category on another row",IF(COUNTIFS($F$3:$F$1002,F336,$G$3:$G$1002,G336,$H$3:$H$1002,"&lt;&gt;"&amp;H336)&gt;0,F336&amp;" + "&amp;G336&amp;" has another HSN Code on another row",IF(AND(V336&lt;&gt;"",U336=""),"Received Qty needs the Vendor Invoice No",IF(AND(U336&lt;&gt;"",COUNTIFS(Bills!$B$3:$B$302,U336,Bills!$C$3:$C$302,C336)=0),"Add bill "&amp;U336&amp;" of "&amp;C336&amp;" on the Bills sheet",IF(S336&lt;R336,"MRP is below the Purchase Rate","OK")))))))))</f>
        <v/>
      </c>
      <c r="B336" s="29"/>
      <c r="C336" s="22"/>
      <c r="D336" s="22"/>
      <c r="E336" s="24"/>
      <c r="F336" s="22"/>
      <c r="G336" s="22"/>
      <c r="H336" s="22"/>
      <c r="I336" s="30" t="str">
        <f>IF(H336="","",IFERROR(INDEX(Codes!$B$2:$B$13,MATCH(H336,Codes!$A$2:$A$13,0)),""))</f>
        <v/>
      </c>
      <c r="J336" s="23"/>
      <c r="K336" s="23"/>
      <c r="L336" s="23"/>
      <c r="M336" s="23"/>
      <c r="N336" s="23"/>
      <c r="O336" s="23"/>
      <c r="P336" s="23"/>
      <c r="Q336" s="31"/>
      <c r="R336" s="32"/>
      <c r="S336" s="32"/>
      <c r="T336" s="33" t="str">
        <f t="shared" si="10"/>
        <v/>
      </c>
      <c r="U336" s="34"/>
      <c r="V336" s="35"/>
      <c r="W336" s="33" t="str">
        <f t="shared" si="11"/>
        <v/>
      </c>
    </row>
    <row r="337" spans="1:23" x14ac:dyDescent="0.35">
      <c r="A337" s="21" t="str">
        <f>IF(COUNTA(B337:H337,J337:S337,U337:V337)=0,"",IF((IF(B337="","PO Ref, ","")&amp;IF(C337="","Vendor, ","")&amp;IF(D337="","Store, ","")&amp;IF(F337="","Product Type, ","")&amp;IF(G337="","Category, ","")&amp;IF(H337="","HSN Code, ","")&amp;IF(Q337="","Qty, ","")&amp;IF(R337="","Purchase Rate, ","")&amp;IF(S337="","MRP, ",""))&lt;&gt;"","Missing: "&amp;LEFT(IF(B337="","PO Ref, ","")&amp;IF(C337="","Vendor, ","")&amp;IF(D337="","Store, ","")&amp;IF(F337="","Product Type, ","")&amp;IF(G337="","Category, ","")&amp;IF(H337="","HSN Code, ","")&amp;IF(Q337="","Qty, ","")&amp;IF(R337="","Purchase Rate, ","")&amp;IF(S337="","MRP, ",""),LEN(IF(B337="","PO Ref, ","")&amp;IF(C337="","Vendor, ","")&amp;IF(D337="","Store, ","")&amp;IF(F337="","Product Type, ","")&amp;IF(G337="","Category, ","")&amp;IF(H337="","HSN Code, ","")&amp;IF(Q337="","Qty, ","")&amp;IF(R337="","Purchase Rate, ","")&amp;IF(S337="","MRP, ",""))-2),IF(COUNTIF(Vendors!$B$3:$B$202,C337)=0,"Add vendor "&amp;C337&amp;" on the Vendors sheet",IF(ISNA(MATCH(H337,Codes!$A$2:$A$13,0)),"Pick the HSN Code from the list",IF(AND(E337&lt;&gt;"",COUNTIFS($C$3:$C$1002,C337,$E$3:$E$1002,E337,$F$3:$F$1002,"&lt;&gt;"&amp;F337)+COUNTIFS($C$3:$C$1002,C337,$E$3:$E$1002,E337,$G$3:$G$1002,"&lt;&gt;"&amp;G337)&gt;0),"Design "&amp;E337&amp;" has another Product Type or Category on another row",IF(COUNTIFS($F$3:$F$1002,F337,$G$3:$G$1002,G337,$H$3:$H$1002,"&lt;&gt;"&amp;H337)&gt;0,F337&amp;" + "&amp;G337&amp;" has another HSN Code on another row",IF(AND(V337&lt;&gt;"",U337=""),"Received Qty needs the Vendor Invoice No",IF(AND(U337&lt;&gt;"",COUNTIFS(Bills!$B$3:$B$302,U337,Bills!$C$3:$C$302,C337)=0),"Add bill "&amp;U337&amp;" of "&amp;C337&amp;" on the Bills sheet",IF(S337&lt;R337,"MRP is below the Purchase Rate","OK")))))))))</f>
        <v/>
      </c>
      <c r="B337" s="29"/>
      <c r="C337" s="22"/>
      <c r="D337" s="22"/>
      <c r="E337" s="24"/>
      <c r="F337" s="22"/>
      <c r="G337" s="22"/>
      <c r="H337" s="22"/>
      <c r="I337" s="30" t="str">
        <f>IF(H337="","",IFERROR(INDEX(Codes!$B$2:$B$13,MATCH(H337,Codes!$A$2:$A$13,0)),""))</f>
        <v/>
      </c>
      <c r="J337" s="23"/>
      <c r="K337" s="23"/>
      <c r="L337" s="23"/>
      <c r="M337" s="23"/>
      <c r="N337" s="23"/>
      <c r="O337" s="23"/>
      <c r="P337" s="23"/>
      <c r="Q337" s="31"/>
      <c r="R337" s="32"/>
      <c r="S337" s="32"/>
      <c r="T337" s="33" t="str">
        <f t="shared" si="10"/>
        <v/>
      </c>
      <c r="U337" s="34"/>
      <c r="V337" s="35"/>
      <c r="W337" s="33" t="str">
        <f t="shared" si="11"/>
        <v/>
      </c>
    </row>
    <row r="338" spans="1:23" x14ac:dyDescent="0.35">
      <c r="A338" s="21" t="str">
        <f>IF(COUNTA(B338:H338,J338:S338,U338:V338)=0,"",IF((IF(B338="","PO Ref, ","")&amp;IF(C338="","Vendor, ","")&amp;IF(D338="","Store, ","")&amp;IF(F338="","Product Type, ","")&amp;IF(G338="","Category, ","")&amp;IF(H338="","HSN Code, ","")&amp;IF(Q338="","Qty, ","")&amp;IF(R338="","Purchase Rate, ","")&amp;IF(S338="","MRP, ",""))&lt;&gt;"","Missing: "&amp;LEFT(IF(B338="","PO Ref, ","")&amp;IF(C338="","Vendor, ","")&amp;IF(D338="","Store, ","")&amp;IF(F338="","Product Type, ","")&amp;IF(G338="","Category, ","")&amp;IF(H338="","HSN Code, ","")&amp;IF(Q338="","Qty, ","")&amp;IF(R338="","Purchase Rate, ","")&amp;IF(S338="","MRP, ",""),LEN(IF(B338="","PO Ref, ","")&amp;IF(C338="","Vendor, ","")&amp;IF(D338="","Store, ","")&amp;IF(F338="","Product Type, ","")&amp;IF(G338="","Category, ","")&amp;IF(H338="","HSN Code, ","")&amp;IF(Q338="","Qty, ","")&amp;IF(R338="","Purchase Rate, ","")&amp;IF(S338="","MRP, ",""))-2),IF(COUNTIF(Vendors!$B$3:$B$202,C338)=0,"Add vendor "&amp;C338&amp;" on the Vendors sheet",IF(ISNA(MATCH(H338,Codes!$A$2:$A$13,0)),"Pick the HSN Code from the list",IF(AND(E338&lt;&gt;"",COUNTIFS($C$3:$C$1002,C338,$E$3:$E$1002,E338,$F$3:$F$1002,"&lt;&gt;"&amp;F338)+COUNTIFS($C$3:$C$1002,C338,$E$3:$E$1002,E338,$G$3:$G$1002,"&lt;&gt;"&amp;G338)&gt;0),"Design "&amp;E338&amp;" has another Product Type or Category on another row",IF(COUNTIFS($F$3:$F$1002,F338,$G$3:$G$1002,G338,$H$3:$H$1002,"&lt;&gt;"&amp;H338)&gt;0,F338&amp;" + "&amp;G338&amp;" has another HSN Code on another row",IF(AND(V338&lt;&gt;"",U338=""),"Received Qty needs the Vendor Invoice No",IF(AND(U338&lt;&gt;"",COUNTIFS(Bills!$B$3:$B$302,U338,Bills!$C$3:$C$302,C338)=0),"Add bill "&amp;U338&amp;" of "&amp;C338&amp;" on the Bills sheet",IF(S338&lt;R338,"MRP is below the Purchase Rate","OK")))))))))</f>
        <v/>
      </c>
      <c r="B338" s="29"/>
      <c r="C338" s="22"/>
      <c r="D338" s="22"/>
      <c r="E338" s="24"/>
      <c r="F338" s="22"/>
      <c r="G338" s="22"/>
      <c r="H338" s="22"/>
      <c r="I338" s="30" t="str">
        <f>IF(H338="","",IFERROR(INDEX(Codes!$B$2:$B$13,MATCH(H338,Codes!$A$2:$A$13,0)),""))</f>
        <v/>
      </c>
      <c r="J338" s="23"/>
      <c r="K338" s="23"/>
      <c r="L338" s="23"/>
      <c r="M338" s="23"/>
      <c r="N338" s="23"/>
      <c r="O338" s="23"/>
      <c r="P338" s="23"/>
      <c r="Q338" s="31"/>
      <c r="R338" s="32"/>
      <c r="S338" s="32"/>
      <c r="T338" s="33" t="str">
        <f t="shared" si="10"/>
        <v/>
      </c>
      <c r="U338" s="34"/>
      <c r="V338" s="35"/>
      <c r="W338" s="33" t="str">
        <f t="shared" si="11"/>
        <v/>
      </c>
    </row>
    <row r="339" spans="1:23" x14ac:dyDescent="0.35">
      <c r="A339" s="21" t="str">
        <f>IF(COUNTA(B339:H339,J339:S339,U339:V339)=0,"",IF((IF(B339="","PO Ref, ","")&amp;IF(C339="","Vendor, ","")&amp;IF(D339="","Store, ","")&amp;IF(F339="","Product Type, ","")&amp;IF(G339="","Category, ","")&amp;IF(H339="","HSN Code, ","")&amp;IF(Q339="","Qty, ","")&amp;IF(R339="","Purchase Rate, ","")&amp;IF(S339="","MRP, ",""))&lt;&gt;"","Missing: "&amp;LEFT(IF(B339="","PO Ref, ","")&amp;IF(C339="","Vendor, ","")&amp;IF(D339="","Store, ","")&amp;IF(F339="","Product Type, ","")&amp;IF(G339="","Category, ","")&amp;IF(H339="","HSN Code, ","")&amp;IF(Q339="","Qty, ","")&amp;IF(R339="","Purchase Rate, ","")&amp;IF(S339="","MRP, ",""),LEN(IF(B339="","PO Ref, ","")&amp;IF(C339="","Vendor, ","")&amp;IF(D339="","Store, ","")&amp;IF(F339="","Product Type, ","")&amp;IF(G339="","Category, ","")&amp;IF(H339="","HSN Code, ","")&amp;IF(Q339="","Qty, ","")&amp;IF(R339="","Purchase Rate, ","")&amp;IF(S339="","MRP, ",""))-2),IF(COUNTIF(Vendors!$B$3:$B$202,C339)=0,"Add vendor "&amp;C339&amp;" on the Vendors sheet",IF(ISNA(MATCH(H339,Codes!$A$2:$A$13,0)),"Pick the HSN Code from the list",IF(AND(E339&lt;&gt;"",COUNTIFS($C$3:$C$1002,C339,$E$3:$E$1002,E339,$F$3:$F$1002,"&lt;&gt;"&amp;F339)+COUNTIFS($C$3:$C$1002,C339,$E$3:$E$1002,E339,$G$3:$G$1002,"&lt;&gt;"&amp;G339)&gt;0),"Design "&amp;E339&amp;" has another Product Type or Category on another row",IF(COUNTIFS($F$3:$F$1002,F339,$G$3:$G$1002,G339,$H$3:$H$1002,"&lt;&gt;"&amp;H339)&gt;0,F339&amp;" + "&amp;G339&amp;" has another HSN Code on another row",IF(AND(V339&lt;&gt;"",U339=""),"Received Qty needs the Vendor Invoice No",IF(AND(U339&lt;&gt;"",COUNTIFS(Bills!$B$3:$B$302,U339,Bills!$C$3:$C$302,C339)=0),"Add bill "&amp;U339&amp;" of "&amp;C339&amp;" on the Bills sheet",IF(S339&lt;R339,"MRP is below the Purchase Rate","OK")))))))))</f>
        <v/>
      </c>
      <c r="B339" s="29"/>
      <c r="C339" s="22"/>
      <c r="D339" s="22"/>
      <c r="E339" s="24"/>
      <c r="F339" s="22"/>
      <c r="G339" s="22"/>
      <c r="H339" s="22"/>
      <c r="I339" s="30" t="str">
        <f>IF(H339="","",IFERROR(INDEX(Codes!$B$2:$B$13,MATCH(H339,Codes!$A$2:$A$13,0)),""))</f>
        <v/>
      </c>
      <c r="J339" s="23"/>
      <c r="K339" s="23"/>
      <c r="L339" s="23"/>
      <c r="M339" s="23"/>
      <c r="N339" s="23"/>
      <c r="O339" s="23"/>
      <c r="P339" s="23"/>
      <c r="Q339" s="31"/>
      <c r="R339" s="32"/>
      <c r="S339" s="32"/>
      <c r="T339" s="33" t="str">
        <f t="shared" si="10"/>
        <v/>
      </c>
      <c r="U339" s="34"/>
      <c r="V339" s="35"/>
      <c r="W339" s="33" t="str">
        <f t="shared" si="11"/>
        <v/>
      </c>
    </row>
    <row r="340" spans="1:23" x14ac:dyDescent="0.35">
      <c r="A340" s="21" t="str">
        <f>IF(COUNTA(B340:H340,J340:S340,U340:V340)=0,"",IF((IF(B340="","PO Ref, ","")&amp;IF(C340="","Vendor, ","")&amp;IF(D340="","Store, ","")&amp;IF(F340="","Product Type, ","")&amp;IF(G340="","Category, ","")&amp;IF(H340="","HSN Code, ","")&amp;IF(Q340="","Qty, ","")&amp;IF(R340="","Purchase Rate, ","")&amp;IF(S340="","MRP, ",""))&lt;&gt;"","Missing: "&amp;LEFT(IF(B340="","PO Ref, ","")&amp;IF(C340="","Vendor, ","")&amp;IF(D340="","Store, ","")&amp;IF(F340="","Product Type, ","")&amp;IF(G340="","Category, ","")&amp;IF(H340="","HSN Code, ","")&amp;IF(Q340="","Qty, ","")&amp;IF(R340="","Purchase Rate, ","")&amp;IF(S340="","MRP, ",""),LEN(IF(B340="","PO Ref, ","")&amp;IF(C340="","Vendor, ","")&amp;IF(D340="","Store, ","")&amp;IF(F340="","Product Type, ","")&amp;IF(G340="","Category, ","")&amp;IF(H340="","HSN Code, ","")&amp;IF(Q340="","Qty, ","")&amp;IF(R340="","Purchase Rate, ","")&amp;IF(S340="","MRP, ",""))-2),IF(COUNTIF(Vendors!$B$3:$B$202,C340)=0,"Add vendor "&amp;C340&amp;" on the Vendors sheet",IF(ISNA(MATCH(H340,Codes!$A$2:$A$13,0)),"Pick the HSN Code from the list",IF(AND(E340&lt;&gt;"",COUNTIFS($C$3:$C$1002,C340,$E$3:$E$1002,E340,$F$3:$F$1002,"&lt;&gt;"&amp;F340)+COUNTIFS($C$3:$C$1002,C340,$E$3:$E$1002,E340,$G$3:$G$1002,"&lt;&gt;"&amp;G340)&gt;0),"Design "&amp;E340&amp;" has another Product Type or Category on another row",IF(COUNTIFS($F$3:$F$1002,F340,$G$3:$G$1002,G340,$H$3:$H$1002,"&lt;&gt;"&amp;H340)&gt;0,F340&amp;" + "&amp;G340&amp;" has another HSN Code on another row",IF(AND(V340&lt;&gt;"",U340=""),"Received Qty needs the Vendor Invoice No",IF(AND(U340&lt;&gt;"",COUNTIFS(Bills!$B$3:$B$302,U340,Bills!$C$3:$C$302,C340)=0),"Add bill "&amp;U340&amp;" of "&amp;C340&amp;" on the Bills sheet",IF(S340&lt;R340,"MRP is below the Purchase Rate","OK")))))))))</f>
        <v/>
      </c>
      <c r="B340" s="29"/>
      <c r="C340" s="22"/>
      <c r="D340" s="22"/>
      <c r="E340" s="24"/>
      <c r="F340" s="22"/>
      <c r="G340" s="22"/>
      <c r="H340" s="22"/>
      <c r="I340" s="30" t="str">
        <f>IF(H340="","",IFERROR(INDEX(Codes!$B$2:$B$13,MATCH(H340,Codes!$A$2:$A$13,0)),""))</f>
        <v/>
      </c>
      <c r="J340" s="23"/>
      <c r="K340" s="23"/>
      <c r="L340" s="23"/>
      <c r="M340" s="23"/>
      <c r="N340" s="23"/>
      <c r="O340" s="23"/>
      <c r="P340" s="23"/>
      <c r="Q340" s="31"/>
      <c r="R340" s="32"/>
      <c r="S340" s="32"/>
      <c r="T340" s="33" t="str">
        <f t="shared" si="10"/>
        <v/>
      </c>
      <c r="U340" s="34"/>
      <c r="V340" s="35"/>
      <c r="W340" s="33" t="str">
        <f t="shared" si="11"/>
        <v/>
      </c>
    </row>
    <row r="341" spans="1:23" x14ac:dyDescent="0.35">
      <c r="A341" s="21" t="str">
        <f>IF(COUNTA(B341:H341,J341:S341,U341:V341)=0,"",IF((IF(B341="","PO Ref, ","")&amp;IF(C341="","Vendor, ","")&amp;IF(D341="","Store, ","")&amp;IF(F341="","Product Type, ","")&amp;IF(G341="","Category, ","")&amp;IF(H341="","HSN Code, ","")&amp;IF(Q341="","Qty, ","")&amp;IF(R341="","Purchase Rate, ","")&amp;IF(S341="","MRP, ",""))&lt;&gt;"","Missing: "&amp;LEFT(IF(B341="","PO Ref, ","")&amp;IF(C341="","Vendor, ","")&amp;IF(D341="","Store, ","")&amp;IF(F341="","Product Type, ","")&amp;IF(G341="","Category, ","")&amp;IF(H341="","HSN Code, ","")&amp;IF(Q341="","Qty, ","")&amp;IF(R341="","Purchase Rate, ","")&amp;IF(S341="","MRP, ",""),LEN(IF(B341="","PO Ref, ","")&amp;IF(C341="","Vendor, ","")&amp;IF(D341="","Store, ","")&amp;IF(F341="","Product Type, ","")&amp;IF(G341="","Category, ","")&amp;IF(H341="","HSN Code, ","")&amp;IF(Q341="","Qty, ","")&amp;IF(R341="","Purchase Rate, ","")&amp;IF(S341="","MRP, ",""))-2),IF(COUNTIF(Vendors!$B$3:$B$202,C341)=0,"Add vendor "&amp;C341&amp;" on the Vendors sheet",IF(ISNA(MATCH(H341,Codes!$A$2:$A$13,0)),"Pick the HSN Code from the list",IF(AND(E341&lt;&gt;"",COUNTIFS($C$3:$C$1002,C341,$E$3:$E$1002,E341,$F$3:$F$1002,"&lt;&gt;"&amp;F341)+COUNTIFS($C$3:$C$1002,C341,$E$3:$E$1002,E341,$G$3:$G$1002,"&lt;&gt;"&amp;G341)&gt;0),"Design "&amp;E341&amp;" has another Product Type or Category on another row",IF(COUNTIFS($F$3:$F$1002,F341,$G$3:$G$1002,G341,$H$3:$H$1002,"&lt;&gt;"&amp;H341)&gt;0,F341&amp;" + "&amp;G341&amp;" has another HSN Code on another row",IF(AND(V341&lt;&gt;"",U341=""),"Received Qty needs the Vendor Invoice No",IF(AND(U341&lt;&gt;"",COUNTIFS(Bills!$B$3:$B$302,U341,Bills!$C$3:$C$302,C341)=0),"Add bill "&amp;U341&amp;" of "&amp;C341&amp;" on the Bills sheet",IF(S341&lt;R341,"MRP is below the Purchase Rate","OK")))))))))</f>
        <v/>
      </c>
      <c r="B341" s="29"/>
      <c r="C341" s="22"/>
      <c r="D341" s="22"/>
      <c r="E341" s="24"/>
      <c r="F341" s="22"/>
      <c r="G341" s="22"/>
      <c r="H341" s="22"/>
      <c r="I341" s="30" t="str">
        <f>IF(H341="","",IFERROR(INDEX(Codes!$B$2:$B$13,MATCH(H341,Codes!$A$2:$A$13,0)),""))</f>
        <v/>
      </c>
      <c r="J341" s="23"/>
      <c r="K341" s="23"/>
      <c r="L341" s="23"/>
      <c r="M341" s="23"/>
      <c r="N341" s="23"/>
      <c r="O341" s="23"/>
      <c r="P341" s="23"/>
      <c r="Q341" s="31"/>
      <c r="R341" s="32"/>
      <c r="S341" s="32"/>
      <c r="T341" s="33" t="str">
        <f t="shared" si="10"/>
        <v/>
      </c>
      <c r="U341" s="34"/>
      <c r="V341" s="35"/>
      <c r="W341" s="33" t="str">
        <f t="shared" si="11"/>
        <v/>
      </c>
    </row>
    <row r="342" spans="1:23" x14ac:dyDescent="0.35">
      <c r="A342" s="21" t="str">
        <f>IF(COUNTA(B342:H342,J342:S342,U342:V342)=0,"",IF((IF(B342="","PO Ref, ","")&amp;IF(C342="","Vendor, ","")&amp;IF(D342="","Store, ","")&amp;IF(F342="","Product Type, ","")&amp;IF(G342="","Category, ","")&amp;IF(H342="","HSN Code, ","")&amp;IF(Q342="","Qty, ","")&amp;IF(R342="","Purchase Rate, ","")&amp;IF(S342="","MRP, ",""))&lt;&gt;"","Missing: "&amp;LEFT(IF(B342="","PO Ref, ","")&amp;IF(C342="","Vendor, ","")&amp;IF(D342="","Store, ","")&amp;IF(F342="","Product Type, ","")&amp;IF(G342="","Category, ","")&amp;IF(H342="","HSN Code, ","")&amp;IF(Q342="","Qty, ","")&amp;IF(R342="","Purchase Rate, ","")&amp;IF(S342="","MRP, ",""),LEN(IF(B342="","PO Ref, ","")&amp;IF(C342="","Vendor, ","")&amp;IF(D342="","Store, ","")&amp;IF(F342="","Product Type, ","")&amp;IF(G342="","Category, ","")&amp;IF(H342="","HSN Code, ","")&amp;IF(Q342="","Qty, ","")&amp;IF(R342="","Purchase Rate, ","")&amp;IF(S342="","MRP, ",""))-2),IF(COUNTIF(Vendors!$B$3:$B$202,C342)=0,"Add vendor "&amp;C342&amp;" on the Vendors sheet",IF(ISNA(MATCH(H342,Codes!$A$2:$A$13,0)),"Pick the HSN Code from the list",IF(AND(E342&lt;&gt;"",COUNTIFS($C$3:$C$1002,C342,$E$3:$E$1002,E342,$F$3:$F$1002,"&lt;&gt;"&amp;F342)+COUNTIFS($C$3:$C$1002,C342,$E$3:$E$1002,E342,$G$3:$G$1002,"&lt;&gt;"&amp;G342)&gt;0),"Design "&amp;E342&amp;" has another Product Type or Category on another row",IF(COUNTIFS($F$3:$F$1002,F342,$G$3:$G$1002,G342,$H$3:$H$1002,"&lt;&gt;"&amp;H342)&gt;0,F342&amp;" + "&amp;G342&amp;" has another HSN Code on another row",IF(AND(V342&lt;&gt;"",U342=""),"Received Qty needs the Vendor Invoice No",IF(AND(U342&lt;&gt;"",COUNTIFS(Bills!$B$3:$B$302,U342,Bills!$C$3:$C$302,C342)=0),"Add bill "&amp;U342&amp;" of "&amp;C342&amp;" on the Bills sheet",IF(S342&lt;R342,"MRP is below the Purchase Rate","OK")))))))))</f>
        <v/>
      </c>
      <c r="B342" s="29"/>
      <c r="C342" s="22"/>
      <c r="D342" s="22"/>
      <c r="E342" s="24"/>
      <c r="F342" s="22"/>
      <c r="G342" s="22"/>
      <c r="H342" s="22"/>
      <c r="I342" s="30" t="str">
        <f>IF(H342="","",IFERROR(INDEX(Codes!$B$2:$B$13,MATCH(H342,Codes!$A$2:$A$13,0)),""))</f>
        <v/>
      </c>
      <c r="J342" s="23"/>
      <c r="K342" s="23"/>
      <c r="L342" s="23"/>
      <c r="M342" s="23"/>
      <c r="N342" s="23"/>
      <c r="O342" s="23"/>
      <c r="P342" s="23"/>
      <c r="Q342" s="31"/>
      <c r="R342" s="32"/>
      <c r="S342" s="32"/>
      <c r="T342" s="33" t="str">
        <f t="shared" si="10"/>
        <v/>
      </c>
      <c r="U342" s="34"/>
      <c r="V342" s="35"/>
      <c r="W342" s="33" t="str">
        <f t="shared" si="11"/>
        <v/>
      </c>
    </row>
    <row r="343" spans="1:23" x14ac:dyDescent="0.35">
      <c r="A343" s="21" t="str">
        <f>IF(COUNTA(B343:H343,J343:S343,U343:V343)=0,"",IF((IF(B343="","PO Ref, ","")&amp;IF(C343="","Vendor, ","")&amp;IF(D343="","Store, ","")&amp;IF(F343="","Product Type, ","")&amp;IF(G343="","Category, ","")&amp;IF(H343="","HSN Code, ","")&amp;IF(Q343="","Qty, ","")&amp;IF(R343="","Purchase Rate, ","")&amp;IF(S343="","MRP, ",""))&lt;&gt;"","Missing: "&amp;LEFT(IF(B343="","PO Ref, ","")&amp;IF(C343="","Vendor, ","")&amp;IF(D343="","Store, ","")&amp;IF(F343="","Product Type, ","")&amp;IF(G343="","Category, ","")&amp;IF(H343="","HSN Code, ","")&amp;IF(Q343="","Qty, ","")&amp;IF(R343="","Purchase Rate, ","")&amp;IF(S343="","MRP, ",""),LEN(IF(B343="","PO Ref, ","")&amp;IF(C343="","Vendor, ","")&amp;IF(D343="","Store, ","")&amp;IF(F343="","Product Type, ","")&amp;IF(G343="","Category, ","")&amp;IF(H343="","HSN Code, ","")&amp;IF(Q343="","Qty, ","")&amp;IF(R343="","Purchase Rate, ","")&amp;IF(S343="","MRP, ",""))-2),IF(COUNTIF(Vendors!$B$3:$B$202,C343)=0,"Add vendor "&amp;C343&amp;" on the Vendors sheet",IF(ISNA(MATCH(H343,Codes!$A$2:$A$13,0)),"Pick the HSN Code from the list",IF(AND(E343&lt;&gt;"",COUNTIFS($C$3:$C$1002,C343,$E$3:$E$1002,E343,$F$3:$F$1002,"&lt;&gt;"&amp;F343)+COUNTIFS($C$3:$C$1002,C343,$E$3:$E$1002,E343,$G$3:$G$1002,"&lt;&gt;"&amp;G343)&gt;0),"Design "&amp;E343&amp;" has another Product Type or Category on another row",IF(COUNTIFS($F$3:$F$1002,F343,$G$3:$G$1002,G343,$H$3:$H$1002,"&lt;&gt;"&amp;H343)&gt;0,F343&amp;" + "&amp;G343&amp;" has another HSN Code on another row",IF(AND(V343&lt;&gt;"",U343=""),"Received Qty needs the Vendor Invoice No",IF(AND(U343&lt;&gt;"",COUNTIFS(Bills!$B$3:$B$302,U343,Bills!$C$3:$C$302,C343)=0),"Add bill "&amp;U343&amp;" of "&amp;C343&amp;" on the Bills sheet",IF(S343&lt;R343,"MRP is below the Purchase Rate","OK")))))))))</f>
        <v/>
      </c>
      <c r="B343" s="29"/>
      <c r="C343" s="22"/>
      <c r="D343" s="22"/>
      <c r="E343" s="24"/>
      <c r="F343" s="22"/>
      <c r="G343" s="22"/>
      <c r="H343" s="22"/>
      <c r="I343" s="30" t="str">
        <f>IF(H343="","",IFERROR(INDEX(Codes!$B$2:$B$13,MATCH(H343,Codes!$A$2:$A$13,0)),""))</f>
        <v/>
      </c>
      <c r="J343" s="23"/>
      <c r="K343" s="23"/>
      <c r="L343" s="23"/>
      <c r="M343" s="23"/>
      <c r="N343" s="23"/>
      <c r="O343" s="23"/>
      <c r="P343" s="23"/>
      <c r="Q343" s="31"/>
      <c r="R343" s="32"/>
      <c r="S343" s="32"/>
      <c r="T343" s="33" t="str">
        <f t="shared" si="10"/>
        <v/>
      </c>
      <c r="U343" s="34"/>
      <c r="V343" s="35"/>
      <c r="W343" s="33" t="str">
        <f t="shared" si="11"/>
        <v/>
      </c>
    </row>
    <row r="344" spans="1:23" x14ac:dyDescent="0.35">
      <c r="A344" s="21" t="str">
        <f>IF(COUNTA(B344:H344,J344:S344,U344:V344)=0,"",IF((IF(B344="","PO Ref, ","")&amp;IF(C344="","Vendor, ","")&amp;IF(D344="","Store, ","")&amp;IF(F344="","Product Type, ","")&amp;IF(G344="","Category, ","")&amp;IF(H344="","HSN Code, ","")&amp;IF(Q344="","Qty, ","")&amp;IF(R344="","Purchase Rate, ","")&amp;IF(S344="","MRP, ",""))&lt;&gt;"","Missing: "&amp;LEFT(IF(B344="","PO Ref, ","")&amp;IF(C344="","Vendor, ","")&amp;IF(D344="","Store, ","")&amp;IF(F344="","Product Type, ","")&amp;IF(G344="","Category, ","")&amp;IF(H344="","HSN Code, ","")&amp;IF(Q344="","Qty, ","")&amp;IF(R344="","Purchase Rate, ","")&amp;IF(S344="","MRP, ",""),LEN(IF(B344="","PO Ref, ","")&amp;IF(C344="","Vendor, ","")&amp;IF(D344="","Store, ","")&amp;IF(F344="","Product Type, ","")&amp;IF(G344="","Category, ","")&amp;IF(H344="","HSN Code, ","")&amp;IF(Q344="","Qty, ","")&amp;IF(R344="","Purchase Rate, ","")&amp;IF(S344="","MRP, ",""))-2),IF(COUNTIF(Vendors!$B$3:$B$202,C344)=0,"Add vendor "&amp;C344&amp;" on the Vendors sheet",IF(ISNA(MATCH(H344,Codes!$A$2:$A$13,0)),"Pick the HSN Code from the list",IF(AND(E344&lt;&gt;"",COUNTIFS($C$3:$C$1002,C344,$E$3:$E$1002,E344,$F$3:$F$1002,"&lt;&gt;"&amp;F344)+COUNTIFS($C$3:$C$1002,C344,$E$3:$E$1002,E344,$G$3:$G$1002,"&lt;&gt;"&amp;G344)&gt;0),"Design "&amp;E344&amp;" has another Product Type or Category on another row",IF(COUNTIFS($F$3:$F$1002,F344,$G$3:$G$1002,G344,$H$3:$H$1002,"&lt;&gt;"&amp;H344)&gt;0,F344&amp;" + "&amp;G344&amp;" has another HSN Code on another row",IF(AND(V344&lt;&gt;"",U344=""),"Received Qty needs the Vendor Invoice No",IF(AND(U344&lt;&gt;"",COUNTIFS(Bills!$B$3:$B$302,U344,Bills!$C$3:$C$302,C344)=0),"Add bill "&amp;U344&amp;" of "&amp;C344&amp;" on the Bills sheet",IF(S344&lt;R344,"MRP is below the Purchase Rate","OK")))))))))</f>
        <v/>
      </c>
      <c r="B344" s="29"/>
      <c r="C344" s="22"/>
      <c r="D344" s="22"/>
      <c r="E344" s="24"/>
      <c r="F344" s="22"/>
      <c r="G344" s="22"/>
      <c r="H344" s="22"/>
      <c r="I344" s="30" t="str">
        <f>IF(H344="","",IFERROR(INDEX(Codes!$B$2:$B$13,MATCH(H344,Codes!$A$2:$A$13,0)),""))</f>
        <v/>
      </c>
      <c r="J344" s="23"/>
      <c r="K344" s="23"/>
      <c r="L344" s="23"/>
      <c r="M344" s="23"/>
      <c r="N344" s="23"/>
      <c r="O344" s="23"/>
      <c r="P344" s="23"/>
      <c r="Q344" s="31"/>
      <c r="R344" s="32"/>
      <c r="S344" s="32"/>
      <c r="T344" s="33" t="str">
        <f t="shared" si="10"/>
        <v/>
      </c>
      <c r="U344" s="34"/>
      <c r="V344" s="35"/>
      <c r="W344" s="33" t="str">
        <f t="shared" si="11"/>
        <v/>
      </c>
    </row>
    <row r="345" spans="1:23" x14ac:dyDescent="0.35">
      <c r="A345" s="21" t="str">
        <f>IF(COUNTA(B345:H345,J345:S345,U345:V345)=0,"",IF((IF(B345="","PO Ref, ","")&amp;IF(C345="","Vendor, ","")&amp;IF(D345="","Store, ","")&amp;IF(F345="","Product Type, ","")&amp;IF(G345="","Category, ","")&amp;IF(H345="","HSN Code, ","")&amp;IF(Q345="","Qty, ","")&amp;IF(R345="","Purchase Rate, ","")&amp;IF(S345="","MRP, ",""))&lt;&gt;"","Missing: "&amp;LEFT(IF(B345="","PO Ref, ","")&amp;IF(C345="","Vendor, ","")&amp;IF(D345="","Store, ","")&amp;IF(F345="","Product Type, ","")&amp;IF(G345="","Category, ","")&amp;IF(H345="","HSN Code, ","")&amp;IF(Q345="","Qty, ","")&amp;IF(R345="","Purchase Rate, ","")&amp;IF(S345="","MRP, ",""),LEN(IF(B345="","PO Ref, ","")&amp;IF(C345="","Vendor, ","")&amp;IF(D345="","Store, ","")&amp;IF(F345="","Product Type, ","")&amp;IF(G345="","Category, ","")&amp;IF(H345="","HSN Code, ","")&amp;IF(Q345="","Qty, ","")&amp;IF(R345="","Purchase Rate, ","")&amp;IF(S345="","MRP, ",""))-2),IF(COUNTIF(Vendors!$B$3:$B$202,C345)=0,"Add vendor "&amp;C345&amp;" on the Vendors sheet",IF(ISNA(MATCH(H345,Codes!$A$2:$A$13,0)),"Pick the HSN Code from the list",IF(AND(E345&lt;&gt;"",COUNTIFS($C$3:$C$1002,C345,$E$3:$E$1002,E345,$F$3:$F$1002,"&lt;&gt;"&amp;F345)+COUNTIFS($C$3:$C$1002,C345,$E$3:$E$1002,E345,$G$3:$G$1002,"&lt;&gt;"&amp;G345)&gt;0),"Design "&amp;E345&amp;" has another Product Type or Category on another row",IF(COUNTIFS($F$3:$F$1002,F345,$G$3:$G$1002,G345,$H$3:$H$1002,"&lt;&gt;"&amp;H345)&gt;0,F345&amp;" + "&amp;G345&amp;" has another HSN Code on another row",IF(AND(V345&lt;&gt;"",U345=""),"Received Qty needs the Vendor Invoice No",IF(AND(U345&lt;&gt;"",COUNTIFS(Bills!$B$3:$B$302,U345,Bills!$C$3:$C$302,C345)=0),"Add bill "&amp;U345&amp;" of "&amp;C345&amp;" on the Bills sheet",IF(S345&lt;R345,"MRP is below the Purchase Rate","OK")))))))))</f>
        <v/>
      </c>
      <c r="B345" s="29"/>
      <c r="C345" s="22"/>
      <c r="D345" s="22"/>
      <c r="E345" s="24"/>
      <c r="F345" s="22"/>
      <c r="G345" s="22"/>
      <c r="H345" s="22"/>
      <c r="I345" s="30" t="str">
        <f>IF(H345="","",IFERROR(INDEX(Codes!$B$2:$B$13,MATCH(H345,Codes!$A$2:$A$13,0)),""))</f>
        <v/>
      </c>
      <c r="J345" s="23"/>
      <c r="K345" s="23"/>
      <c r="L345" s="23"/>
      <c r="M345" s="23"/>
      <c r="N345" s="23"/>
      <c r="O345" s="23"/>
      <c r="P345" s="23"/>
      <c r="Q345" s="31"/>
      <c r="R345" s="32"/>
      <c r="S345" s="32"/>
      <c r="T345" s="33" t="str">
        <f t="shared" si="10"/>
        <v/>
      </c>
      <c r="U345" s="34"/>
      <c r="V345" s="35"/>
      <c r="W345" s="33" t="str">
        <f t="shared" si="11"/>
        <v/>
      </c>
    </row>
    <row r="346" spans="1:23" x14ac:dyDescent="0.35">
      <c r="A346" s="21" t="str">
        <f>IF(COUNTA(B346:H346,J346:S346,U346:V346)=0,"",IF((IF(B346="","PO Ref, ","")&amp;IF(C346="","Vendor, ","")&amp;IF(D346="","Store, ","")&amp;IF(F346="","Product Type, ","")&amp;IF(G346="","Category, ","")&amp;IF(H346="","HSN Code, ","")&amp;IF(Q346="","Qty, ","")&amp;IF(R346="","Purchase Rate, ","")&amp;IF(S346="","MRP, ",""))&lt;&gt;"","Missing: "&amp;LEFT(IF(B346="","PO Ref, ","")&amp;IF(C346="","Vendor, ","")&amp;IF(D346="","Store, ","")&amp;IF(F346="","Product Type, ","")&amp;IF(G346="","Category, ","")&amp;IF(H346="","HSN Code, ","")&amp;IF(Q346="","Qty, ","")&amp;IF(R346="","Purchase Rate, ","")&amp;IF(S346="","MRP, ",""),LEN(IF(B346="","PO Ref, ","")&amp;IF(C346="","Vendor, ","")&amp;IF(D346="","Store, ","")&amp;IF(F346="","Product Type, ","")&amp;IF(G346="","Category, ","")&amp;IF(H346="","HSN Code, ","")&amp;IF(Q346="","Qty, ","")&amp;IF(R346="","Purchase Rate, ","")&amp;IF(S346="","MRP, ",""))-2),IF(COUNTIF(Vendors!$B$3:$B$202,C346)=0,"Add vendor "&amp;C346&amp;" on the Vendors sheet",IF(ISNA(MATCH(H346,Codes!$A$2:$A$13,0)),"Pick the HSN Code from the list",IF(AND(E346&lt;&gt;"",COUNTIFS($C$3:$C$1002,C346,$E$3:$E$1002,E346,$F$3:$F$1002,"&lt;&gt;"&amp;F346)+COUNTIFS($C$3:$C$1002,C346,$E$3:$E$1002,E346,$G$3:$G$1002,"&lt;&gt;"&amp;G346)&gt;0),"Design "&amp;E346&amp;" has another Product Type or Category on another row",IF(COUNTIFS($F$3:$F$1002,F346,$G$3:$G$1002,G346,$H$3:$H$1002,"&lt;&gt;"&amp;H346)&gt;0,F346&amp;" + "&amp;G346&amp;" has another HSN Code on another row",IF(AND(V346&lt;&gt;"",U346=""),"Received Qty needs the Vendor Invoice No",IF(AND(U346&lt;&gt;"",COUNTIFS(Bills!$B$3:$B$302,U346,Bills!$C$3:$C$302,C346)=0),"Add bill "&amp;U346&amp;" of "&amp;C346&amp;" on the Bills sheet",IF(S346&lt;R346,"MRP is below the Purchase Rate","OK")))))))))</f>
        <v/>
      </c>
      <c r="B346" s="29"/>
      <c r="C346" s="22"/>
      <c r="D346" s="22"/>
      <c r="E346" s="24"/>
      <c r="F346" s="22"/>
      <c r="G346" s="22"/>
      <c r="H346" s="22"/>
      <c r="I346" s="30" t="str">
        <f>IF(H346="","",IFERROR(INDEX(Codes!$B$2:$B$13,MATCH(H346,Codes!$A$2:$A$13,0)),""))</f>
        <v/>
      </c>
      <c r="J346" s="23"/>
      <c r="K346" s="23"/>
      <c r="L346" s="23"/>
      <c r="M346" s="23"/>
      <c r="N346" s="23"/>
      <c r="O346" s="23"/>
      <c r="P346" s="23"/>
      <c r="Q346" s="31"/>
      <c r="R346" s="32"/>
      <c r="S346" s="32"/>
      <c r="T346" s="33" t="str">
        <f t="shared" si="10"/>
        <v/>
      </c>
      <c r="U346" s="34"/>
      <c r="V346" s="35"/>
      <c r="W346" s="33" t="str">
        <f t="shared" si="11"/>
        <v/>
      </c>
    </row>
    <row r="347" spans="1:23" x14ac:dyDescent="0.35">
      <c r="A347" s="21" t="str">
        <f>IF(COUNTA(B347:H347,J347:S347,U347:V347)=0,"",IF((IF(B347="","PO Ref, ","")&amp;IF(C347="","Vendor, ","")&amp;IF(D347="","Store, ","")&amp;IF(F347="","Product Type, ","")&amp;IF(G347="","Category, ","")&amp;IF(H347="","HSN Code, ","")&amp;IF(Q347="","Qty, ","")&amp;IF(R347="","Purchase Rate, ","")&amp;IF(S347="","MRP, ",""))&lt;&gt;"","Missing: "&amp;LEFT(IF(B347="","PO Ref, ","")&amp;IF(C347="","Vendor, ","")&amp;IF(D347="","Store, ","")&amp;IF(F347="","Product Type, ","")&amp;IF(G347="","Category, ","")&amp;IF(H347="","HSN Code, ","")&amp;IF(Q347="","Qty, ","")&amp;IF(R347="","Purchase Rate, ","")&amp;IF(S347="","MRP, ",""),LEN(IF(B347="","PO Ref, ","")&amp;IF(C347="","Vendor, ","")&amp;IF(D347="","Store, ","")&amp;IF(F347="","Product Type, ","")&amp;IF(G347="","Category, ","")&amp;IF(H347="","HSN Code, ","")&amp;IF(Q347="","Qty, ","")&amp;IF(R347="","Purchase Rate, ","")&amp;IF(S347="","MRP, ",""))-2),IF(COUNTIF(Vendors!$B$3:$B$202,C347)=0,"Add vendor "&amp;C347&amp;" on the Vendors sheet",IF(ISNA(MATCH(H347,Codes!$A$2:$A$13,0)),"Pick the HSN Code from the list",IF(AND(E347&lt;&gt;"",COUNTIFS($C$3:$C$1002,C347,$E$3:$E$1002,E347,$F$3:$F$1002,"&lt;&gt;"&amp;F347)+COUNTIFS($C$3:$C$1002,C347,$E$3:$E$1002,E347,$G$3:$G$1002,"&lt;&gt;"&amp;G347)&gt;0),"Design "&amp;E347&amp;" has another Product Type or Category on another row",IF(COUNTIFS($F$3:$F$1002,F347,$G$3:$G$1002,G347,$H$3:$H$1002,"&lt;&gt;"&amp;H347)&gt;0,F347&amp;" + "&amp;G347&amp;" has another HSN Code on another row",IF(AND(V347&lt;&gt;"",U347=""),"Received Qty needs the Vendor Invoice No",IF(AND(U347&lt;&gt;"",COUNTIFS(Bills!$B$3:$B$302,U347,Bills!$C$3:$C$302,C347)=0),"Add bill "&amp;U347&amp;" of "&amp;C347&amp;" on the Bills sheet",IF(S347&lt;R347,"MRP is below the Purchase Rate","OK")))))))))</f>
        <v/>
      </c>
      <c r="B347" s="29"/>
      <c r="C347" s="22"/>
      <c r="D347" s="22"/>
      <c r="E347" s="24"/>
      <c r="F347" s="22"/>
      <c r="G347" s="22"/>
      <c r="H347" s="22"/>
      <c r="I347" s="30" t="str">
        <f>IF(H347="","",IFERROR(INDEX(Codes!$B$2:$B$13,MATCH(H347,Codes!$A$2:$A$13,0)),""))</f>
        <v/>
      </c>
      <c r="J347" s="23"/>
      <c r="K347" s="23"/>
      <c r="L347" s="23"/>
      <c r="M347" s="23"/>
      <c r="N347" s="23"/>
      <c r="O347" s="23"/>
      <c r="P347" s="23"/>
      <c r="Q347" s="31"/>
      <c r="R347" s="32"/>
      <c r="S347" s="32"/>
      <c r="T347" s="33" t="str">
        <f t="shared" si="10"/>
        <v/>
      </c>
      <c r="U347" s="34"/>
      <c r="V347" s="35"/>
      <c r="W347" s="33" t="str">
        <f t="shared" si="11"/>
        <v/>
      </c>
    </row>
    <row r="348" spans="1:23" x14ac:dyDescent="0.35">
      <c r="A348" s="21" t="str">
        <f>IF(COUNTA(B348:H348,J348:S348,U348:V348)=0,"",IF((IF(B348="","PO Ref, ","")&amp;IF(C348="","Vendor, ","")&amp;IF(D348="","Store, ","")&amp;IF(F348="","Product Type, ","")&amp;IF(G348="","Category, ","")&amp;IF(H348="","HSN Code, ","")&amp;IF(Q348="","Qty, ","")&amp;IF(R348="","Purchase Rate, ","")&amp;IF(S348="","MRP, ",""))&lt;&gt;"","Missing: "&amp;LEFT(IF(B348="","PO Ref, ","")&amp;IF(C348="","Vendor, ","")&amp;IF(D348="","Store, ","")&amp;IF(F348="","Product Type, ","")&amp;IF(G348="","Category, ","")&amp;IF(H348="","HSN Code, ","")&amp;IF(Q348="","Qty, ","")&amp;IF(R348="","Purchase Rate, ","")&amp;IF(S348="","MRP, ",""),LEN(IF(B348="","PO Ref, ","")&amp;IF(C348="","Vendor, ","")&amp;IF(D348="","Store, ","")&amp;IF(F348="","Product Type, ","")&amp;IF(G348="","Category, ","")&amp;IF(H348="","HSN Code, ","")&amp;IF(Q348="","Qty, ","")&amp;IF(R348="","Purchase Rate, ","")&amp;IF(S348="","MRP, ",""))-2),IF(COUNTIF(Vendors!$B$3:$B$202,C348)=0,"Add vendor "&amp;C348&amp;" on the Vendors sheet",IF(ISNA(MATCH(H348,Codes!$A$2:$A$13,0)),"Pick the HSN Code from the list",IF(AND(E348&lt;&gt;"",COUNTIFS($C$3:$C$1002,C348,$E$3:$E$1002,E348,$F$3:$F$1002,"&lt;&gt;"&amp;F348)+COUNTIFS($C$3:$C$1002,C348,$E$3:$E$1002,E348,$G$3:$G$1002,"&lt;&gt;"&amp;G348)&gt;0),"Design "&amp;E348&amp;" has another Product Type or Category on another row",IF(COUNTIFS($F$3:$F$1002,F348,$G$3:$G$1002,G348,$H$3:$H$1002,"&lt;&gt;"&amp;H348)&gt;0,F348&amp;" + "&amp;G348&amp;" has another HSN Code on another row",IF(AND(V348&lt;&gt;"",U348=""),"Received Qty needs the Vendor Invoice No",IF(AND(U348&lt;&gt;"",COUNTIFS(Bills!$B$3:$B$302,U348,Bills!$C$3:$C$302,C348)=0),"Add bill "&amp;U348&amp;" of "&amp;C348&amp;" on the Bills sheet",IF(S348&lt;R348,"MRP is below the Purchase Rate","OK")))))))))</f>
        <v/>
      </c>
      <c r="B348" s="29"/>
      <c r="C348" s="22"/>
      <c r="D348" s="22"/>
      <c r="E348" s="24"/>
      <c r="F348" s="22"/>
      <c r="G348" s="22"/>
      <c r="H348" s="22"/>
      <c r="I348" s="30" t="str">
        <f>IF(H348="","",IFERROR(INDEX(Codes!$B$2:$B$13,MATCH(H348,Codes!$A$2:$A$13,0)),""))</f>
        <v/>
      </c>
      <c r="J348" s="23"/>
      <c r="K348" s="23"/>
      <c r="L348" s="23"/>
      <c r="M348" s="23"/>
      <c r="N348" s="23"/>
      <c r="O348" s="23"/>
      <c r="P348" s="23"/>
      <c r="Q348" s="31"/>
      <c r="R348" s="32"/>
      <c r="S348" s="32"/>
      <c r="T348" s="33" t="str">
        <f t="shared" si="10"/>
        <v/>
      </c>
      <c r="U348" s="34"/>
      <c r="V348" s="35"/>
      <c r="W348" s="33" t="str">
        <f t="shared" si="11"/>
        <v/>
      </c>
    </row>
    <row r="349" spans="1:23" x14ac:dyDescent="0.35">
      <c r="A349" s="21" t="str">
        <f>IF(COUNTA(B349:H349,J349:S349,U349:V349)=0,"",IF((IF(B349="","PO Ref, ","")&amp;IF(C349="","Vendor, ","")&amp;IF(D349="","Store, ","")&amp;IF(F349="","Product Type, ","")&amp;IF(G349="","Category, ","")&amp;IF(H349="","HSN Code, ","")&amp;IF(Q349="","Qty, ","")&amp;IF(R349="","Purchase Rate, ","")&amp;IF(S349="","MRP, ",""))&lt;&gt;"","Missing: "&amp;LEFT(IF(B349="","PO Ref, ","")&amp;IF(C349="","Vendor, ","")&amp;IF(D349="","Store, ","")&amp;IF(F349="","Product Type, ","")&amp;IF(G349="","Category, ","")&amp;IF(H349="","HSN Code, ","")&amp;IF(Q349="","Qty, ","")&amp;IF(R349="","Purchase Rate, ","")&amp;IF(S349="","MRP, ",""),LEN(IF(B349="","PO Ref, ","")&amp;IF(C349="","Vendor, ","")&amp;IF(D349="","Store, ","")&amp;IF(F349="","Product Type, ","")&amp;IF(G349="","Category, ","")&amp;IF(H349="","HSN Code, ","")&amp;IF(Q349="","Qty, ","")&amp;IF(R349="","Purchase Rate, ","")&amp;IF(S349="","MRP, ",""))-2),IF(COUNTIF(Vendors!$B$3:$B$202,C349)=0,"Add vendor "&amp;C349&amp;" on the Vendors sheet",IF(ISNA(MATCH(H349,Codes!$A$2:$A$13,0)),"Pick the HSN Code from the list",IF(AND(E349&lt;&gt;"",COUNTIFS($C$3:$C$1002,C349,$E$3:$E$1002,E349,$F$3:$F$1002,"&lt;&gt;"&amp;F349)+COUNTIFS($C$3:$C$1002,C349,$E$3:$E$1002,E349,$G$3:$G$1002,"&lt;&gt;"&amp;G349)&gt;0),"Design "&amp;E349&amp;" has another Product Type or Category on another row",IF(COUNTIFS($F$3:$F$1002,F349,$G$3:$G$1002,G349,$H$3:$H$1002,"&lt;&gt;"&amp;H349)&gt;0,F349&amp;" + "&amp;G349&amp;" has another HSN Code on another row",IF(AND(V349&lt;&gt;"",U349=""),"Received Qty needs the Vendor Invoice No",IF(AND(U349&lt;&gt;"",COUNTIFS(Bills!$B$3:$B$302,U349,Bills!$C$3:$C$302,C349)=0),"Add bill "&amp;U349&amp;" of "&amp;C349&amp;" on the Bills sheet",IF(S349&lt;R349,"MRP is below the Purchase Rate","OK")))))))))</f>
        <v/>
      </c>
      <c r="B349" s="29"/>
      <c r="C349" s="22"/>
      <c r="D349" s="22"/>
      <c r="E349" s="24"/>
      <c r="F349" s="22"/>
      <c r="G349" s="22"/>
      <c r="H349" s="22"/>
      <c r="I349" s="30" t="str">
        <f>IF(H349="","",IFERROR(INDEX(Codes!$B$2:$B$13,MATCH(H349,Codes!$A$2:$A$13,0)),""))</f>
        <v/>
      </c>
      <c r="J349" s="23"/>
      <c r="K349" s="23"/>
      <c r="L349" s="23"/>
      <c r="M349" s="23"/>
      <c r="N349" s="23"/>
      <c r="O349" s="23"/>
      <c r="P349" s="23"/>
      <c r="Q349" s="31"/>
      <c r="R349" s="32"/>
      <c r="S349" s="32"/>
      <c r="T349" s="33" t="str">
        <f t="shared" si="10"/>
        <v/>
      </c>
      <c r="U349" s="34"/>
      <c r="V349" s="35"/>
      <c r="W349" s="33" t="str">
        <f t="shared" si="11"/>
        <v/>
      </c>
    </row>
    <row r="350" spans="1:23" x14ac:dyDescent="0.35">
      <c r="A350" s="21" t="str">
        <f>IF(COUNTA(B350:H350,J350:S350,U350:V350)=0,"",IF((IF(B350="","PO Ref, ","")&amp;IF(C350="","Vendor, ","")&amp;IF(D350="","Store, ","")&amp;IF(F350="","Product Type, ","")&amp;IF(G350="","Category, ","")&amp;IF(H350="","HSN Code, ","")&amp;IF(Q350="","Qty, ","")&amp;IF(R350="","Purchase Rate, ","")&amp;IF(S350="","MRP, ",""))&lt;&gt;"","Missing: "&amp;LEFT(IF(B350="","PO Ref, ","")&amp;IF(C350="","Vendor, ","")&amp;IF(D350="","Store, ","")&amp;IF(F350="","Product Type, ","")&amp;IF(G350="","Category, ","")&amp;IF(H350="","HSN Code, ","")&amp;IF(Q350="","Qty, ","")&amp;IF(R350="","Purchase Rate, ","")&amp;IF(S350="","MRP, ",""),LEN(IF(B350="","PO Ref, ","")&amp;IF(C350="","Vendor, ","")&amp;IF(D350="","Store, ","")&amp;IF(F350="","Product Type, ","")&amp;IF(G350="","Category, ","")&amp;IF(H350="","HSN Code, ","")&amp;IF(Q350="","Qty, ","")&amp;IF(R350="","Purchase Rate, ","")&amp;IF(S350="","MRP, ",""))-2),IF(COUNTIF(Vendors!$B$3:$B$202,C350)=0,"Add vendor "&amp;C350&amp;" on the Vendors sheet",IF(ISNA(MATCH(H350,Codes!$A$2:$A$13,0)),"Pick the HSN Code from the list",IF(AND(E350&lt;&gt;"",COUNTIFS($C$3:$C$1002,C350,$E$3:$E$1002,E350,$F$3:$F$1002,"&lt;&gt;"&amp;F350)+COUNTIFS($C$3:$C$1002,C350,$E$3:$E$1002,E350,$G$3:$G$1002,"&lt;&gt;"&amp;G350)&gt;0),"Design "&amp;E350&amp;" has another Product Type or Category on another row",IF(COUNTIFS($F$3:$F$1002,F350,$G$3:$G$1002,G350,$H$3:$H$1002,"&lt;&gt;"&amp;H350)&gt;0,F350&amp;" + "&amp;G350&amp;" has another HSN Code on another row",IF(AND(V350&lt;&gt;"",U350=""),"Received Qty needs the Vendor Invoice No",IF(AND(U350&lt;&gt;"",COUNTIFS(Bills!$B$3:$B$302,U350,Bills!$C$3:$C$302,C350)=0),"Add bill "&amp;U350&amp;" of "&amp;C350&amp;" on the Bills sheet",IF(S350&lt;R350,"MRP is below the Purchase Rate","OK")))))))))</f>
        <v/>
      </c>
      <c r="B350" s="29"/>
      <c r="C350" s="22"/>
      <c r="D350" s="22"/>
      <c r="E350" s="24"/>
      <c r="F350" s="22"/>
      <c r="G350" s="22"/>
      <c r="H350" s="22"/>
      <c r="I350" s="30" t="str">
        <f>IF(H350="","",IFERROR(INDEX(Codes!$B$2:$B$13,MATCH(H350,Codes!$A$2:$A$13,0)),""))</f>
        <v/>
      </c>
      <c r="J350" s="23"/>
      <c r="K350" s="23"/>
      <c r="L350" s="23"/>
      <c r="M350" s="23"/>
      <c r="N350" s="23"/>
      <c r="O350" s="23"/>
      <c r="P350" s="23"/>
      <c r="Q350" s="31"/>
      <c r="R350" s="32"/>
      <c r="S350" s="32"/>
      <c r="T350" s="33" t="str">
        <f t="shared" si="10"/>
        <v/>
      </c>
      <c r="U350" s="34"/>
      <c r="V350" s="35"/>
      <c r="W350" s="33" t="str">
        <f t="shared" si="11"/>
        <v/>
      </c>
    </row>
    <row r="351" spans="1:23" x14ac:dyDescent="0.35">
      <c r="A351" s="21" t="str">
        <f>IF(COUNTA(B351:H351,J351:S351,U351:V351)=0,"",IF((IF(B351="","PO Ref, ","")&amp;IF(C351="","Vendor, ","")&amp;IF(D351="","Store, ","")&amp;IF(F351="","Product Type, ","")&amp;IF(G351="","Category, ","")&amp;IF(H351="","HSN Code, ","")&amp;IF(Q351="","Qty, ","")&amp;IF(R351="","Purchase Rate, ","")&amp;IF(S351="","MRP, ",""))&lt;&gt;"","Missing: "&amp;LEFT(IF(B351="","PO Ref, ","")&amp;IF(C351="","Vendor, ","")&amp;IF(D351="","Store, ","")&amp;IF(F351="","Product Type, ","")&amp;IF(G351="","Category, ","")&amp;IF(H351="","HSN Code, ","")&amp;IF(Q351="","Qty, ","")&amp;IF(R351="","Purchase Rate, ","")&amp;IF(S351="","MRP, ",""),LEN(IF(B351="","PO Ref, ","")&amp;IF(C351="","Vendor, ","")&amp;IF(D351="","Store, ","")&amp;IF(F351="","Product Type, ","")&amp;IF(G351="","Category, ","")&amp;IF(H351="","HSN Code, ","")&amp;IF(Q351="","Qty, ","")&amp;IF(R351="","Purchase Rate, ","")&amp;IF(S351="","MRP, ",""))-2),IF(COUNTIF(Vendors!$B$3:$B$202,C351)=0,"Add vendor "&amp;C351&amp;" on the Vendors sheet",IF(ISNA(MATCH(H351,Codes!$A$2:$A$13,0)),"Pick the HSN Code from the list",IF(AND(E351&lt;&gt;"",COUNTIFS($C$3:$C$1002,C351,$E$3:$E$1002,E351,$F$3:$F$1002,"&lt;&gt;"&amp;F351)+COUNTIFS($C$3:$C$1002,C351,$E$3:$E$1002,E351,$G$3:$G$1002,"&lt;&gt;"&amp;G351)&gt;0),"Design "&amp;E351&amp;" has another Product Type or Category on another row",IF(COUNTIFS($F$3:$F$1002,F351,$G$3:$G$1002,G351,$H$3:$H$1002,"&lt;&gt;"&amp;H351)&gt;0,F351&amp;" + "&amp;G351&amp;" has another HSN Code on another row",IF(AND(V351&lt;&gt;"",U351=""),"Received Qty needs the Vendor Invoice No",IF(AND(U351&lt;&gt;"",COUNTIFS(Bills!$B$3:$B$302,U351,Bills!$C$3:$C$302,C351)=0),"Add bill "&amp;U351&amp;" of "&amp;C351&amp;" on the Bills sheet",IF(S351&lt;R351,"MRP is below the Purchase Rate","OK")))))))))</f>
        <v/>
      </c>
      <c r="B351" s="29"/>
      <c r="C351" s="22"/>
      <c r="D351" s="22"/>
      <c r="E351" s="24"/>
      <c r="F351" s="22"/>
      <c r="G351" s="22"/>
      <c r="H351" s="22"/>
      <c r="I351" s="30" t="str">
        <f>IF(H351="","",IFERROR(INDEX(Codes!$B$2:$B$13,MATCH(H351,Codes!$A$2:$A$13,0)),""))</f>
        <v/>
      </c>
      <c r="J351" s="23"/>
      <c r="K351" s="23"/>
      <c r="L351" s="23"/>
      <c r="M351" s="23"/>
      <c r="N351" s="23"/>
      <c r="O351" s="23"/>
      <c r="P351" s="23"/>
      <c r="Q351" s="31"/>
      <c r="R351" s="32"/>
      <c r="S351" s="32"/>
      <c r="T351" s="33" t="str">
        <f t="shared" si="10"/>
        <v/>
      </c>
      <c r="U351" s="34"/>
      <c r="V351" s="35"/>
      <c r="W351" s="33" t="str">
        <f t="shared" si="11"/>
        <v/>
      </c>
    </row>
    <row r="352" spans="1:23" x14ac:dyDescent="0.35">
      <c r="A352" s="21" t="str">
        <f>IF(COUNTA(B352:H352,J352:S352,U352:V352)=0,"",IF((IF(B352="","PO Ref, ","")&amp;IF(C352="","Vendor, ","")&amp;IF(D352="","Store, ","")&amp;IF(F352="","Product Type, ","")&amp;IF(G352="","Category, ","")&amp;IF(H352="","HSN Code, ","")&amp;IF(Q352="","Qty, ","")&amp;IF(R352="","Purchase Rate, ","")&amp;IF(S352="","MRP, ",""))&lt;&gt;"","Missing: "&amp;LEFT(IF(B352="","PO Ref, ","")&amp;IF(C352="","Vendor, ","")&amp;IF(D352="","Store, ","")&amp;IF(F352="","Product Type, ","")&amp;IF(G352="","Category, ","")&amp;IF(H352="","HSN Code, ","")&amp;IF(Q352="","Qty, ","")&amp;IF(R352="","Purchase Rate, ","")&amp;IF(S352="","MRP, ",""),LEN(IF(B352="","PO Ref, ","")&amp;IF(C352="","Vendor, ","")&amp;IF(D352="","Store, ","")&amp;IF(F352="","Product Type, ","")&amp;IF(G352="","Category, ","")&amp;IF(H352="","HSN Code, ","")&amp;IF(Q352="","Qty, ","")&amp;IF(R352="","Purchase Rate, ","")&amp;IF(S352="","MRP, ",""))-2),IF(COUNTIF(Vendors!$B$3:$B$202,C352)=0,"Add vendor "&amp;C352&amp;" on the Vendors sheet",IF(ISNA(MATCH(H352,Codes!$A$2:$A$13,0)),"Pick the HSN Code from the list",IF(AND(E352&lt;&gt;"",COUNTIFS($C$3:$C$1002,C352,$E$3:$E$1002,E352,$F$3:$F$1002,"&lt;&gt;"&amp;F352)+COUNTIFS($C$3:$C$1002,C352,$E$3:$E$1002,E352,$G$3:$G$1002,"&lt;&gt;"&amp;G352)&gt;0),"Design "&amp;E352&amp;" has another Product Type or Category on another row",IF(COUNTIFS($F$3:$F$1002,F352,$G$3:$G$1002,G352,$H$3:$H$1002,"&lt;&gt;"&amp;H352)&gt;0,F352&amp;" + "&amp;G352&amp;" has another HSN Code on another row",IF(AND(V352&lt;&gt;"",U352=""),"Received Qty needs the Vendor Invoice No",IF(AND(U352&lt;&gt;"",COUNTIFS(Bills!$B$3:$B$302,U352,Bills!$C$3:$C$302,C352)=0),"Add bill "&amp;U352&amp;" of "&amp;C352&amp;" on the Bills sheet",IF(S352&lt;R352,"MRP is below the Purchase Rate","OK")))))))))</f>
        <v/>
      </c>
      <c r="B352" s="29"/>
      <c r="C352" s="22"/>
      <c r="D352" s="22"/>
      <c r="E352" s="24"/>
      <c r="F352" s="22"/>
      <c r="G352" s="22"/>
      <c r="H352" s="22"/>
      <c r="I352" s="30" t="str">
        <f>IF(H352="","",IFERROR(INDEX(Codes!$B$2:$B$13,MATCH(H352,Codes!$A$2:$A$13,0)),""))</f>
        <v/>
      </c>
      <c r="J352" s="23"/>
      <c r="K352" s="23"/>
      <c r="L352" s="23"/>
      <c r="M352" s="23"/>
      <c r="N352" s="23"/>
      <c r="O352" s="23"/>
      <c r="P352" s="23"/>
      <c r="Q352" s="31"/>
      <c r="R352" s="32"/>
      <c r="S352" s="32"/>
      <c r="T352" s="33" t="str">
        <f t="shared" si="10"/>
        <v/>
      </c>
      <c r="U352" s="34"/>
      <c r="V352" s="35"/>
      <c r="W352" s="33" t="str">
        <f t="shared" si="11"/>
        <v/>
      </c>
    </row>
    <row r="353" spans="1:23" x14ac:dyDescent="0.35">
      <c r="A353" s="21" t="str">
        <f>IF(COUNTA(B353:H353,J353:S353,U353:V353)=0,"",IF((IF(B353="","PO Ref, ","")&amp;IF(C353="","Vendor, ","")&amp;IF(D353="","Store, ","")&amp;IF(F353="","Product Type, ","")&amp;IF(G353="","Category, ","")&amp;IF(H353="","HSN Code, ","")&amp;IF(Q353="","Qty, ","")&amp;IF(R353="","Purchase Rate, ","")&amp;IF(S353="","MRP, ",""))&lt;&gt;"","Missing: "&amp;LEFT(IF(B353="","PO Ref, ","")&amp;IF(C353="","Vendor, ","")&amp;IF(D353="","Store, ","")&amp;IF(F353="","Product Type, ","")&amp;IF(G353="","Category, ","")&amp;IF(H353="","HSN Code, ","")&amp;IF(Q353="","Qty, ","")&amp;IF(R353="","Purchase Rate, ","")&amp;IF(S353="","MRP, ",""),LEN(IF(B353="","PO Ref, ","")&amp;IF(C353="","Vendor, ","")&amp;IF(D353="","Store, ","")&amp;IF(F353="","Product Type, ","")&amp;IF(G353="","Category, ","")&amp;IF(H353="","HSN Code, ","")&amp;IF(Q353="","Qty, ","")&amp;IF(R353="","Purchase Rate, ","")&amp;IF(S353="","MRP, ",""))-2),IF(COUNTIF(Vendors!$B$3:$B$202,C353)=0,"Add vendor "&amp;C353&amp;" on the Vendors sheet",IF(ISNA(MATCH(H353,Codes!$A$2:$A$13,0)),"Pick the HSN Code from the list",IF(AND(E353&lt;&gt;"",COUNTIFS($C$3:$C$1002,C353,$E$3:$E$1002,E353,$F$3:$F$1002,"&lt;&gt;"&amp;F353)+COUNTIFS($C$3:$C$1002,C353,$E$3:$E$1002,E353,$G$3:$G$1002,"&lt;&gt;"&amp;G353)&gt;0),"Design "&amp;E353&amp;" has another Product Type or Category on another row",IF(COUNTIFS($F$3:$F$1002,F353,$G$3:$G$1002,G353,$H$3:$H$1002,"&lt;&gt;"&amp;H353)&gt;0,F353&amp;" + "&amp;G353&amp;" has another HSN Code on another row",IF(AND(V353&lt;&gt;"",U353=""),"Received Qty needs the Vendor Invoice No",IF(AND(U353&lt;&gt;"",COUNTIFS(Bills!$B$3:$B$302,U353,Bills!$C$3:$C$302,C353)=0),"Add bill "&amp;U353&amp;" of "&amp;C353&amp;" on the Bills sheet",IF(S353&lt;R353,"MRP is below the Purchase Rate","OK")))))))))</f>
        <v/>
      </c>
      <c r="B353" s="29"/>
      <c r="C353" s="22"/>
      <c r="D353" s="22"/>
      <c r="E353" s="24"/>
      <c r="F353" s="22"/>
      <c r="G353" s="22"/>
      <c r="H353" s="22"/>
      <c r="I353" s="30" t="str">
        <f>IF(H353="","",IFERROR(INDEX(Codes!$B$2:$B$13,MATCH(H353,Codes!$A$2:$A$13,0)),""))</f>
        <v/>
      </c>
      <c r="J353" s="23"/>
      <c r="K353" s="23"/>
      <c r="L353" s="23"/>
      <c r="M353" s="23"/>
      <c r="N353" s="23"/>
      <c r="O353" s="23"/>
      <c r="P353" s="23"/>
      <c r="Q353" s="31"/>
      <c r="R353" s="32"/>
      <c r="S353" s="32"/>
      <c r="T353" s="33" t="str">
        <f t="shared" si="10"/>
        <v/>
      </c>
      <c r="U353" s="34"/>
      <c r="V353" s="35"/>
      <c r="W353" s="33" t="str">
        <f t="shared" si="11"/>
        <v/>
      </c>
    </row>
    <row r="354" spans="1:23" x14ac:dyDescent="0.35">
      <c r="A354" s="21" t="str">
        <f>IF(COUNTA(B354:H354,J354:S354,U354:V354)=0,"",IF((IF(B354="","PO Ref, ","")&amp;IF(C354="","Vendor, ","")&amp;IF(D354="","Store, ","")&amp;IF(F354="","Product Type, ","")&amp;IF(G354="","Category, ","")&amp;IF(H354="","HSN Code, ","")&amp;IF(Q354="","Qty, ","")&amp;IF(R354="","Purchase Rate, ","")&amp;IF(S354="","MRP, ",""))&lt;&gt;"","Missing: "&amp;LEFT(IF(B354="","PO Ref, ","")&amp;IF(C354="","Vendor, ","")&amp;IF(D354="","Store, ","")&amp;IF(F354="","Product Type, ","")&amp;IF(G354="","Category, ","")&amp;IF(H354="","HSN Code, ","")&amp;IF(Q354="","Qty, ","")&amp;IF(R354="","Purchase Rate, ","")&amp;IF(S354="","MRP, ",""),LEN(IF(B354="","PO Ref, ","")&amp;IF(C354="","Vendor, ","")&amp;IF(D354="","Store, ","")&amp;IF(F354="","Product Type, ","")&amp;IF(G354="","Category, ","")&amp;IF(H354="","HSN Code, ","")&amp;IF(Q354="","Qty, ","")&amp;IF(R354="","Purchase Rate, ","")&amp;IF(S354="","MRP, ",""))-2),IF(COUNTIF(Vendors!$B$3:$B$202,C354)=0,"Add vendor "&amp;C354&amp;" on the Vendors sheet",IF(ISNA(MATCH(H354,Codes!$A$2:$A$13,0)),"Pick the HSN Code from the list",IF(AND(E354&lt;&gt;"",COUNTIFS($C$3:$C$1002,C354,$E$3:$E$1002,E354,$F$3:$F$1002,"&lt;&gt;"&amp;F354)+COUNTIFS($C$3:$C$1002,C354,$E$3:$E$1002,E354,$G$3:$G$1002,"&lt;&gt;"&amp;G354)&gt;0),"Design "&amp;E354&amp;" has another Product Type or Category on another row",IF(COUNTIFS($F$3:$F$1002,F354,$G$3:$G$1002,G354,$H$3:$H$1002,"&lt;&gt;"&amp;H354)&gt;0,F354&amp;" + "&amp;G354&amp;" has another HSN Code on another row",IF(AND(V354&lt;&gt;"",U354=""),"Received Qty needs the Vendor Invoice No",IF(AND(U354&lt;&gt;"",COUNTIFS(Bills!$B$3:$B$302,U354,Bills!$C$3:$C$302,C354)=0),"Add bill "&amp;U354&amp;" of "&amp;C354&amp;" on the Bills sheet",IF(S354&lt;R354,"MRP is below the Purchase Rate","OK")))))))))</f>
        <v/>
      </c>
      <c r="B354" s="29"/>
      <c r="C354" s="22"/>
      <c r="D354" s="22"/>
      <c r="E354" s="24"/>
      <c r="F354" s="22"/>
      <c r="G354" s="22"/>
      <c r="H354" s="22"/>
      <c r="I354" s="30" t="str">
        <f>IF(H354="","",IFERROR(INDEX(Codes!$B$2:$B$13,MATCH(H354,Codes!$A$2:$A$13,0)),""))</f>
        <v/>
      </c>
      <c r="J354" s="23"/>
      <c r="K354" s="23"/>
      <c r="L354" s="23"/>
      <c r="M354" s="23"/>
      <c r="N354" s="23"/>
      <c r="O354" s="23"/>
      <c r="P354" s="23"/>
      <c r="Q354" s="31"/>
      <c r="R354" s="32"/>
      <c r="S354" s="32"/>
      <c r="T354" s="33" t="str">
        <f t="shared" si="10"/>
        <v/>
      </c>
      <c r="U354" s="34"/>
      <c r="V354" s="35"/>
      <c r="W354" s="33" t="str">
        <f t="shared" si="11"/>
        <v/>
      </c>
    </row>
    <row r="355" spans="1:23" x14ac:dyDescent="0.35">
      <c r="A355" s="21" t="str">
        <f>IF(COUNTA(B355:H355,J355:S355,U355:V355)=0,"",IF((IF(B355="","PO Ref, ","")&amp;IF(C355="","Vendor, ","")&amp;IF(D355="","Store, ","")&amp;IF(F355="","Product Type, ","")&amp;IF(G355="","Category, ","")&amp;IF(H355="","HSN Code, ","")&amp;IF(Q355="","Qty, ","")&amp;IF(R355="","Purchase Rate, ","")&amp;IF(S355="","MRP, ",""))&lt;&gt;"","Missing: "&amp;LEFT(IF(B355="","PO Ref, ","")&amp;IF(C355="","Vendor, ","")&amp;IF(D355="","Store, ","")&amp;IF(F355="","Product Type, ","")&amp;IF(G355="","Category, ","")&amp;IF(H355="","HSN Code, ","")&amp;IF(Q355="","Qty, ","")&amp;IF(R355="","Purchase Rate, ","")&amp;IF(S355="","MRP, ",""),LEN(IF(B355="","PO Ref, ","")&amp;IF(C355="","Vendor, ","")&amp;IF(D355="","Store, ","")&amp;IF(F355="","Product Type, ","")&amp;IF(G355="","Category, ","")&amp;IF(H355="","HSN Code, ","")&amp;IF(Q355="","Qty, ","")&amp;IF(R355="","Purchase Rate, ","")&amp;IF(S355="","MRP, ",""))-2),IF(COUNTIF(Vendors!$B$3:$B$202,C355)=0,"Add vendor "&amp;C355&amp;" on the Vendors sheet",IF(ISNA(MATCH(H355,Codes!$A$2:$A$13,0)),"Pick the HSN Code from the list",IF(AND(E355&lt;&gt;"",COUNTIFS($C$3:$C$1002,C355,$E$3:$E$1002,E355,$F$3:$F$1002,"&lt;&gt;"&amp;F355)+COUNTIFS($C$3:$C$1002,C355,$E$3:$E$1002,E355,$G$3:$G$1002,"&lt;&gt;"&amp;G355)&gt;0),"Design "&amp;E355&amp;" has another Product Type or Category on another row",IF(COUNTIFS($F$3:$F$1002,F355,$G$3:$G$1002,G355,$H$3:$H$1002,"&lt;&gt;"&amp;H355)&gt;0,F355&amp;" + "&amp;G355&amp;" has another HSN Code on another row",IF(AND(V355&lt;&gt;"",U355=""),"Received Qty needs the Vendor Invoice No",IF(AND(U355&lt;&gt;"",COUNTIFS(Bills!$B$3:$B$302,U355,Bills!$C$3:$C$302,C355)=0),"Add bill "&amp;U355&amp;" of "&amp;C355&amp;" on the Bills sheet",IF(S355&lt;R355,"MRP is below the Purchase Rate","OK")))))))))</f>
        <v/>
      </c>
      <c r="B355" s="29"/>
      <c r="C355" s="22"/>
      <c r="D355" s="22"/>
      <c r="E355" s="24"/>
      <c r="F355" s="22"/>
      <c r="G355" s="22"/>
      <c r="H355" s="22"/>
      <c r="I355" s="30" t="str">
        <f>IF(H355="","",IFERROR(INDEX(Codes!$B$2:$B$13,MATCH(H355,Codes!$A$2:$A$13,0)),""))</f>
        <v/>
      </c>
      <c r="J355" s="23"/>
      <c r="K355" s="23"/>
      <c r="L355" s="23"/>
      <c r="M355" s="23"/>
      <c r="N355" s="23"/>
      <c r="O355" s="23"/>
      <c r="P355" s="23"/>
      <c r="Q355" s="31"/>
      <c r="R355" s="32"/>
      <c r="S355" s="32"/>
      <c r="T355" s="33" t="str">
        <f t="shared" si="10"/>
        <v/>
      </c>
      <c r="U355" s="34"/>
      <c r="V355" s="35"/>
      <c r="W355" s="33" t="str">
        <f t="shared" si="11"/>
        <v/>
      </c>
    </row>
    <row r="356" spans="1:23" x14ac:dyDescent="0.35">
      <c r="A356" s="21" t="str">
        <f>IF(COUNTA(B356:H356,J356:S356,U356:V356)=0,"",IF((IF(B356="","PO Ref, ","")&amp;IF(C356="","Vendor, ","")&amp;IF(D356="","Store, ","")&amp;IF(F356="","Product Type, ","")&amp;IF(G356="","Category, ","")&amp;IF(H356="","HSN Code, ","")&amp;IF(Q356="","Qty, ","")&amp;IF(R356="","Purchase Rate, ","")&amp;IF(S356="","MRP, ",""))&lt;&gt;"","Missing: "&amp;LEFT(IF(B356="","PO Ref, ","")&amp;IF(C356="","Vendor, ","")&amp;IF(D356="","Store, ","")&amp;IF(F356="","Product Type, ","")&amp;IF(G356="","Category, ","")&amp;IF(H356="","HSN Code, ","")&amp;IF(Q356="","Qty, ","")&amp;IF(R356="","Purchase Rate, ","")&amp;IF(S356="","MRP, ",""),LEN(IF(B356="","PO Ref, ","")&amp;IF(C356="","Vendor, ","")&amp;IF(D356="","Store, ","")&amp;IF(F356="","Product Type, ","")&amp;IF(G356="","Category, ","")&amp;IF(H356="","HSN Code, ","")&amp;IF(Q356="","Qty, ","")&amp;IF(R356="","Purchase Rate, ","")&amp;IF(S356="","MRP, ",""))-2),IF(COUNTIF(Vendors!$B$3:$B$202,C356)=0,"Add vendor "&amp;C356&amp;" on the Vendors sheet",IF(ISNA(MATCH(H356,Codes!$A$2:$A$13,0)),"Pick the HSN Code from the list",IF(AND(E356&lt;&gt;"",COUNTIFS($C$3:$C$1002,C356,$E$3:$E$1002,E356,$F$3:$F$1002,"&lt;&gt;"&amp;F356)+COUNTIFS($C$3:$C$1002,C356,$E$3:$E$1002,E356,$G$3:$G$1002,"&lt;&gt;"&amp;G356)&gt;0),"Design "&amp;E356&amp;" has another Product Type or Category on another row",IF(COUNTIFS($F$3:$F$1002,F356,$G$3:$G$1002,G356,$H$3:$H$1002,"&lt;&gt;"&amp;H356)&gt;0,F356&amp;" + "&amp;G356&amp;" has another HSN Code on another row",IF(AND(V356&lt;&gt;"",U356=""),"Received Qty needs the Vendor Invoice No",IF(AND(U356&lt;&gt;"",COUNTIFS(Bills!$B$3:$B$302,U356,Bills!$C$3:$C$302,C356)=0),"Add bill "&amp;U356&amp;" of "&amp;C356&amp;" on the Bills sheet",IF(S356&lt;R356,"MRP is below the Purchase Rate","OK")))))))))</f>
        <v/>
      </c>
      <c r="B356" s="29"/>
      <c r="C356" s="22"/>
      <c r="D356" s="22"/>
      <c r="E356" s="24"/>
      <c r="F356" s="22"/>
      <c r="G356" s="22"/>
      <c r="H356" s="22"/>
      <c r="I356" s="30" t="str">
        <f>IF(H356="","",IFERROR(INDEX(Codes!$B$2:$B$13,MATCH(H356,Codes!$A$2:$A$13,0)),""))</f>
        <v/>
      </c>
      <c r="J356" s="23"/>
      <c r="K356" s="23"/>
      <c r="L356" s="23"/>
      <c r="M356" s="23"/>
      <c r="N356" s="23"/>
      <c r="O356" s="23"/>
      <c r="P356" s="23"/>
      <c r="Q356" s="31"/>
      <c r="R356" s="32"/>
      <c r="S356" s="32"/>
      <c r="T356" s="33" t="str">
        <f t="shared" si="10"/>
        <v/>
      </c>
      <c r="U356" s="34"/>
      <c r="V356" s="35"/>
      <c r="W356" s="33" t="str">
        <f t="shared" si="11"/>
        <v/>
      </c>
    </row>
    <row r="357" spans="1:23" x14ac:dyDescent="0.35">
      <c r="A357" s="21" t="str">
        <f>IF(COUNTA(B357:H357,J357:S357,U357:V357)=0,"",IF((IF(B357="","PO Ref, ","")&amp;IF(C357="","Vendor, ","")&amp;IF(D357="","Store, ","")&amp;IF(F357="","Product Type, ","")&amp;IF(G357="","Category, ","")&amp;IF(H357="","HSN Code, ","")&amp;IF(Q357="","Qty, ","")&amp;IF(R357="","Purchase Rate, ","")&amp;IF(S357="","MRP, ",""))&lt;&gt;"","Missing: "&amp;LEFT(IF(B357="","PO Ref, ","")&amp;IF(C357="","Vendor, ","")&amp;IF(D357="","Store, ","")&amp;IF(F357="","Product Type, ","")&amp;IF(G357="","Category, ","")&amp;IF(H357="","HSN Code, ","")&amp;IF(Q357="","Qty, ","")&amp;IF(R357="","Purchase Rate, ","")&amp;IF(S357="","MRP, ",""),LEN(IF(B357="","PO Ref, ","")&amp;IF(C357="","Vendor, ","")&amp;IF(D357="","Store, ","")&amp;IF(F357="","Product Type, ","")&amp;IF(G357="","Category, ","")&amp;IF(H357="","HSN Code, ","")&amp;IF(Q357="","Qty, ","")&amp;IF(R357="","Purchase Rate, ","")&amp;IF(S357="","MRP, ",""))-2),IF(COUNTIF(Vendors!$B$3:$B$202,C357)=0,"Add vendor "&amp;C357&amp;" on the Vendors sheet",IF(ISNA(MATCH(H357,Codes!$A$2:$A$13,0)),"Pick the HSN Code from the list",IF(AND(E357&lt;&gt;"",COUNTIFS($C$3:$C$1002,C357,$E$3:$E$1002,E357,$F$3:$F$1002,"&lt;&gt;"&amp;F357)+COUNTIFS($C$3:$C$1002,C357,$E$3:$E$1002,E357,$G$3:$G$1002,"&lt;&gt;"&amp;G357)&gt;0),"Design "&amp;E357&amp;" has another Product Type or Category on another row",IF(COUNTIFS($F$3:$F$1002,F357,$G$3:$G$1002,G357,$H$3:$H$1002,"&lt;&gt;"&amp;H357)&gt;0,F357&amp;" + "&amp;G357&amp;" has another HSN Code on another row",IF(AND(V357&lt;&gt;"",U357=""),"Received Qty needs the Vendor Invoice No",IF(AND(U357&lt;&gt;"",COUNTIFS(Bills!$B$3:$B$302,U357,Bills!$C$3:$C$302,C357)=0),"Add bill "&amp;U357&amp;" of "&amp;C357&amp;" on the Bills sheet",IF(S357&lt;R357,"MRP is below the Purchase Rate","OK")))))))))</f>
        <v/>
      </c>
      <c r="B357" s="29"/>
      <c r="C357" s="22"/>
      <c r="D357" s="22"/>
      <c r="E357" s="24"/>
      <c r="F357" s="22"/>
      <c r="G357" s="22"/>
      <c r="H357" s="22"/>
      <c r="I357" s="30" t="str">
        <f>IF(H357="","",IFERROR(INDEX(Codes!$B$2:$B$13,MATCH(H357,Codes!$A$2:$A$13,0)),""))</f>
        <v/>
      </c>
      <c r="J357" s="23"/>
      <c r="K357" s="23"/>
      <c r="L357" s="23"/>
      <c r="M357" s="23"/>
      <c r="N357" s="23"/>
      <c r="O357" s="23"/>
      <c r="P357" s="23"/>
      <c r="Q357" s="31"/>
      <c r="R357" s="32"/>
      <c r="S357" s="32"/>
      <c r="T357" s="33" t="str">
        <f t="shared" si="10"/>
        <v/>
      </c>
      <c r="U357" s="34"/>
      <c r="V357" s="35"/>
      <c r="W357" s="33" t="str">
        <f t="shared" si="11"/>
        <v/>
      </c>
    </row>
    <row r="358" spans="1:23" x14ac:dyDescent="0.35">
      <c r="A358" s="21" t="str">
        <f>IF(COUNTA(B358:H358,J358:S358,U358:V358)=0,"",IF((IF(B358="","PO Ref, ","")&amp;IF(C358="","Vendor, ","")&amp;IF(D358="","Store, ","")&amp;IF(F358="","Product Type, ","")&amp;IF(G358="","Category, ","")&amp;IF(H358="","HSN Code, ","")&amp;IF(Q358="","Qty, ","")&amp;IF(R358="","Purchase Rate, ","")&amp;IF(S358="","MRP, ",""))&lt;&gt;"","Missing: "&amp;LEFT(IF(B358="","PO Ref, ","")&amp;IF(C358="","Vendor, ","")&amp;IF(D358="","Store, ","")&amp;IF(F358="","Product Type, ","")&amp;IF(G358="","Category, ","")&amp;IF(H358="","HSN Code, ","")&amp;IF(Q358="","Qty, ","")&amp;IF(R358="","Purchase Rate, ","")&amp;IF(S358="","MRP, ",""),LEN(IF(B358="","PO Ref, ","")&amp;IF(C358="","Vendor, ","")&amp;IF(D358="","Store, ","")&amp;IF(F358="","Product Type, ","")&amp;IF(G358="","Category, ","")&amp;IF(H358="","HSN Code, ","")&amp;IF(Q358="","Qty, ","")&amp;IF(R358="","Purchase Rate, ","")&amp;IF(S358="","MRP, ",""))-2),IF(COUNTIF(Vendors!$B$3:$B$202,C358)=0,"Add vendor "&amp;C358&amp;" on the Vendors sheet",IF(ISNA(MATCH(H358,Codes!$A$2:$A$13,0)),"Pick the HSN Code from the list",IF(AND(E358&lt;&gt;"",COUNTIFS($C$3:$C$1002,C358,$E$3:$E$1002,E358,$F$3:$F$1002,"&lt;&gt;"&amp;F358)+COUNTIFS($C$3:$C$1002,C358,$E$3:$E$1002,E358,$G$3:$G$1002,"&lt;&gt;"&amp;G358)&gt;0),"Design "&amp;E358&amp;" has another Product Type or Category on another row",IF(COUNTIFS($F$3:$F$1002,F358,$G$3:$G$1002,G358,$H$3:$H$1002,"&lt;&gt;"&amp;H358)&gt;0,F358&amp;" + "&amp;G358&amp;" has another HSN Code on another row",IF(AND(V358&lt;&gt;"",U358=""),"Received Qty needs the Vendor Invoice No",IF(AND(U358&lt;&gt;"",COUNTIFS(Bills!$B$3:$B$302,U358,Bills!$C$3:$C$302,C358)=0),"Add bill "&amp;U358&amp;" of "&amp;C358&amp;" on the Bills sheet",IF(S358&lt;R358,"MRP is below the Purchase Rate","OK")))))))))</f>
        <v/>
      </c>
      <c r="B358" s="29"/>
      <c r="C358" s="22"/>
      <c r="D358" s="22"/>
      <c r="E358" s="24"/>
      <c r="F358" s="22"/>
      <c r="G358" s="22"/>
      <c r="H358" s="22"/>
      <c r="I358" s="30" t="str">
        <f>IF(H358="","",IFERROR(INDEX(Codes!$B$2:$B$13,MATCH(H358,Codes!$A$2:$A$13,0)),""))</f>
        <v/>
      </c>
      <c r="J358" s="23"/>
      <c r="K358" s="23"/>
      <c r="L358" s="23"/>
      <c r="M358" s="23"/>
      <c r="N358" s="23"/>
      <c r="O358" s="23"/>
      <c r="P358" s="23"/>
      <c r="Q358" s="31"/>
      <c r="R358" s="32"/>
      <c r="S358" s="32"/>
      <c r="T358" s="33" t="str">
        <f t="shared" si="10"/>
        <v/>
      </c>
      <c r="U358" s="34"/>
      <c r="V358" s="35"/>
      <c r="W358" s="33" t="str">
        <f t="shared" si="11"/>
        <v/>
      </c>
    </row>
    <row r="359" spans="1:23" x14ac:dyDescent="0.35">
      <c r="A359" s="21" t="str">
        <f>IF(COUNTA(B359:H359,J359:S359,U359:V359)=0,"",IF((IF(B359="","PO Ref, ","")&amp;IF(C359="","Vendor, ","")&amp;IF(D359="","Store, ","")&amp;IF(F359="","Product Type, ","")&amp;IF(G359="","Category, ","")&amp;IF(H359="","HSN Code, ","")&amp;IF(Q359="","Qty, ","")&amp;IF(R359="","Purchase Rate, ","")&amp;IF(S359="","MRP, ",""))&lt;&gt;"","Missing: "&amp;LEFT(IF(B359="","PO Ref, ","")&amp;IF(C359="","Vendor, ","")&amp;IF(D359="","Store, ","")&amp;IF(F359="","Product Type, ","")&amp;IF(G359="","Category, ","")&amp;IF(H359="","HSN Code, ","")&amp;IF(Q359="","Qty, ","")&amp;IF(R359="","Purchase Rate, ","")&amp;IF(S359="","MRP, ",""),LEN(IF(B359="","PO Ref, ","")&amp;IF(C359="","Vendor, ","")&amp;IF(D359="","Store, ","")&amp;IF(F359="","Product Type, ","")&amp;IF(G359="","Category, ","")&amp;IF(H359="","HSN Code, ","")&amp;IF(Q359="","Qty, ","")&amp;IF(R359="","Purchase Rate, ","")&amp;IF(S359="","MRP, ",""))-2),IF(COUNTIF(Vendors!$B$3:$B$202,C359)=0,"Add vendor "&amp;C359&amp;" on the Vendors sheet",IF(ISNA(MATCH(H359,Codes!$A$2:$A$13,0)),"Pick the HSN Code from the list",IF(AND(E359&lt;&gt;"",COUNTIFS($C$3:$C$1002,C359,$E$3:$E$1002,E359,$F$3:$F$1002,"&lt;&gt;"&amp;F359)+COUNTIFS($C$3:$C$1002,C359,$E$3:$E$1002,E359,$G$3:$G$1002,"&lt;&gt;"&amp;G359)&gt;0),"Design "&amp;E359&amp;" has another Product Type or Category on another row",IF(COUNTIFS($F$3:$F$1002,F359,$G$3:$G$1002,G359,$H$3:$H$1002,"&lt;&gt;"&amp;H359)&gt;0,F359&amp;" + "&amp;G359&amp;" has another HSN Code on another row",IF(AND(V359&lt;&gt;"",U359=""),"Received Qty needs the Vendor Invoice No",IF(AND(U359&lt;&gt;"",COUNTIFS(Bills!$B$3:$B$302,U359,Bills!$C$3:$C$302,C359)=0),"Add bill "&amp;U359&amp;" of "&amp;C359&amp;" on the Bills sheet",IF(S359&lt;R359,"MRP is below the Purchase Rate","OK")))))))))</f>
        <v/>
      </c>
      <c r="B359" s="29"/>
      <c r="C359" s="22"/>
      <c r="D359" s="22"/>
      <c r="E359" s="24"/>
      <c r="F359" s="22"/>
      <c r="G359" s="22"/>
      <c r="H359" s="22"/>
      <c r="I359" s="30" t="str">
        <f>IF(H359="","",IFERROR(INDEX(Codes!$B$2:$B$13,MATCH(H359,Codes!$A$2:$A$13,0)),""))</f>
        <v/>
      </c>
      <c r="J359" s="23"/>
      <c r="K359" s="23"/>
      <c r="L359" s="23"/>
      <c r="M359" s="23"/>
      <c r="N359" s="23"/>
      <c r="O359" s="23"/>
      <c r="P359" s="23"/>
      <c r="Q359" s="31"/>
      <c r="R359" s="32"/>
      <c r="S359" s="32"/>
      <c r="T359" s="33" t="str">
        <f t="shared" si="10"/>
        <v/>
      </c>
      <c r="U359" s="34"/>
      <c r="V359" s="35"/>
      <c r="W359" s="33" t="str">
        <f t="shared" si="11"/>
        <v/>
      </c>
    </row>
    <row r="360" spans="1:23" x14ac:dyDescent="0.35">
      <c r="A360" s="21" t="str">
        <f>IF(COUNTA(B360:H360,J360:S360,U360:V360)=0,"",IF((IF(B360="","PO Ref, ","")&amp;IF(C360="","Vendor, ","")&amp;IF(D360="","Store, ","")&amp;IF(F360="","Product Type, ","")&amp;IF(G360="","Category, ","")&amp;IF(H360="","HSN Code, ","")&amp;IF(Q360="","Qty, ","")&amp;IF(R360="","Purchase Rate, ","")&amp;IF(S360="","MRP, ",""))&lt;&gt;"","Missing: "&amp;LEFT(IF(B360="","PO Ref, ","")&amp;IF(C360="","Vendor, ","")&amp;IF(D360="","Store, ","")&amp;IF(F360="","Product Type, ","")&amp;IF(G360="","Category, ","")&amp;IF(H360="","HSN Code, ","")&amp;IF(Q360="","Qty, ","")&amp;IF(R360="","Purchase Rate, ","")&amp;IF(S360="","MRP, ",""),LEN(IF(B360="","PO Ref, ","")&amp;IF(C360="","Vendor, ","")&amp;IF(D360="","Store, ","")&amp;IF(F360="","Product Type, ","")&amp;IF(G360="","Category, ","")&amp;IF(H360="","HSN Code, ","")&amp;IF(Q360="","Qty, ","")&amp;IF(R360="","Purchase Rate, ","")&amp;IF(S360="","MRP, ",""))-2),IF(COUNTIF(Vendors!$B$3:$B$202,C360)=0,"Add vendor "&amp;C360&amp;" on the Vendors sheet",IF(ISNA(MATCH(H360,Codes!$A$2:$A$13,0)),"Pick the HSN Code from the list",IF(AND(E360&lt;&gt;"",COUNTIFS($C$3:$C$1002,C360,$E$3:$E$1002,E360,$F$3:$F$1002,"&lt;&gt;"&amp;F360)+COUNTIFS($C$3:$C$1002,C360,$E$3:$E$1002,E360,$G$3:$G$1002,"&lt;&gt;"&amp;G360)&gt;0),"Design "&amp;E360&amp;" has another Product Type or Category on another row",IF(COUNTIFS($F$3:$F$1002,F360,$G$3:$G$1002,G360,$H$3:$H$1002,"&lt;&gt;"&amp;H360)&gt;0,F360&amp;" + "&amp;G360&amp;" has another HSN Code on another row",IF(AND(V360&lt;&gt;"",U360=""),"Received Qty needs the Vendor Invoice No",IF(AND(U360&lt;&gt;"",COUNTIFS(Bills!$B$3:$B$302,U360,Bills!$C$3:$C$302,C360)=0),"Add bill "&amp;U360&amp;" of "&amp;C360&amp;" on the Bills sheet",IF(S360&lt;R360,"MRP is below the Purchase Rate","OK")))))))))</f>
        <v/>
      </c>
      <c r="B360" s="29"/>
      <c r="C360" s="22"/>
      <c r="D360" s="22"/>
      <c r="E360" s="24"/>
      <c r="F360" s="22"/>
      <c r="G360" s="22"/>
      <c r="H360" s="22"/>
      <c r="I360" s="30" t="str">
        <f>IF(H360="","",IFERROR(INDEX(Codes!$B$2:$B$13,MATCH(H360,Codes!$A$2:$A$13,0)),""))</f>
        <v/>
      </c>
      <c r="J360" s="23"/>
      <c r="K360" s="23"/>
      <c r="L360" s="23"/>
      <c r="M360" s="23"/>
      <c r="N360" s="23"/>
      <c r="O360" s="23"/>
      <c r="P360" s="23"/>
      <c r="Q360" s="31"/>
      <c r="R360" s="32"/>
      <c r="S360" s="32"/>
      <c r="T360" s="33" t="str">
        <f t="shared" si="10"/>
        <v/>
      </c>
      <c r="U360" s="34"/>
      <c r="V360" s="35"/>
      <c r="W360" s="33" t="str">
        <f t="shared" si="11"/>
        <v/>
      </c>
    </row>
    <row r="361" spans="1:23" x14ac:dyDescent="0.35">
      <c r="A361" s="21" t="str">
        <f>IF(COUNTA(B361:H361,J361:S361,U361:V361)=0,"",IF((IF(B361="","PO Ref, ","")&amp;IF(C361="","Vendor, ","")&amp;IF(D361="","Store, ","")&amp;IF(F361="","Product Type, ","")&amp;IF(G361="","Category, ","")&amp;IF(H361="","HSN Code, ","")&amp;IF(Q361="","Qty, ","")&amp;IF(R361="","Purchase Rate, ","")&amp;IF(S361="","MRP, ",""))&lt;&gt;"","Missing: "&amp;LEFT(IF(B361="","PO Ref, ","")&amp;IF(C361="","Vendor, ","")&amp;IF(D361="","Store, ","")&amp;IF(F361="","Product Type, ","")&amp;IF(G361="","Category, ","")&amp;IF(H361="","HSN Code, ","")&amp;IF(Q361="","Qty, ","")&amp;IF(R361="","Purchase Rate, ","")&amp;IF(S361="","MRP, ",""),LEN(IF(B361="","PO Ref, ","")&amp;IF(C361="","Vendor, ","")&amp;IF(D361="","Store, ","")&amp;IF(F361="","Product Type, ","")&amp;IF(G361="","Category, ","")&amp;IF(H361="","HSN Code, ","")&amp;IF(Q361="","Qty, ","")&amp;IF(R361="","Purchase Rate, ","")&amp;IF(S361="","MRP, ",""))-2),IF(COUNTIF(Vendors!$B$3:$B$202,C361)=0,"Add vendor "&amp;C361&amp;" on the Vendors sheet",IF(ISNA(MATCH(H361,Codes!$A$2:$A$13,0)),"Pick the HSN Code from the list",IF(AND(E361&lt;&gt;"",COUNTIFS($C$3:$C$1002,C361,$E$3:$E$1002,E361,$F$3:$F$1002,"&lt;&gt;"&amp;F361)+COUNTIFS($C$3:$C$1002,C361,$E$3:$E$1002,E361,$G$3:$G$1002,"&lt;&gt;"&amp;G361)&gt;0),"Design "&amp;E361&amp;" has another Product Type or Category on another row",IF(COUNTIFS($F$3:$F$1002,F361,$G$3:$G$1002,G361,$H$3:$H$1002,"&lt;&gt;"&amp;H361)&gt;0,F361&amp;" + "&amp;G361&amp;" has another HSN Code on another row",IF(AND(V361&lt;&gt;"",U361=""),"Received Qty needs the Vendor Invoice No",IF(AND(U361&lt;&gt;"",COUNTIFS(Bills!$B$3:$B$302,U361,Bills!$C$3:$C$302,C361)=0),"Add bill "&amp;U361&amp;" of "&amp;C361&amp;" on the Bills sheet",IF(S361&lt;R361,"MRP is below the Purchase Rate","OK")))))))))</f>
        <v/>
      </c>
      <c r="B361" s="29"/>
      <c r="C361" s="22"/>
      <c r="D361" s="22"/>
      <c r="E361" s="24"/>
      <c r="F361" s="22"/>
      <c r="G361" s="22"/>
      <c r="H361" s="22"/>
      <c r="I361" s="30" t="str">
        <f>IF(H361="","",IFERROR(INDEX(Codes!$B$2:$B$13,MATCH(H361,Codes!$A$2:$A$13,0)),""))</f>
        <v/>
      </c>
      <c r="J361" s="23"/>
      <c r="K361" s="23"/>
      <c r="L361" s="23"/>
      <c r="M361" s="23"/>
      <c r="N361" s="23"/>
      <c r="O361" s="23"/>
      <c r="P361" s="23"/>
      <c r="Q361" s="31"/>
      <c r="R361" s="32"/>
      <c r="S361" s="32"/>
      <c r="T361" s="33" t="str">
        <f t="shared" si="10"/>
        <v/>
      </c>
      <c r="U361" s="34"/>
      <c r="V361" s="35"/>
      <c r="W361" s="33" t="str">
        <f t="shared" si="11"/>
        <v/>
      </c>
    </row>
    <row r="362" spans="1:23" x14ac:dyDescent="0.35">
      <c r="A362" s="21" t="str">
        <f>IF(COUNTA(B362:H362,J362:S362,U362:V362)=0,"",IF((IF(B362="","PO Ref, ","")&amp;IF(C362="","Vendor, ","")&amp;IF(D362="","Store, ","")&amp;IF(F362="","Product Type, ","")&amp;IF(G362="","Category, ","")&amp;IF(H362="","HSN Code, ","")&amp;IF(Q362="","Qty, ","")&amp;IF(R362="","Purchase Rate, ","")&amp;IF(S362="","MRP, ",""))&lt;&gt;"","Missing: "&amp;LEFT(IF(B362="","PO Ref, ","")&amp;IF(C362="","Vendor, ","")&amp;IF(D362="","Store, ","")&amp;IF(F362="","Product Type, ","")&amp;IF(G362="","Category, ","")&amp;IF(H362="","HSN Code, ","")&amp;IF(Q362="","Qty, ","")&amp;IF(R362="","Purchase Rate, ","")&amp;IF(S362="","MRP, ",""),LEN(IF(B362="","PO Ref, ","")&amp;IF(C362="","Vendor, ","")&amp;IF(D362="","Store, ","")&amp;IF(F362="","Product Type, ","")&amp;IF(G362="","Category, ","")&amp;IF(H362="","HSN Code, ","")&amp;IF(Q362="","Qty, ","")&amp;IF(R362="","Purchase Rate, ","")&amp;IF(S362="","MRP, ",""))-2),IF(COUNTIF(Vendors!$B$3:$B$202,C362)=0,"Add vendor "&amp;C362&amp;" on the Vendors sheet",IF(ISNA(MATCH(H362,Codes!$A$2:$A$13,0)),"Pick the HSN Code from the list",IF(AND(E362&lt;&gt;"",COUNTIFS($C$3:$C$1002,C362,$E$3:$E$1002,E362,$F$3:$F$1002,"&lt;&gt;"&amp;F362)+COUNTIFS($C$3:$C$1002,C362,$E$3:$E$1002,E362,$G$3:$G$1002,"&lt;&gt;"&amp;G362)&gt;0),"Design "&amp;E362&amp;" has another Product Type or Category on another row",IF(COUNTIFS($F$3:$F$1002,F362,$G$3:$G$1002,G362,$H$3:$H$1002,"&lt;&gt;"&amp;H362)&gt;0,F362&amp;" + "&amp;G362&amp;" has another HSN Code on another row",IF(AND(V362&lt;&gt;"",U362=""),"Received Qty needs the Vendor Invoice No",IF(AND(U362&lt;&gt;"",COUNTIFS(Bills!$B$3:$B$302,U362,Bills!$C$3:$C$302,C362)=0),"Add bill "&amp;U362&amp;" of "&amp;C362&amp;" on the Bills sheet",IF(S362&lt;R362,"MRP is below the Purchase Rate","OK")))))))))</f>
        <v/>
      </c>
      <c r="B362" s="29"/>
      <c r="C362" s="22"/>
      <c r="D362" s="22"/>
      <c r="E362" s="24"/>
      <c r="F362" s="22"/>
      <c r="G362" s="22"/>
      <c r="H362" s="22"/>
      <c r="I362" s="30" t="str">
        <f>IF(H362="","",IFERROR(INDEX(Codes!$B$2:$B$13,MATCH(H362,Codes!$A$2:$A$13,0)),""))</f>
        <v/>
      </c>
      <c r="J362" s="23"/>
      <c r="K362" s="23"/>
      <c r="L362" s="23"/>
      <c r="M362" s="23"/>
      <c r="N362" s="23"/>
      <c r="O362" s="23"/>
      <c r="P362" s="23"/>
      <c r="Q362" s="31"/>
      <c r="R362" s="32"/>
      <c r="S362" s="32"/>
      <c r="T362" s="33" t="str">
        <f t="shared" si="10"/>
        <v/>
      </c>
      <c r="U362" s="34"/>
      <c r="V362" s="35"/>
      <c r="W362" s="33" t="str">
        <f t="shared" si="11"/>
        <v/>
      </c>
    </row>
    <row r="363" spans="1:23" x14ac:dyDescent="0.35">
      <c r="A363" s="21" t="str">
        <f>IF(COUNTA(B363:H363,J363:S363,U363:V363)=0,"",IF((IF(B363="","PO Ref, ","")&amp;IF(C363="","Vendor, ","")&amp;IF(D363="","Store, ","")&amp;IF(F363="","Product Type, ","")&amp;IF(G363="","Category, ","")&amp;IF(H363="","HSN Code, ","")&amp;IF(Q363="","Qty, ","")&amp;IF(R363="","Purchase Rate, ","")&amp;IF(S363="","MRP, ",""))&lt;&gt;"","Missing: "&amp;LEFT(IF(B363="","PO Ref, ","")&amp;IF(C363="","Vendor, ","")&amp;IF(D363="","Store, ","")&amp;IF(F363="","Product Type, ","")&amp;IF(G363="","Category, ","")&amp;IF(H363="","HSN Code, ","")&amp;IF(Q363="","Qty, ","")&amp;IF(R363="","Purchase Rate, ","")&amp;IF(S363="","MRP, ",""),LEN(IF(B363="","PO Ref, ","")&amp;IF(C363="","Vendor, ","")&amp;IF(D363="","Store, ","")&amp;IF(F363="","Product Type, ","")&amp;IF(G363="","Category, ","")&amp;IF(H363="","HSN Code, ","")&amp;IF(Q363="","Qty, ","")&amp;IF(R363="","Purchase Rate, ","")&amp;IF(S363="","MRP, ",""))-2),IF(COUNTIF(Vendors!$B$3:$B$202,C363)=0,"Add vendor "&amp;C363&amp;" on the Vendors sheet",IF(ISNA(MATCH(H363,Codes!$A$2:$A$13,0)),"Pick the HSN Code from the list",IF(AND(E363&lt;&gt;"",COUNTIFS($C$3:$C$1002,C363,$E$3:$E$1002,E363,$F$3:$F$1002,"&lt;&gt;"&amp;F363)+COUNTIFS($C$3:$C$1002,C363,$E$3:$E$1002,E363,$G$3:$G$1002,"&lt;&gt;"&amp;G363)&gt;0),"Design "&amp;E363&amp;" has another Product Type or Category on another row",IF(COUNTIFS($F$3:$F$1002,F363,$G$3:$G$1002,G363,$H$3:$H$1002,"&lt;&gt;"&amp;H363)&gt;0,F363&amp;" + "&amp;G363&amp;" has another HSN Code on another row",IF(AND(V363&lt;&gt;"",U363=""),"Received Qty needs the Vendor Invoice No",IF(AND(U363&lt;&gt;"",COUNTIFS(Bills!$B$3:$B$302,U363,Bills!$C$3:$C$302,C363)=0),"Add bill "&amp;U363&amp;" of "&amp;C363&amp;" on the Bills sheet",IF(S363&lt;R363,"MRP is below the Purchase Rate","OK")))))))))</f>
        <v/>
      </c>
      <c r="B363" s="29"/>
      <c r="C363" s="22"/>
      <c r="D363" s="22"/>
      <c r="E363" s="24"/>
      <c r="F363" s="22"/>
      <c r="G363" s="22"/>
      <c r="H363" s="22"/>
      <c r="I363" s="30" t="str">
        <f>IF(H363="","",IFERROR(INDEX(Codes!$B$2:$B$13,MATCH(H363,Codes!$A$2:$A$13,0)),""))</f>
        <v/>
      </c>
      <c r="J363" s="23"/>
      <c r="K363" s="23"/>
      <c r="L363" s="23"/>
      <c r="M363" s="23"/>
      <c r="N363" s="23"/>
      <c r="O363" s="23"/>
      <c r="P363" s="23"/>
      <c r="Q363" s="31"/>
      <c r="R363" s="32"/>
      <c r="S363" s="32"/>
      <c r="T363" s="33" t="str">
        <f t="shared" si="10"/>
        <v/>
      </c>
      <c r="U363" s="34"/>
      <c r="V363" s="35"/>
      <c r="W363" s="33" t="str">
        <f t="shared" si="11"/>
        <v/>
      </c>
    </row>
    <row r="364" spans="1:23" x14ac:dyDescent="0.35">
      <c r="A364" s="21" t="str">
        <f>IF(COUNTA(B364:H364,J364:S364,U364:V364)=0,"",IF((IF(B364="","PO Ref, ","")&amp;IF(C364="","Vendor, ","")&amp;IF(D364="","Store, ","")&amp;IF(F364="","Product Type, ","")&amp;IF(G364="","Category, ","")&amp;IF(H364="","HSN Code, ","")&amp;IF(Q364="","Qty, ","")&amp;IF(R364="","Purchase Rate, ","")&amp;IF(S364="","MRP, ",""))&lt;&gt;"","Missing: "&amp;LEFT(IF(B364="","PO Ref, ","")&amp;IF(C364="","Vendor, ","")&amp;IF(D364="","Store, ","")&amp;IF(F364="","Product Type, ","")&amp;IF(G364="","Category, ","")&amp;IF(H364="","HSN Code, ","")&amp;IF(Q364="","Qty, ","")&amp;IF(R364="","Purchase Rate, ","")&amp;IF(S364="","MRP, ",""),LEN(IF(B364="","PO Ref, ","")&amp;IF(C364="","Vendor, ","")&amp;IF(D364="","Store, ","")&amp;IF(F364="","Product Type, ","")&amp;IF(G364="","Category, ","")&amp;IF(H364="","HSN Code, ","")&amp;IF(Q364="","Qty, ","")&amp;IF(R364="","Purchase Rate, ","")&amp;IF(S364="","MRP, ",""))-2),IF(COUNTIF(Vendors!$B$3:$B$202,C364)=0,"Add vendor "&amp;C364&amp;" on the Vendors sheet",IF(ISNA(MATCH(H364,Codes!$A$2:$A$13,0)),"Pick the HSN Code from the list",IF(AND(E364&lt;&gt;"",COUNTIFS($C$3:$C$1002,C364,$E$3:$E$1002,E364,$F$3:$F$1002,"&lt;&gt;"&amp;F364)+COUNTIFS($C$3:$C$1002,C364,$E$3:$E$1002,E364,$G$3:$G$1002,"&lt;&gt;"&amp;G364)&gt;0),"Design "&amp;E364&amp;" has another Product Type or Category on another row",IF(COUNTIFS($F$3:$F$1002,F364,$G$3:$G$1002,G364,$H$3:$H$1002,"&lt;&gt;"&amp;H364)&gt;0,F364&amp;" + "&amp;G364&amp;" has another HSN Code on another row",IF(AND(V364&lt;&gt;"",U364=""),"Received Qty needs the Vendor Invoice No",IF(AND(U364&lt;&gt;"",COUNTIFS(Bills!$B$3:$B$302,U364,Bills!$C$3:$C$302,C364)=0),"Add bill "&amp;U364&amp;" of "&amp;C364&amp;" on the Bills sheet",IF(S364&lt;R364,"MRP is below the Purchase Rate","OK")))))))))</f>
        <v/>
      </c>
      <c r="B364" s="29"/>
      <c r="C364" s="22"/>
      <c r="D364" s="22"/>
      <c r="E364" s="24"/>
      <c r="F364" s="22"/>
      <c r="G364" s="22"/>
      <c r="H364" s="22"/>
      <c r="I364" s="30" t="str">
        <f>IF(H364="","",IFERROR(INDEX(Codes!$B$2:$B$13,MATCH(H364,Codes!$A$2:$A$13,0)),""))</f>
        <v/>
      </c>
      <c r="J364" s="23"/>
      <c r="K364" s="23"/>
      <c r="L364" s="23"/>
      <c r="M364" s="23"/>
      <c r="N364" s="23"/>
      <c r="O364" s="23"/>
      <c r="P364" s="23"/>
      <c r="Q364" s="31"/>
      <c r="R364" s="32"/>
      <c r="S364" s="32"/>
      <c r="T364" s="33" t="str">
        <f t="shared" si="10"/>
        <v/>
      </c>
      <c r="U364" s="34"/>
      <c r="V364" s="35"/>
      <c r="W364" s="33" t="str">
        <f t="shared" si="11"/>
        <v/>
      </c>
    </row>
    <row r="365" spans="1:23" x14ac:dyDescent="0.35">
      <c r="A365" s="21" t="str">
        <f>IF(COUNTA(B365:H365,J365:S365,U365:V365)=0,"",IF((IF(B365="","PO Ref, ","")&amp;IF(C365="","Vendor, ","")&amp;IF(D365="","Store, ","")&amp;IF(F365="","Product Type, ","")&amp;IF(G365="","Category, ","")&amp;IF(H365="","HSN Code, ","")&amp;IF(Q365="","Qty, ","")&amp;IF(R365="","Purchase Rate, ","")&amp;IF(S365="","MRP, ",""))&lt;&gt;"","Missing: "&amp;LEFT(IF(B365="","PO Ref, ","")&amp;IF(C365="","Vendor, ","")&amp;IF(D365="","Store, ","")&amp;IF(F365="","Product Type, ","")&amp;IF(G365="","Category, ","")&amp;IF(H365="","HSN Code, ","")&amp;IF(Q365="","Qty, ","")&amp;IF(R365="","Purchase Rate, ","")&amp;IF(S365="","MRP, ",""),LEN(IF(B365="","PO Ref, ","")&amp;IF(C365="","Vendor, ","")&amp;IF(D365="","Store, ","")&amp;IF(F365="","Product Type, ","")&amp;IF(G365="","Category, ","")&amp;IF(H365="","HSN Code, ","")&amp;IF(Q365="","Qty, ","")&amp;IF(R365="","Purchase Rate, ","")&amp;IF(S365="","MRP, ",""))-2),IF(COUNTIF(Vendors!$B$3:$B$202,C365)=0,"Add vendor "&amp;C365&amp;" on the Vendors sheet",IF(ISNA(MATCH(H365,Codes!$A$2:$A$13,0)),"Pick the HSN Code from the list",IF(AND(E365&lt;&gt;"",COUNTIFS($C$3:$C$1002,C365,$E$3:$E$1002,E365,$F$3:$F$1002,"&lt;&gt;"&amp;F365)+COUNTIFS($C$3:$C$1002,C365,$E$3:$E$1002,E365,$G$3:$G$1002,"&lt;&gt;"&amp;G365)&gt;0),"Design "&amp;E365&amp;" has another Product Type or Category on another row",IF(COUNTIFS($F$3:$F$1002,F365,$G$3:$G$1002,G365,$H$3:$H$1002,"&lt;&gt;"&amp;H365)&gt;0,F365&amp;" + "&amp;G365&amp;" has another HSN Code on another row",IF(AND(V365&lt;&gt;"",U365=""),"Received Qty needs the Vendor Invoice No",IF(AND(U365&lt;&gt;"",COUNTIFS(Bills!$B$3:$B$302,U365,Bills!$C$3:$C$302,C365)=0),"Add bill "&amp;U365&amp;" of "&amp;C365&amp;" on the Bills sheet",IF(S365&lt;R365,"MRP is below the Purchase Rate","OK")))))))))</f>
        <v/>
      </c>
      <c r="B365" s="29"/>
      <c r="C365" s="22"/>
      <c r="D365" s="22"/>
      <c r="E365" s="24"/>
      <c r="F365" s="22"/>
      <c r="G365" s="22"/>
      <c r="H365" s="22"/>
      <c r="I365" s="30" t="str">
        <f>IF(H365="","",IFERROR(INDEX(Codes!$B$2:$B$13,MATCH(H365,Codes!$A$2:$A$13,0)),""))</f>
        <v/>
      </c>
      <c r="J365" s="23"/>
      <c r="K365" s="23"/>
      <c r="L365" s="23"/>
      <c r="M365" s="23"/>
      <c r="N365" s="23"/>
      <c r="O365" s="23"/>
      <c r="P365" s="23"/>
      <c r="Q365" s="31"/>
      <c r="R365" s="32"/>
      <c r="S365" s="32"/>
      <c r="T365" s="33" t="str">
        <f t="shared" si="10"/>
        <v/>
      </c>
      <c r="U365" s="34"/>
      <c r="V365" s="35"/>
      <c r="W365" s="33" t="str">
        <f t="shared" si="11"/>
        <v/>
      </c>
    </row>
    <row r="366" spans="1:23" x14ac:dyDescent="0.35">
      <c r="A366" s="21" t="str">
        <f>IF(COUNTA(B366:H366,J366:S366,U366:V366)=0,"",IF((IF(B366="","PO Ref, ","")&amp;IF(C366="","Vendor, ","")&amp;IF(D366="","Store, ","")&amp;IF(F366="","Product Type, ","")&amp;IF(G366="","Category, ","")&amp;IF(H366="","HSN Code, ","")&amp;IF(Q366="","Qty, ","")&amp;IF(R366="","Purchase Rate, ","")&amp;IF(S366="","MRP, ",""))&lt;&gt;"","Missing: "&amp;LEFT(IF(B366="","PO Ref, ","")&amp;IF(C366="","Vendor, ","")&amp;IF(D366="","Store, ","")&amp;IF(F366="","Product Type, ","")&amp;IF(G366="","Category, ","")&amp;IF(H366="","HSN Code, ","")&amp;IF(Q366="","Qty, ","")&amp;IF(R366="","Purchase Rate, ","")&amp;IF(S366="","MRP, ",""),LEN(IF(B366="","PO Ref, ","")&amp;IF(C366="","Vendor, ","")&amp;IF(D366="","Store, ","")&amp;IF(F366="","Product Type, ","")&amp;IF(G366="","Category, ","")&amp;IF(H366="","HSN Code, ","")&amp;IF(Q366="","Qty, ","")&amp;IF(R366="","Purchase Rate, ","")&amp;IF(S366="","MRP, ",""))-2),IF(COUNTIF(Vendors!$B$3:$B$202,C366)=0,"Add vendor "&amp;C366&amp;" on the Vendors sheet",IF(ISNA(MATCH(H366,Codes!$A$2:$A$13,0)),"Pick the HSN Code from the list",IF(AND(E366&lt;&gt;"",COUNTIFS($C$3:$C$1002,C366,$E$3:$E$1002,E366,$F$3:$F$1002,"&lt;&gt;"&amp;F366)+COUNTIFS($C$3:$C$1002,C366,$E$3:$E$1002,E366,$G$3:$G$1002,"&lt;&gt;"&amp;G366)&gt;0),"Design "&amp;E366&amp;" has another Product Type or Category on another row",IF(COUNTIFS($F$3:$F$1002,F366,$G$3:$G$1002,G366,$H$3:$H$1002,"&lt;&gt;"&amp;H366)&gt;0,F366&amp;" + "&amp;G366&amp;" has another HSN Code on another row",IF(AND(V366&lt;&gt;"",U366=""),"Received Qty needs the Vendor Invoice No",IF(AND(U366&lt;&gt;"",COUNTIFS(Bills!$B$3:$B$302,U366,Bills!$C$3:$C$302,C366)=0),"Add bill "&amp;U366&amp;" of "&amp;C366&amp;" on the Bills sheet",IF(S366&lt;R366,"MRP is below the Purchase Rate","OK")))))))))</f>
        <v/>
      </c>
      <c r="B366" s="29"/>
      <c r="C366" s="22"/>
      <c r="D366" s="22"/>
      <c r="E366" s="24"/>
      <c r="F366" s="22"/>
      <c r="G366" s="22"/>
      <c r="H366" s="22"/>
      <c r="I366" s="30" t="str">
        <f>IF(H366="","",IFERROR(INDEX(Codes!$B$2:$B$13,MATCH(H366,Codes!$A$2:$A$13,0)),""))</f>
        <v/>
      </c>
      <c r="J366" s="23"/>
      <c r="K366" s="23"/>
      <c r="L366" s="23"/>
      <c r="M366" s="23"/>
      <c r="N366" s="23"/>
      <c r="O366" s="23"/>
      <c r="P366" s="23"/>
      <c r="Q366" s="31"/>
      <c r="R366" s="32"/>
      <c r="S366" s="32"/>
      <c r="T366" s="33" t="str">
        <f t="shared" si="10"/>
        <v/>
      </c>
      <c r="U366" s="34"/>
      <c r="V366" s="35"/>
      <c r="W366" s="33" t="str">
        <f t="shared" si="11"/>
        <v/>
      </c>
    </row>
    <row r="367" spans="1:23" x14ac:dyDescent="0.35">
      <c r="A367" s="21" t="str">
        <f>IF(COUNTA(B367:H367,J367:S367,U367:V367)=0,"",IF((IF(B367="","PO Ref, ","")&amp;IF(C367="","Vendor, ","")&amp;IF(D367="","Store, ","")&amp;IF(F367="","Product Type, ","")&amp;IF(G367="","Category, ","")&amp;IF(H367="","HSN Code, ","")&amp;IF(Q367="","Qty, ","")&amp;IF(R367="","Purchase Rate, ","")&amp;IF(S367="","MRP, ",""))&lt;&gt;"","Missing: "&amp;LEFT(IF(B367="","PO Ref, ","")&amp;IF(C367="","Vendor, ","")&amp;IF(D367="","Store, ","")&amp;IF(F367="","Product Type, ","")&amp;IF(G367="","Category, ","")&amp;IF(H367="","HSN Code, ","")&amp;IF(Q367="","Qty, ","")&amp;IF(R367="","Purchase Rate, ","")&amp;IF(S367="","MRP, ",""),LEN(IF(B367="","PO Ref, ","")&amp;IF(C367="","Vendor, ","")&amp;IF(D367="","Store, ","")&amp;IF(F367="","Product Type, ","")&amp;IF(G367="","Category, ","")&amp;IF(H367="","HSN Code, ","")&amp;IF(Q367="","Qty, ","")&amp;IF(R367="","Purchase Rate, ","")&amp;IF(S367="","MRP, ",""))-2),IF(COUNTIF(Vendors!$B$3:$B$202,C367)=0,"Add vendor "&amp;C367&amp;" on the Vendors sheet",IF(ISNA(MATCH(H367,Codes!$A$2:$A$13,0)),"Pick the HSN Code from the list",IF(AND(E367&lt;&gt;"",COUNTIFS($C$3:$C$1002,C367,$E$3:$E$1002,E367,$F$3:$F$1002,"&lt;&gt;"&amp;F367)+COUNTIFS($C$3:$C$1002,C367,$E$3:$E$1002,E367,$G$3:$G$1002,"&lt;&gt;"&amp;G367)&gt;0),"Design "&amp;E367&amp;" has another Product Type or Category on another row",IF(COUNTIFS($F$3:$F$1002,F367,$G$3:$G$1002,G367,$H$3:$H$1002,"&lt;&gt;"&amp;H367)&gt;0,F367&amp;" + "&amp;G367&amp;" has another HSN Code on another row",IF(AND(V367&lt;&gt;"",U367=""),"Received Qty needs the Vendor Invoice No",IF(AND(U367&lt;&gt;"",COUNTIFS(Bills!$B$3:$B$302,U367,Bills!$C$3:$C$302,C367)=0),"Add bill "&amp;U367&amp;" of "&amp;C367&amp;" on the Bills sheet",IF(S367&lt;R367,"MRP is below the Purchase Rate","OK")))))))))</f>
        <v/>
      </c>
      <c r="B367" s="29"/>
      <c r="C367" s="22"/>
      <c r="D367" s="22"/>
      <c r="E367" s="24"/>
      <c r="F367" s="22"/>
      <c r="G367" s="22"/>
      <c r="H367" s="22"/>
      <c r="I367" s="30" t="str">
        <f>IF(H367="","",IFERROR(INDEX(Codes!$B$2:$B$13,MATCH(H367,Codes!$A$2:$A$13,0)),""))</f>
        <v/>
      </c>
      <c r="J367" s="23"/>
      <c r="K367" s="23"/>
      <c r="L367" s="23"/>
      <c r="M367" s="23"/>
      <c r="N367" s="23"/>
      <c r="O367" s="23"/>
      <c r="P367" s="23"/>
      <c r="Q367" s="31"/>
      <c r="R367" s="32"/>
      <c r="S367" s="32"/>
      <c r="T367" s="33" t="str">
        <f t="shared" si="10"/>
        <v/>
      </c>
      <c r="U367" s="34"/>
      <c r="V367" s="35"/>
      <c r="W367" s="33" t="str">
        <f t="shared" si="11"/>
        <v/>
      </c>
    </row>
    <row r="368" spans="1:23" x14ac:dyDescent="0.35">
      <c r="A368" s="21" t="str">
        <f>IF(COUNTA(B368:H368,J368:S368,U368:V368)=0,"",IF((IF(B368="","PO Ref, ","")&amp;IF(C368="","Vendor, ","")&amp;IF(D368="","Store, ","")&amp;IF(F368="","Product Type, ","")&amp;IF(G368="","Category, ","")&amp;IF(H368="","HSN Code, ","")&amp;IF(Q368="","Qty, ","")&amp;IF(R368="","Purchase Rate, ","")&amp;IF(S368="","MRP, ",""))&lt;&gt;"","Missing: "&amp;LEFT(IF(B368="","PO Ref, ","")&amp;IF(C368="","Vendor, ","")&amp;IF(D368="","Store, ","")&amp;IF(F368="","Product Type, ","")&amp;IF(G368="","Category, ","")&amp;IF(H368="","HSN Code, ","")&amp;IF(Q368="","Qty, ","")&amp;IF(R368="","Purchase Rate, ","")&amp;IF(S368="","MRP, ",""),LEN(IF(B368="","PO Ref, ","")&amp;IF(C368="","Vendor, ","")&amp;IF(D368="","Store, ","")&amp;IF(F368="","Product Type, ","")&amp;IF(G368="","Category, ","")&amp;IF(H368="","HSN Code, ","")&amp;IF(Q368="","Qty, ","")&amp;IF(R368="","Purchase Rate, ","")&amp;IF(S368="","MRP, ",""))-2),IF(COUNTIF(Vendors!$B$3:$B$202,C368)=0,"Add vendor "&amp;C368&amp;" on the Vendors sheet",IF(ISNA(MATCH(H368,Codes!$A$2:$A$13,0)),"Pick the HSN Code from the list",IF(AND(E368&lt;&gt;"",COUNTIFS($C$3:$C$1002,C368,$E$3:$E$1002,E368,$F$3:$F$1002,"&lt;&gt;"&amp;F368)+COUNTIFS($C$3:$C$1002,C368,$E$3:$E$1002,E368,$G$3:$G$1002,"&lt;&gt;"&amp;G368)&gt;0),"Design "&amp;E368&amp;" has another Product Type or Category on another row",IF(COUNTIFS($F$3:$F$1002,F368,$G$3:$G$1002,G368,$H$3:$H$1002,"&lt;&gt;"&amp;H368)&gt;0,F368&amp;" + "&amp;G368&amp;" has another HSN Code on another row",IF(AND(V368&lt;&gt;"",U368=""),"Received Qty needs the Vendor Invoice No",IF(AND(U368&lt;&gt;"",COUNTIFS(Bills!$B$3:$B$302,U368,Bills!$C$3:$C$302,C368)=0),"Add bill "&amp;U368&amp;" of "&amp;C368&amp;" on the Bills sheet",IF(S368&lt;R368,"MRP is below the Purchase Rate","OK")))))))))</f>
        <v/>
      </c>
      <c r="B368" s="29"/>
      <c r="C368" s="22"/>
      <c r="D368" s="22"/>
      <c r="E368" s="24"/>
      <c r="F368" s="22"/>
      <c r="G368" s="22"/>
      <c r="H368" s="22"/>
      <c r="I368" s="30" t="str">
        <f>IF(H368="","",IFERROR(INDEX(Codes!$B$2:$B$13,MATCH(H368,Codes!$A$2:$A$13,0)),""))</f>
        <v/>
      </c>
      <c r="J368" s="23"/>
      <c r="K368" s="23"/>
      <c r="L368" s="23"/>
      <c r="M368" s="23"/>
      <c r="N368" s="23"/>
      <c r="O368" s="23"/>
      <c r="P368" s="23"/>
      <c r="Q368" s="31"/>
      <c r="R368" s="32"/>
      <c r="S368" s="32"/>
      <c r="T368" s="33" t="str">
        <f t="shared" si="10"/>
        <v/>
      </c>
      <c r="U368" s="34"/>
      <c r="V368" s="35"/>
      <c r="W368" s="33" t="str">
        <f t="shared" si="11"/>
        <v/>
      </c>
    </row>
    <row r="369" spans="1:23" x14ac:dyDescent="0.35">
      <c r="A369" s="21" t="str">
        <f>IF(COUNTA(B369:H369,J369:S369,U369:V369)=0,"",IF((IF(B369="","PO Ref, ","")&amp;IF(C369="","Vendor, ","")&amp;IF(D369="","Store, ","")&amp;IF(F369="","Product Type, ","")&amp;IF(G369="","Category, ","")&amp;IF(H369="","HSN Code, ","")&amp;IF(Q369="","Qty, ","")&amp;IF(R369="","Purchase Rate, ","")&amp;IF(S369="","MRP, ",""))&lt;&gt;"","Missing: "&amp;LEFT(IF(B369="","PO Ref, ","")&amp;IF(C369="","Vendor, ","")&amp;IF(D369="","Store, ","")&amp;IF(F369="","Product Type, ","")&amp;IF(G369="","Category, ","")&amp;IF(H369="","HSN Code, ","")&amp;IF(Q369="","Qty, ","")&amp;IF(R369="","Purchase Rate, ","")&amp;IF(S369="","MRP, ",""),LEN(IF(B369="","PO Ref, ","")&amp;IF(C369="","Vendor, ","")&amp;IF(D369="","Store, ","")&amp;IF(F369="","Product Type, ","")&amp;IF(G369="","Category, ","")&amp;IF(H369="","HSN Code, ","")&amp;IF(Q369="","Qty, ","")&amp;IF(R369="","Purchase Rate, ","")&amp;IF(S369="","MRP, ",""))-2),IF(COUNTIF(Vendors!$B$3:$B$202,C369)=0,"Add vendor "&amp;C369&amp;" on the Vendors sheet",IF(ISNA(MATCH(H369,Codes!$A$2:$A$13,0)),"Pick the HSN Code from the list",IF(AND(E369&lt;&gt;"",COUNTIFS($C$3:$C$1002,C369,$E$3:$E$1002,E369,$F$3:$F$1002,"&lt;&gt;"&amp;F369)+COUNTIFS($C$3:$C$1002,C369,$E$3:$E$1002,E369,$G$3:$G$1002,"&lt;&gt;"&amp;G369)&gt;0),"Design "&amp;E369&amp;" has another Product Type or Category on another row",IF(COUNTIFS($F$3:$F$1002,F369,$G$3:$G$1002,G369,$H$3:$H$1002,"&lt;&gt;"&amp;H369)&gt;0,F369&amp;" + "&amp;G369&amp;" has another HSN Code on another row",IF(AND(V369&lt;&gt;"",U369=""),"Received Qty needs the Vendor Invoice No",IF(AND(U369&lt;&gt;"",COUNTIFS(Bills!$B$3:$B$302,U369,Bills!$C$3:$C$302,C369)=0),"Add bill "&amp;U369&amp;" of "&amp;C369&amp;" on the Bills sheet",IF(S369&lt;R369,"MRP is below the Purchase Rate","OK")))))))))</f>
        <v/>
      </c>
      <c r="B369" s="29"/>
      <c r="C369" s="22"/>
      <c r="D369" s="22"/>
      <c r="E369" s="24"/>
      <c r="F369" s="22"/>
      <c r="G369" s="22"/>
      <c r="H369" s="22"/>
      <c r="I369" s="30" t="str">
        <f>IF(H369="","",IFERROR(INDEX(Codes!$B$2:$B$13,MATCH(H369,Codes!$A$2:$A$13,0)),""))</f>
        <v/>
      </c>
      <c r="J369" s="23"/>
      <c r="K369" s="23"/>
      <c r="L369" s="23"/>
      <c r="M369" s="23"/>
      <c r="N369" s="23"/>
      <c r="O369" s="23"/>
      <c r="P369" s="23"/>
      <c r="Q369" s="31"/>
      <c r="R369" s="32"/>
      <c r="S369" s="32"/>
      <c r="T369" s="33" t="str">
        <f t="shared" si="10"/>
        <v/>
      </c>
      <c r="U369" s="34"/>
      <c r="V369" s="35"/>
      <c r="W369" s="33" t="str">
        <f t="shared" si="11"/>
        <v/>
      </c>
    </row>
    <row r="370" spans="1:23" x14ac:dyDescent="0.35">
      <c r="A370" s="21" t="str">
        <f>IF(COUNTA(B370:H370,J370:S370,U370:V370)=0,"",IF((IF(B370="","PO Ref, ","")&amp;IF(C370="","Vendor, ","")&amp;IF(D370="","Store, ","")&amp;IF(F370="","Product Type, ","")&amp;IF(G370="","Category, ","")&amp;IF(H370="","HSN Code, ","")&amp;IF(Q370="","Qty, ","")&amp;IF(R370="","Purchase Rate, ","")&amp;IF(S370="","MRP, ",""))&lt;&gt;"","Missing: "&amp;LEFT(IF(B370="","PO Ref, ","")&amp;IF(C370="","Vendor, ","")&amp;IF(D370="","Store, ","")&amp;IF(F370="","Product Type, ","")&amp;IF(G370="","Category, ","")&amp;IF(H370="","HSN Code, ","")&amp;IF(Q370="","Qty, ","")&amp;IF(R370="","Purchase Rate, ","")&amp;IF(S370="","MRP, ",""),LEN(IF(B370="","PO Ref, ","")&amp;IF(C370="","Vendor, ","")&amp;IF(D370="","Store, ","")&amp;IF(F370="","Product Type, ","")&amp;IF(G370="","Category, ","")&amp;IF(H370="","HSN Code, ","")&amp;IF(Q370="","Qty, ","")&amp;IF(R370="","Purchase Rate, ","")&amp;IF(S370="","MRP, ",""))-2),IF(COUNTIF(Vendors!$B$3:$B$202,C370)=0,"Add vendor "&amp;C370&amp;" on the Vendors sheet",IF(ISNA(MATCH(H370,Codes!$A$2:$A$13,0)),"Pick the HSN Code from the list",IF(AND(E370&lt;&gt;"",COUNTIFS($C$3:$C$1002,C370,$E$3:$E$1002,E370,$F$3:$F$1002,"&lt;&gt;"&amp;F370)+COUNTIFS($C$3:$C$1002,C370,$E$3:$E$1002,E370,$G$3:$G$1002,"&lt;&gt;"&amp;G370)&gt;0),"Design "&amp;E370&amp;" has another Product Type or Category on another row",IF(COUNTIFS($F$3:$F$1002,F370,$G$3:$G$1002,G370,$H$3:$H$1002,"&lt;&gt;"&amp;H370)&gt;0,F370&amp;" + "&amp;G370&amp;" has another HSN Code on another row",IF(AND(V370&lt;&gt;"",U370=""),"Received Qty needs the Vendor Invoice No",IF(AND(U370&lt;&gt;"",COUNTIFS(Bills!$B$3:$B$302,U370,Bills!$C$3:$C$302,C370)=0),"Add bill "&amp;U370&amp;" of "&amp;C370&amp;" on the Bills sheet",IF(S370&lt;R370,"MRP is below the Purchase Rate","OK")))))))))</f>
        <v/>
      </c>
      <c r="B370" s="29"/>
      <c r="C370" s="22"/>
      <c r="D370" s="22"/>
      <c r="E370" s="24"/>
      <c r="F370" s="22"/>
      <c r="G370" s="22"/>
      <c r="H370" s="22"/>
      <c r="I370" s="30" t="str">
        <f>IF(H370="","",IFERROR(INDEX(Codes!$B$2:$B$13,MATCH(H370,Codes!$A$2:$A$13,0)),""))</f>
        <v/>
      </c>
      <c r="J370" s="23"/>
      <c r="K370" s="23"/>
      <c r="L370" s="23"/>
      <c r="M370" s="23"/>
      <c r="N370" s="23"/>
      <c r="O370" s="23"/>
      <c r="P370" s="23"/>
      <c r="Q370" s="31"/>
      <c r="R370" s="32"/>
      <c r="S370" s="32"/>
      <c r="T370" s="33" t="str">
        <f t="shared" si="10"/>
        <v/>
      </c>
      <c r="U370" s="34"/>
      <c r="V370" s="35"/>
      <c r="W370" s="33" t="str">
        <f t="shared" si="11"/>
        <v/>
      </c>
    </row>
    <row r="371" spans="1:23" x14ac:dyDescent="0.35">
      <c r="A371" s="21" t="str">
        <f>IF(COUNTA(B371:H371,J371:S371,U371:V371)=0,"",IF((IF(B371="","PO Ref, ","")&amp;IF(C371="","Vendor, ","")&amp;IF(D371="","Store, ","")&amp;IF(F371="","Product Type, ","")&amp;IF(G371="","Category, ","")&amp;IF(H371="","HSN Code, ","")&amp;IF(Q371="","Qty, ","")&amp;IF(R371="","Purchase Rate, ","")&amp;IF(S371="","MRP, ",""))&lt;&gt;"","Missing: "&amp;LEFT(IF(B371="","PO Ref, ","")&amp;IF(C371="","Vendor, ","")&amp;IF(D371="","Store, ","")&amp;IF(F371="","Product Type, ","")&amp;IF(G371="","Category, ","")&amp;IF(H371="","HSN Code, ","")&amp;IF(Q371="","Qty, ","")&amp;IF(R371="","Purchase Rate, ","")&amp;IF(S371="","MRP, ",""),LEN(IF(B371="","PO Ref, ","")&amp;IF(C371="","Vendor, ","")&amp;IF(D371="","Store, ","")&amp;IF(F371="","Product Type, ","")&amp;IF(G371="","Category, ","")&amp;IF(H371="","HSN Code, ","")&amp;IF(Q371="","Qty, ","")&amp;IF(R371="","Purchase Rate, ","")&amp;IF(S371="","MRP, ",""))-2),IF(COUNTIF(Vendors!$B$3:$B$202,C371)=0,"Add vendor "&amp;C371&amp;" on the Vendors sheet",IF(ISNA(MATCH(H371,Codes!$A$2:$A$13,0)),"Pick the HSN Code from the list",IF(AND(E371&lt;&gt;"",COUNTIFS($C$3:$C$1002,C371,$E$3:$E$1002,E371,$F$3:$F$1002,"&lt;&gt;"&amp;F371)+COUNTIFS($C$3:$C$1002,C371,$E$3:$E$1002,E371,$G$3:$G$1002,"&lt;&gt;"&amp;G371)&gt;0),"Design "&amp;E371&amp;" has another Product Type or Category on another row",IF(COUNTIFS($F$3:$F$1002,F371,$G$3:$G$1002,G371,$H$3:$H$1002,"&lt;&gt;"&amp;H371)&gt;0,F371&amp;" + "&amp;G371&amp;" has another HSN Code on another row",IF(AND(V371&lt;&gt;"",U371=""),"Received Qty needs the Vendor Invoice No",IF(AND(U371&lt;&gt;"",COUNTIFS(Bills!$B$3:$B$302,U371,Bills!$C$3:$C$302,C371)=0),"Add bill "&amp;U371&amp;" of "&amp;C371&amp;" on the Bills sheet",IF(S371&lt;R371,"MRP is below the Purchase Rate","OK")))))))))</f>
        <v/>
      </c>
      <c r="B371" s="29"/>
      <c r="C371" s="22"/>
      <c r="D371" s="22"/>
      <c r="E371" s="24"/>
      <c r="F371" s="22"/>
      <c r="G371" s="22"/>
      <c r="H371" s="22"/>
      <c r="I371" s="30" t="str">
        <f>IF(H371="","",IFERROR(INDEX(Codes!$B$2:$B$13,MATCH(H371,Codes!$A$2:$A$13,0)),""))</f>
        <v/>
      </c>
      <c r="J371" s="23"/>
      <c r="K371" s="23"/>
      <c r="L371" s="23"/>
      <c r="M371" s="23"/>
      <c r="N371" s="23"/>
      <c r="O371" s="23"/>
      <c r="P371" s="23"/>
      <c r="Q371" s="31"/>
      <c r="R371" s="32"/>
      <c r="S371" s="32"/>
      <c r="T371" s="33" t="str">
        <f t="shared" si="10"/>
        <v/>
      </c>
      <c r="U371" s="34"/>
      <c r="V371" s="35"/>
      <c r="W371" s="33" t="str">
        <f t="shared" si="11"/>
        <v/>
      </c>
    </row>
    <row r="372" spans="1:23" x14ac:dyDescent="0.35">
      <c r="A372" s="21" t="str">
        <f>IF(COUNTA(B372:H372,J372:S372,U372:V372)=0,"",IF((IF(B372="","PO Ref, ","")&amp;IF(C372="","Vendor, ","")&amp;IF(D372="","Store, ","")&amp;IF(F372="","Product Type, ","")&amp;IF(G372="","Category, ","")&amp;IF(H372="","HSN Code, ","")&amp;IF(Q372="","Qty, ","")&amp;IF(R372="","Purchase Rate, ","")&amp;IF(S372="","MRP, ",""))&lt;&gt;"","Missing: "&amp;LEFT(IF(B372="","PO Ref, ","")&amp;IF(C372="","Vendor, ","")&amp;IF(D372="","Store, ","")&amp;IF(F372="","Product Type, ","")&amp;IF(G372="","Category, ","")&amp;IF(H372="","HSN Code, ","")&amp;IF(Q372="","Qty, ","")&amp;IF(R372="","Purchase Rate, ","")&amp;IF(S372="","MRP, ",""),LEN(IF(B372="","PO Ref, ","")&amp;IF(C372="","Vendor, ","")&amp;IF(D372="","Store, ","")&amp;IF(F372="","Product Type, ","")&amp;IF(G372="","Category, ","")&amp;IF(H372="","HSN Code, ","")&amp;IF(Q372="","Qty, ","")&amp;IF(R372="","Purchase Rate, ","")&amp;IF(S372="","MRP, ",""))-2),IF(COUNTIF(Vendors!$B$3:$B$202,C372)=0,"Add vendor "&amp;C372&amp;" on the Vendors sheet",IF(ISNA(MATCH(H372,Codes!$A$2:$A$13,0)),"Pick the HSN Code from the list",IF(AND(E372&lt;&gt;"",COUNTIFS($C$3:$C$1002,C372,$E$3:$E$1002,E372,$F$3:$F$1002,"&lt;&gt;"&amp;F372)+COUNTIFS($C$3:$C$1002,C372,$E$3:$E$1002,E372,$G$3:$G$1002,"&lt;&gt;"&amp;G372)&gt;0),"Design "&amp;E372&amp;" has another Product Type or Category on another row",IF(COUNTIFS($F$3:$F$1002,F372,$G$3:$G$1002,G372,$H$3:$H$1002,"&lt;&gt;"&amp;H372)&gt;0,F372&amp;" + "&amp;G372&amp;" has another HSN Code on another row",IF(AND(V372&lt;&gt;"",U372=""),"Received Qty needs the Vendor Invoice No",IF(AND(U372&lt;&gt;"",COUNTIFS(Bills!$B$3:$B$302,U372,Bills!$C$3:$C$302,C372)=0),"Add bill "&amp;U372&amp;" of "&amp;C372&amp;" on the Bills sheet",IF(S372&lt;R372,"MRP is below the Purchase Rate","OK")))))))))</f>
        <v/>
      </c>
      <c r="B372" s="29"/>
      <c r="C372" s="22"/>
      <c r="D372" s="22"/>
      <c r="E372" s="24"/>
      <c r="F372" s="22"/>
      <c r="G372" s="22"/>
      <c r="H372" s="22"/>
      <c r="I372" s="30" t="str">
        <f>IF(H372="","",IFERROR(INDEX(Codes!$B$2:$B$13,MATCH(H372,Codes!$A$2:$A$13,0)),""))</f>
        <v/>
      </c>
      <c r="J372" s="23"/>
      <c r="K372" s="23"/>
      <c r="L372" s="23"/>
      <c r="M372" s="23"/>
      <c r="N372" s="23"/>
      <c r="O372" s="23"/>
      <c r="P372" s="23"/>
      <c r="Q372" s="31"/>
      <c r="R372" s="32"/>
      <c r="S372" s="32"/>
      <c r="T372" s="33" t="str">
        <f t="shared" si="10"/>
        <v/>
      </c>
      <c r="U372" s="34"/>
      <c r="V372" s="35"/>
      <c r="W372" s="33" t="str">
        <f t="shared" si="11"/>
        <v/>
      </c>
    </row>
    <row r="373" spans="1:23" x14ac:dyDescent="0.35">
      <c r="A373" s="21" t="str">
        <f>IF(COUNTA(B373:H373,J373:S373,U373:V373)=0,"",IF((IF(B373="","PO Ref, ","")&amp;IF(C373="","Vendor, ","")&amp;IF(D373="","Store, ","")&amp;IF(F373="","Product Type, ","")&amp;IF(G373="","Category, ","")&amp;IF(H373="","HSN Code, ","")&amp;IF(Q373="","Qty, ","")&amp;IF(R373="","Purchase Rate, ","")&amp;IF(S373="","MRP, ",""))&lt;&gt;"","Missing: "&amp;LEFT(IF(B373="","PO Ref, ","")&amp;IF(C373="","Vendor, ","")&amp;IF(D373="","Store, ","")&amp;IF(F373="","Product Type, ","")&amp;IF(G373="","Category, ","")&amp;IF(H373="","HSN Code, ","")&amp;IF(Q373="","Qty, ","")&amp;IF(R373="","Purchase Rate, ","")&amp;IF(S373="","MRP, ",""),LEN(IF(B373="","PO Ref, ","")&amp;IF(C373="","Vendor, ","")&amp;IF(D373="","Store, ","")&amp;IF(F373="","Product Type, ","")&amp;IF(G373="","Category, ","")&amp;IF(H373="","HSN Code, ","")&amp;IF(Q373="","Qty, ","")&amp;IF(R373="","Purchase Rate, ","")&amp;IF(S373="","MRP, ",""))-2),IF(COUNTIF(Vendors!$B$3:$B$202,C373)=0,"Add vendor "&amp;C373&amp;" on the Vendors sheet",IF(ISNA(MATCH(H373,Codes!$A$2:$A$13,0)),"Pick the HSN Code from the list",IF(AND(E373&lt;&gt;"",COUNTIFS($C$3:$C$1002,C373,$E$3:$E$1002,E373,$F$3:$F$1002,"&lt;&gt;"&amp;F373)+COUNTIFS($C$3:$C$1002,C373,$E$3:$E$1002,E373,$G$3:$G$1002,"&lt;&gt;"&amp;G373)&gt;0),"Design "&amp;E373&amp;" has another Product Type or Category on another row",IF(COUNTIFS($F$3:$F$1002,F373,$G$3:$G$1002,G373,$H$3:$H$1002,"&lt;&gt;"&amp;H373)&gt;0,F373&amp;" + "&amp;G373&amp;" has another HSN Code on another row",IF(AND(V373&lt;&gt;"",U373=""),"Received Qty needs the Vendor Invoice No",IF(AND(U373&lt;&gt;"",COUNTIFS(Bills!$B$3:$B$302,U373,Bills!$C$3:$C$302,C373)=0),"Add bill "&amp;U373&amp;" of "&amp;C373&amp;" on the Bills sheet",IF(S373&lt;R373,"MRP is below the Purchase Rate","OK")))))))))</f>
        <v/>
      </c>
      <c r="B373" s="29"/>
      <c r="C373" s="22"/>
      <c r="D373" s="22"/>
      <c r="E373" s="24"/>
      <c r="F373" s="22"/>
      <c r="G373" s="22"/>
      <c r="H373" s="22"/>
      <c r="I373" s="30" t="str">
        <f>IF(H373="","",IFERROR(INDEX(Codes!$B$2:$B$13,MATCH(H373,Codes!$A$2:$A$13,0)),""))</f>
        <v/>
      </c>
      <c r="J373" s="23"/>
      <c r="K373" s="23"/>
      <c r="L373" s="23"/>
      <c r="M373" s="23"/>
      <c r="N373" s="23"/>
      <c r="O373" s="23"/>
      <c r="P373" s="23"/>
      <c r="Q373" s="31"/>
      <c r="R373" s="32"/>
      <c r="S373" s="32"/>
      <c r="T373" s="33" t="str">
        <f t="shared" si="10"/>
        <v/>
      </c>
      <c r="U373" s="34"/>
      <c r="V373" s="35"/>
      <c r="W373" s="33" t="str">
        <f t="shared" si="11"/>
        <v/>
      </c>
    </row>
    <row r="374" spans="1:23" x14ac:dyDescent="0.35">
      <c r="A374" s="21" t="str">
        <f>IF(COUNTA(B374:H374,J374:S374,U374:V374)=0,"",IF((IF(B374="","PO Ref, ","")&amp;IF(C374="","Vendor, ","")&amp;IF(D374="","Store, ","")&amp;IF(F374="","Product Type, ","")&amp;IF(G374="","Category, ","")&amp;IF(H374="","HSN Code, ","")&amp;IF(Q374="","Qty, ","")&amp;IF(R374="","Purchase Rate, ","")&amp;IF(S374="","MRP, ",""))&lt;&gt;"","Missing: "&amp;LEFT(IF(B374="","PO Ref, ","")&amp;IF(C374="","Vendor, ","")&amp;IF(D374="","Store, ","")&amp;IF(F374="","Product Type, ","")&amp;IF(G374="","Category, ","")&amp;IF(H374="","HSN Code, ","")&amp;IF(Q374="","Qty, ","")&amp;IF(R374="","Purchase Rate, ","")&amp;IF(S374="","MRP, ",""),LEN(IF(B374="","PO Ref, ","")&amp;IF(C374="","Vendor, ","")&amp;IF(D374="","Store, ","")&amp;IF(F374="","Product Type, ","")&amp;IF(G374="","Category, ","")&amp;IF(H374="","HSN Code, ","")&amp;IF(Q374="","Qty, ","")&amp;IF(R374="","Purchase Rate, ","")&amp;IF(S374="","MRP, ",""))-2),IF(COUNTIF(Vendors!$B$3:$B$202,C374)=0,"Add vendor "&amp;C374&amp;" on the Vendors sheet",IF(ISNA(MATCH(H374,Codes!$A$2:$A$13,0)),"Pick the HSN Code from the list",IF(AND(E374&lt;&gt;"",COUNTIFS($C$3:$C$1002,C374,$E$3:$E$1002,E374,$F$3:$F$1002,"&lt;&gt;"&amp;F374)+COUNTIFS($C$3:$C$1002,C374,$E$3:$E$1002,E374,$G$3:$G$1002,"&lt;&gt;"&amp;G374)&gt;0),"Design "&amp;E374&amp;" has another Product Type or Category on another row",IF(COUNTIFS($F$3:$F$1002,F374,$G$3:$G$1002,G374,$H$3:$H$1002,"&lt;&gt;"&amp;H374)&gt;0,F374&amp;" + "&amp;G374&amp;" has another HSN Code on another row",IF(AND(V374&lt;&gt;"",U374=""),"Received Qty needs the Vendor Invoice No",IF(AND(U374&lt;&gt;"",COUNTIFS(Bills!$B$3:$B$302,U374,Bills!$C$3:$C$302,C374)=0),"Add bill "&amp;U374&amp;" of "&amp;C374&amp;" on the Bills sheet",IF(S374&lt;R374,"MRP is below the Purchase Rate","OK")))))))))</f>
        <v/>
      </c>
      <c r="B374" s="29"/>
      <c r="C374" s="22"/>
      <c r="D374" s="22"/>
      <c r="E374" s="24"/>
      <c r="F374" s="22"/>
      <c r="G374" s="22"/>
      <c r="H374" s="22"/>
      <c r="I374" s="30" t="str">
        <f>IF(H374="","",IFERROR(INDEX(Codes!$B$2:$B$13,MATCH(H374,Codes!$A$2:$A$13,0)),""))</f>
        <v/>
      </c>
      <c r="J374" s="23"/>
      <c r="K374" s="23"/>
      <c r="L374" s="23"/>
      <c r="M374" s="23"/>
      <c r="N374" s="23"/>
      <c r="O374" s="23"/>
      <c r="P374" s="23"/>
      <c r="Q374" s="31"/>
      <c r="R374" s="32"/>
      <c r="S374" s="32"/>
      <c r="T374" s="33" t="str">
        <f t="shared" si="10"/>
        <v/>
      </c>
      <c r="U374" s="34"/>
      <c r="V374" s="35"/>
      <c r="W374" s="33" t="str">
        <f t="shared" si="11"/>
        <v/>
      </c>
    </row>
    <row r="375" spans="1:23" x14ac:dyDescent="0.35">
      <c r="A375" s="21" t="str">
        <f>IF(COUNTA(B375:H375,J375:S375,U375:V375)=0,"",IF((IF(B375="","PO Ref, ","")&amp;IF(C375="","Vendor, ","")&amp;IF(D375="","Store, ","")&amp;IF(F375="","Product Type, ","")&amp;IF(G375="","Category, ","")&amp;IF(H375="","HSN Code, ","")&amp;IF(Q375="","Qty, ","")&amp;IF(R375="","Purchase Rate, ","")&amp;IF(S375="","MRP, ",""))&lt;&gt;"","Missing: "&amp;LEFT(IF(B375="","PO Ref, ","")&amp;IF(C375="","Vendor, ","")&amp;IF(D375="","Store, ","")&amp;IF(F375="","Product Type, ","")&amp;IF(G375="","Category, ","")&amp;IF(H375="","HSN Code, ","")&amp;IF(Q375="","Qty, ","")&amp;IF(R375="","Purchase Rate, ","")&amp;IF(S375="","MRP, ",""),LEN(IF(B375="","PO Ref, ","")&amp;IF(C375="","Vendor, ","")&amp;IF(D375="","Store, ","")&amp;IF(F375="","Product Type, ","")&amp;IF(G375="","Category, ","")&amp;IF(H375="","HSN Code, ","")&amp;IF(Q375="","Qty, ","")&amp;IF(R375="","Purchase Rate, ","")&amp;IF(S375="","MRP, ",""))-2),IF(COUNTIF(Vendors!$B$3:$B$202,C375)=0,"Add vendor "&amp;C375&amp;" on the Vendors sheet",IF(ISNA(MATCH(H375,Codes!$A$2:$A$13,0)),"Pick the HSN Code from the list",IF(AND(E375&lt;&gt;"",COUNTIFS($C$3:$C$1002,C375,$E$3:$E$1002,E375,$F$3:$F$1002,"&lt;&gt;"&amp;F375)+COUNTIFS($C$3:$C$1002,C375,$E$3:$E$1002,E375,$G$3:$G$1002,"&lt;&gt;"&amp;G375)&gt;0),"Design "&amp;E375&amp;" has another Product Type or Category on another row",IF(COUNTIFS($F$3:$F$1002,F375,$G$3:$G$1002,G375,$H$3:$H$1002,"&lt;&gt;"&amp;H375)&gt;0,F375&amp;" + "&amp;G375&amp;" has another HSN Code on another row",IF(AND(V375&lt;&gt;"",U375=""),"Received Qty needs the Vendor Invoice No",IF(AND(U375&lt;&gt;"",COUNTIFS(Bills!$B$3:$B$302,U375,Bills!$C$3:$C$302,C375)=0),"Add bill "&amp;U375&amp;" of "&amp;C375&amp;" on the Bills sheet",IF(S375&lt;R375,"MRP is below the Purchase Rate","OK")))))))))</f>
        <v/>
      </c>
      <c r="B375" s="29"/>
      <c r="C375" s="22"/>
      <c r="D375" s="22"/>
      <c r="E375" s="24"/>
      <c r="F375" s="22"/>
      <c r="G375" s="22"/>
      <c r="H375" s="22"/>
      <c r="I375" s="30" t="str">
        <f>IF(H375="","",IFERROR(INDEX(Codes!$B$2:$B$13,MATCH(H375,Codes!$A$2:$A$13,0)),""))</f>
        <v/>
      </c>
      <c r="J375" s="23"/>
      <c r="K375" s="23"/>
      <c r="L375" s="23"/>
      <c r="M375" s="23"/>
      <c r="N375" s="23"/>
      <c r="O375" s="23"/>
      <c r="P375" s="23"/>
      <c r="Q375" s="31"/>
      <c r="R375" s="32"/>
      <c r="S375" s="32"/>
      <c r="T375" s="33" t="str">
        <f t="shared" si="10"/>
        <v/>
      </c>
      <c r="U375" s="34"/>
      <c r="V375" s="35"/>
      <c r="W375" s="33" t="str">
        <f t="shared" si="11"/>
        <v/>
      </c>
    </row>
    <row r="376" spans="1:23" x14ac:dyDescent="0.35">
      <c r="A376" s="21" t="str">
        <f>IF(COUNTA(B376:H376,J376:S376,U376:V376)=0,"",IF((IF(B376="","PO Ref, ","")&amp;IF(C376="","Vendor, ","")&amp;IF(D376="","Store, ","")&amp;IF(F376="","Product Type, ","")&amp;IF(G376="","Category, ","")&amp;IF(H376="","HSN Code, ","")&amp;IF(Q376="","Qty, ","")&amp;IF(R376="","Purchase Rate, ","")&amp;IF(S376="","MRP, ",""))&lt;&gt;"","Missing: "&amp;LEFT(IF(B376="","PO Ref, ","")&amp;IF(C376="","Vendor, ","")&amp;IF(D376="","Store, ","")&amp;IF(F376="","Product Type, ","")&amp;IF(G376="","Category, ","")&amp;IF(H376="","HSN Code, ","")&amp;IF(Q376="","Qty, ","")&amp;IF(R376="","Purchase Rate, ","")&amp;IF(S376="","MRP, ",""),LEN(IF(B376="","PO Ref, ","")&amp;IF(C376="","Vendor, ","")&amp;IF(D376="","Store, ","")&amp;IF(F376="","Product Type, ","")&amp;IF(G376="","Category, ","")&amp;IF(H376="","HSN Code, ","")&amp;IF(Q376="","Qty, ","")&amp;IF(R376="","Purchase Rate, ","")&amp;IF(S376="","MRP, ",""))-2),IF(COUNTIF(Vendors!$B$3:$B$202,C376)=0,"Add vendor "&amp;C376&amp;" on the Vendors sheet",IF(ISNA(MATCH(H376,Codes!$A$2:$A$13,0)),"Pick the HSN Code from the list",IF(AND(E376&lt;&gt;"",COUNTIFS($C$3:$C$1002,C376,$E$3:$E$1002,E376,$F$3:$F$1002,"&lt;&gt;"&amp;F376)+COUNTIFS($C$3:$C$1002,C376,$E$3:$E$1002,E376,$G$3:$G$1002,"&lt;&gt;"&amp;G376)&gt;0),"Design "&amp;E376&amp;" has another Product Type or Category on another row",IF(COUNTIFS($F$3:$F$1002,F376,$G$3:$G$1002,G376,$H$3:$H$1002,"&lt;&gt;"&amp;H376)&gt;0,F376&amp;" + "&amp;G376&amp;" has another HSN Code on another row",IF(AND(V376&lt;&gt;"",U376=""),"Received Qty needs the Vendor Invoice No",IF(AND(U376&lt;&gt;"",COUNTIFS(Bills!$B$3:$B$302,U376,Bills!$C$3:$C$302,C376)=0),"Add bill "&amp;U376&amp;" of "&amp;C376&amp;" on the Bills sheet",IF(S376&lt;R376,"MRP is below the Purchase Rate","OK")))))))))</f>
        <v/>
      </c>
      <c r="B376" s="29"/>
      <c r="C376" s="22"/>
      <c r="D376" s="22"/>
      <c r="E376" s="24"/>
      <c r="F376" s="22"/>
      <c r="G376" s="22"/>
      <c r="H376" s="22"/>
      <c r="I376" s="30" t="str">
        <f>IF(H376="","",IFERROR(INDEX(Codes!$B$2:$B$13,MATCH(H376,Codes!$A$2:$A$13,0)),""))</f>
        <v/>
      </c>
      <c r="J376" s="23"/>
      <c r="K376" s="23"/>
      <c r="L376" s="23"/>
      <c r="M376" s="23"/>
      <c r="N376" s="23"/>
      <c r="O376" s="23"/>
      <c r="P376" s="23"/>
      <c r="Q376" s="31"/>
      <c r="R376" s="32"/>
      <c r="S376" s="32"/>
      <c r="T376" s="33" t="str">
        <f t="shared" si="10"/>
        <v/>
      </c>
      <c r="U376" s="34"/>
      <c r="V376" s="35"/>
      <c r="W376" s="33" t="str">
        <f t="shared" si="11"/>
        <v/>
      </c>
    </row>
    <row r="377" spans="1:23" x14ac:dyDescent="0.35">
      <c r="A377" s="21" t="str">
        <f>IF(COUNTA(B377:H377,J377:S377,U377:V377)=0,"",IF((IF(B377="","PO Ref, ","")&amp;IF(C377="","Vendor, ","")&amp;IF(D377="","Store, ","")&amp;IF(F377="","Product Type, ","")&amp;IF(G377="","Category, ","")&amp;IF(H377="","HSN Code, ","")&amp;IF(Q377="","Qty, ","")&amp;IF(R377="","Purchase Rate, ","")&amp;IF(S377="","MRP, ",""))&lt;&gt;"","Missing: "&amp;LEFT(IF(B377="","PO Ref, ","")&amp;IF(C377="","Vendor, ","")&amp;IF(D377="","Store, ","")&amp;IF(F377="","Product Type, ","")&amp;IF(G377="","Category, ","")&amp;IF(H377="","HSN Code, ","")&amp;IF(Q377="","Qty, ","")&amp;IF(R377="","Purchase Rate, ","")&amp;IF(S377="","MRP, ",""),LEN(IF(B377="","PO Ref, ","")&amp;IF(C377="","Vendor, ","")&amp;IF(D377="","Store, ","")&amp;IF(F377="","Product Type, ","")&amp;IF(G377="","Category, ","")&amp;IF(H377="","HSN Code, ","")&amp;IF(Q377="","Qty, ","")&amp;IF(R377="","Purchase Rate, ","")&amp;IF(S377="","MRP, ",""))-2),IF(COUNTIF(Vendors!$B$3:$B$202,C377)=0,"Add vendor "&amp;C377&amp;" on the Vendors sheet",IF(ISNA(MATCH(H377,Codes!$A$2:$A$13,0)),"Pick the HSN Code from the list",IF(AND(E377&lt;&gt;"",COUNTIFS($C$3:$C$1002,C377,$E$3:$E$1002,E377,$F$3:$F$1002,"&lt;&gt;"&amp;F377)+COUNTIFS($C$3:$C$1002,C377,$E$3:$E$1002,E377,$G$3:$G$1002,"&lt;&gt;"&amp;G377)&gt;0),"Design "&amp;E377&amp;" has another Product Type or Category on another row",IF(COUNTIFS($F$3:$F$1002,F377,$G$3:$G$1002,G377,$H$3:$H$1002,"&lt;&gt;"&amp;H377)&gt;0,F377&amp;" + "&amp;G377&amp;" has another HSN Code on another row",IF(AND(V377&lt;&gt;"",U377=""),"Received Qty needs the Vendor Invoice No",IF(AND(U377&lt;&gt;"",COUNTIFS(Bills!$B$3:$B$302,U377,Bills!$C$3:$C$302,C377)=0),"Add bill "&amp;U377&amp;" of "&amp;C377&amp;" on the Bills sheet",IF(S377&lt;R377,"MRP is below the Purchase Rate","OK")))))))))</f>
        <v/>
      </c>
      <c r="B377" s="29"/>
      <c r="C377" s="22"/>
      <c r="D377" s="22"/>
      <c r="E377" s="24"/>
      <c r="F377" s="22"/>
      <c r="G377" s="22"/>
      <c r="H377" s="22"/>
      <c r="I377" s="30" t="str">
        <f>IF(H377="","",IFERROR(INDEX(Codes!$B$2:$B$13,MATCH(H377,Codes!$A$2:$A$13,0)),""))</f>
        <v/>
      </c>
      <c r="J377" s="23"/>
      <c r="K377" s="23"/>
      <c r="L377" s="23"/>
      <c r="M377" s="23"/>
      <c r="N377" s="23"/>
      <c r="O377" s="23"/>
      <c r="P377" s="23"/>
      <c r="Q377" s="31"/>
      <c r="R377" s="32"/>
      <c r="S377" s="32"/>
      <c r="T377" s="33" t="str">
        <f t="shared" si="10"/>
        <v/>
      </c>
      <c r="U377" s="34"/>
      <c r="V377" s="35"/>
      <c r="W377" s="33" t="str">
        <f t="shared" si="11"/>
        <v/>
      </c>
    </row>
    <row r="378" spans="1:23" x14ac:dyDescent="0.35">
      <c r="A378" s="21" t="str">
        <f>IF(COUNTA(B378:H378,J378:S378,U378:V378)=0,"",IF((IF(B378="","PO Ref, ","")&amp;IF(C378="","Vendor, ","")&amp;IF(D378="","Store, ","")&amp;IF(F378="","Product Type, ","")&amp;IF(G378="","Category, ","")&amp;IF(H378="","HSN Code, ","")&amp;IF(Q378="","Qty, ","")&amp;IF(R378="","Purchase Rate, ","")&amp;IF(S378="","MRP, ",""))&lt;&gt;"","Missing: "&amp;LEFT(IF(B378="","PO Ref, ","")&amp;IF(C378="","Vendor, ","")&amp;IF(D378="","Store, ","")&amp;IF(F378="","Product Type, ","")&amp;IF(G378="","Category, ","")&amp;IF(H378="","HSN Code, ","")&amp;IF(Q378="","Qty, ","")&amp;IF(R378="","Purchase Rate, ","")&amp;IF(S378="","MRP, ",""),LEN(IF(B378="","PO Ref, ","")&amp;IF(C378="","Vendor, ","")&amp;IF(D378="","Store, ","")&amp;IF(F378="","Product Type, ","")&amp;IF(G378="","Category, ","")&amp;IF(H378="","HSN Code, ","")&amp;IF(Q378="","Qty, ","")&amp;IF(R378="","Purchase Rate, ","")&amp;IF(S378="","MRP, ",""))-2),IF(COUNTIF(Vendors!$B$3:$B$202,C378)=0,"Add vendor "&amp;C378&amp;" on the Vendors sheet",IF(ISNA(MATCH(H378,Codes!$A$2:$A$13,0)),"Pick the HSN Code from the list",IF(AND(E378&lt;&gt;"",COUNTIFS($C$3:$C$1002,C378,$E$3:$E$1002,E378,$F$3:$F$1002,"&lt;&gt;"&amp;F378)+COUNTIFS($C$3:$C$1002,C378,$E$3:$E$1002,E378,$G$3:$G$1002,"&lt;&gt;"&amp;G378)&gt;0),"Design "&amp;E378&amp;" has another Product Type or Category on another row",IF(COUNTIFS($F$3:$F$1002,F378,$G$3:$G$1002,G378,$H$3:$H$1002,"&lt;&gt;"&amp;H378)&gt;0,F378&amp;" + "&amp;G378&amp;" has another HSN Code on another row",IF(AND(V378&lt;&gt;"",U378=""),"Received Qty needs the Vendor Invoice No",IF(AND(U378&lt;&gt;"",COUNTIFS(Bills!$B$3:$B$302,U378,Bills!$C$3:$C$302,C378)=0),"Add bill "&amp;U378&amp;" of "&amp;C378&amp;" on the Bills sheet",IF(S378&lt;R378,"MRP is below the Purchase Rate","OK")))))))))</f>
        <v/>
      </c>
      <c r="B378" s="29"/>
      <c r="C378" s="22"/>
      <c r="D378" s="22"/>
      <c r="E378" s="24"/>
      <c r="F378" s="22"/>
      <c r="G378" s="22"/>
      <c r="H378" s="22"/>
      <c r="I378" s="30" t="str">
        <f>IF(H378="","",IFERROR(INDEX(Codes!$B$2:$B$13,MATCH(H378,Codes!$A$2:$A$13,0)),""))</f>
        <v/>
      </c>
      <c r="J378" s="23"/>
      <c r="K378" s="23"/>
      <c r="L378" s="23"/>
      <c r="M378" s="23"/>
      <c r="N378" s="23"/>
      <c r="O378" s="23"/>
      <c r="P378" s="23"/>
      <c r="Q378" s="31"/>
      <c r="R378" s="32"/>
      <c r="S378" s="32"/>
      <c r="T378" s="33" t="str">
        <f t="shared" si="10"/>
        <v/>
      </c>
      <c r="U378" s="34"/>
      <c r="V378" s="35"/>
      <c r="W378" s="33" t="str">
        <f t="shared" si="11"/>
        <v/>
      </c>
    </row>
    <row r="379" spans="1:23" x14ac:dyDescent="0.35">
      <c r="A379" s="21" t="str">
        <f>IF(COUNTA(B379:H379,J379:S379,U379:V379)=0,"",IF((IF(B379="","PO Ref, ","")&amp;IF(C379="","Vendor, ","")&amp;IF(D379="","Store, ","")&amp;IF(F379="","Product Type, ","")&amp;IF(G379="","Category, ","")&amp;IF(H379="","HSN Code, ","")&amp;IF(Q379="","Qty, ","")&amp;IF(R379="","Purchase Rate, ","")&amp;IF(S379="","MRP, ",""))&lt;&gt;"","Missing: "&amp;LEFT(IF(B379="","PO Ref, ","")&amp;IF(C379="","Vendor, ","")&amp;IF(D379="","Store, ","")&amp;IF(F379="","Product Type, ","")&amp;IF(G379="","Category, ","")&amp;IF(H379="","HSN Code, ","")&amp;IF(Q379="","Qty, ","")&amp;IF(R379="","Purchase Rate, ","")&amp;IF(S379="","MRP, ",""),LEN(IF(B379="","PO Ref, ","")&amp;IF(C379="","Vendor, ","")&amp;IF(D379="","Store, ","")&amp;IF(F379="","Product Type, ","")&amp;IF(G379="","Category, ","")&amp;IF(H379="","HSN Code, ","")&amp;IF(Q379="","Qty, ","")&amp;IF(R379="","Purchase Rate, ","")&amp;IF(S379="","MRP, ",""))-2),IF(COUNTIF(Vendors!$B$3:$B$202,C379)=0,"Add vendor "&amp;C379&amp;" on the Vendors sheet",IF(ISNA(MATCH(H379,Codes!$A$2:$A$13,0)),"Pick the HSN Code from the list",IF(AND(E379&lt;&gt;"",COUNTIFS($C$3:$C$1002,C379,$E$3:$E$1002,E379,$F$3:$F$1002,"&lt;&gt;"&amp;F379)+COUNTIFS($C$3:$C$1002,C379,$E$3:$E$1002,E379,$G$3:$G$1002,"&lt;&gt;"&amp;G379)&gt;0),"Design "&amp;E379&amp;" has another Product Type or Category on another row",IF(COUNTIFS($F$3:$F$1002,F379,$G$3:$G$1002,G379,$H$3:$H$1002,"&lt;&gt;"&amp;H379)&gt;0,F379&amp;" + "&amp;G379&amp;" has another HSN Code on another row",IF(AND(V379&lt;&gt;"",U379=""),"Received Qty needs the Vendor Invoice No",IF(AND(U379&lt;&gt;"",COUNTIFS(Bills!$B$3:$B$302,U379,Bills!$C$3:$C$302,C379)=0),"Add bill "&amp;U379&amp;" of "&amp;C379&amp;" on the Bills sheet",IF(S379&lt;R379,"MRP is below the Purchase Rate","OK")))))))))</f>
        <v/>
      </c>
      <c r="B379" s="29"/>
      <c r="C379" s="22"/>
      <c r="D379" s="22"/>
      <c r="E379" s="24"/>
      <c r="F379" s="22"/>
      <c r="G379" s="22"/>
      <c r="H379" s="22"/>
      <c r="I379" s="30" t="str">
        <f>IF(H379="","",IFERROR(INDEX(Codes!$B$2:$B$13,MATCH(H379,Codes!$A$2:$A$13,0)),""))</f>
        <v/>
      </c>
      <c r="J379" s="23"/>
      <c r="K379" s="23"/>
      <c r="L379" s="23"/>
      <c r="M379" s="23"/>
      <c r="N379" s="23"/>
      <c r="O379" s="23"/>
      <c r="P379" s="23"/>
      <c r="Q379" s="31"/>
      <c r="R379" s="32"/>
      <c r="S379" s="32"/>
      <c r="T379" s="33" t="str">
        <f t="shared" si="10"/>
        <v/>
      </c>
      <c r="U379" s="34"/>
      <c r="V379" s="35"/>
      <c r="W379" s="33" t="str">
        <f t="shared" si="11"/>
        <v/>
      </c>
    </row>
    <row r="380" spans="1:23" x14ac:dyDescent="0.35">
      <c r="A380" s="21" t="str">
        <f>IF(COUNTA(B380:H380,J380:S380,U380:V380)=0,"",IF((IF(B380="","PO Ref, ","")&amp;IF(C380="","Vendor, ","")&amp;IF(D380="","Store, ","")&amp;IF(F380="","Product Type, ","")&amp;IF(G380="","Category, ","")&amp;IF(H380="","HSN Code, ","")&amp;IF(Q380="","Qty, ","")&amp;IF(R380="","Purchase Rate, ","")&amp;IF(S380="","MRP, ",""))&lt;&gt;"","Missing: "&amp;LEFT(IF(B380="","PO Ref, ","")&amp;IF(C380="","Vendor, ","")&amp;IF(D380="","Store, ","")&amp;IF(F380="","Product Type, ","")&amp;IF(G380="","Category, ","")&amp;IF(H380="","HSN Code, ","")&amp;IF(Q380="","Qty, ","")&amp;IF(R380="","Purchase Rate, ","")&amp;IF(S380="","MRP, ",""),LEN(IF(B380="","PO Ref, ","")&amp;IF(C380="","Vendor, ","")&amp;IF(D380="","Store, ","")&amp;IF(F380="","Product Type, ","")&amp;IF(G380="","Category, ","")&amp;IF(H380="","HSN Code, ","")&amp;IF(Q380="","Qty, ","")&amp;IF(R380="","Purchase Rate, ","")&amp;IF(S380="","MRP, ",""))-2),IF(COUNTIF(Vendors!$B$3:$B$202,C380)=0,"Add vendor "&amp;C380&amp;" on the Vendors sheet",IF(ISNA(MATCH(H380,Codes!$A$2:$A$13,0)),"Pick the HSN Code from the list",IF(AND(E380&lt;&gt;"",COUNTIFS($C$3:$C$1002,C380,$E$3:$E$1002,E380,$F$3:$F$1002,"&lt;&gt;"&amp;F380)+COUNTIFS($C$3:$C$1002,C380,$E$3:$E$1002,E380,$G$3:$G$1002,"&lt;&gt;"&amp;G380)&gt;0),"Design "&amp;E380&amp;" has another Product Type or Category on another row",IF(COUNTIFS($F$3:$F$1002,F380,$G$3:$G$1002,G380,$H$3:$H$1002,"&lt;&gt;"&amp;H380)&gt;0,F380&amp;" + "&amp;G380&amp;" has another HSN Code on another row",IF(AND(V380&lt;&gt;"",U380=""),"Received Qty needs the Vendor Invoice No",IF(AND(U380&lt;&gt;"",COUNTIFS(Bills!$B$3:$B$302,U380,Bills!$C$3:$C$302,C380)=0),"Add bill "&amp;U380&amp;" of "&amp;C380&amp;" on the Bills sheet",IF(S380&lt;R380,"MRP is below the Purchase Rate","OK")))))))))</f>
        <v/>
      </c>
      <c r="B380" s="29"/>
      <c r="C380" s="22"/>
      <c r="D380" s="22"/>
      <c r="E380" s="24"/>
      <c r="F380" s="22"/>
      <c r="G380" s="22"/>
      <c r="H380" s="22"/>
      <c r="I380" s="30" t="str">
        <f>IF(H380="","",IFERROR(INDEX(Codes!$B$2:$B$13,MATCH(H380,Codes!$A$2:$A$13,0)),""))</f>
        <v/>
      </c>
      <c r="J380" s="23"/>
      <c r="K380" s="23"/>
      <c r="L380" s="23"/>
      <c r="M380" s="23"/>
      <c r="N380" s="23"/>
      <c r="O380" s="23"/>
      <c r="P380" s="23"/>
      <c r="Q380" s="31"/>
      <c r="R380" s="32"/>
      <c r="S380" s="32"/>
      <c r="T380" s="33" t="str">
        <f t="shared" si="10"/>
        <v/>
      </c>
      <c r="U380" s="34"/>
      <c r="V380" s="35"/>
      <c r="W380" s="33" t="str">
        <f t="shared" si="11"/>
        <v/>
      </c>
    </row>
    <row r="381" spans="1:23" x14ac:dyDescent="0.35">
      <c r="A381" s="21" t="str">
        <f>IF(COUNTA(B381:H381,J381:S381,U381:V381)=0,"",IF((IF(B381="","PO Ref, ","")&amp;IF(C381="","Vendor, ","")&amp;IF(D381="","Store, ","")&amp;IF(F381="","Product Type, ","")&amp;IF(G381="","Category, ","")&amp;IF(H381="","HSN Code, ","")&amp;IF(Q381="","Qty, ","")&amp;IF(R381="","Purchase Rate, ","")&amp;IF(S381="","MRP, ",""))&lt;&gt;"","Missing: "&amp;LEFT(IF(B381="","PO Ref, ","")&amp;IF(C381="","Vendor, ","")&amp;IF(D381="","Store, ","")&amp;IF(F381="","Product Type, ","")&amp;IF(G381="","Category, ","")&amp;IF(H381="","HSN Code, ","")&amp;IF(Q381="","Qty, ","")&amp;IF(R381="","Purchase Rate, ","")&amp;IF(S381="","MRP, ",""),LEN(IF(B381="","PO Ref, ","")&amp;IF(C381="","Vendor, ","")&amp;IF(D381="","Store, ","")&amp;IF(F381="","Product Type, ","")&amp;IF(G381="","Category, ","")&amp;IF(H381="","HSN Code, ","")&amp;IF(Q381="","Qty, ","")&amp;IF(R381="","Purchase Rate, ","")&amp;IF(S381="","MRP, ",""))-2),IF(COUNTIF(Vendors!$B$3:$B$202,C381)=0,"Add vendor "&amp;C381&amp;" on the Vendors sheet",IF(ISNA(MATCH(H381,Codes!$A$2:$A$13,0)),"Pick the HSN Code from the list",IF(AND(E381&lt;&gt;"",COUNTIFS($C$3:$C$1002,C381,$E$3:$E$1002,E381,$F$3:$F$1002,"&lt;&gt;"&amp;F381)+COUNTIFS($C$3:$C$1002,C381,$E$3:$E$1002,E381,$G$3:$G$1002,"&lt;&gt;"&amp;G381)&gt;0),"Design "&amp;E381&amp;" has another Product Type or Category on another row",IF(COUNTIFS($F$3:$F$1002,F381,$G$3:$G$1002,G381,$H$3:$H$1002,"&lt;&gt;"&amp;H381)&gt;0,F381&amp;" + "&amp;G381&amp;" has another HSN Code on another row",IF(AND(V381&lt;&gt;"",U381=""),"Received Qty needs the Vendor Invoice No",IF(AND(U381&lt;&gt;"",COUNTIFS(Bills!$B$3:$B$302,U381,Bills!$C$3:$C$302,C381)=0),"Add bill "&amp;U381&amp;" of "&amp;C381&amp;" on the Bills sheet",IF(S381&lt;R381,"MRP is below the Purchase Rate","OK")))))))))</f>
        <v/>
      </c>
      <c r="B381" s="29"/>
      <c r="C381" s="22"/>
      <c r="D381" s="22"/>
      <c r="E381" s="24"/>
      <c r="F381" s="22"/>
      <c r="G381" s="22"/>
      <c r="H381" s="22"/>
      <c r="I381" s="30" t="str">
        <f>IF(H381="","",IFERROR(INDEX(Codes!$B$2:$B$13,MATCH(H381,Codes!$A$2:$A$13,0)),""))</f>
        <v/>
      </c>
      <c r="J381" s="23"/>
      <c r="K381" s="23"/>
      <c r="L381" s="23"/>
      <c r="M381" s="23"/>
      <c r="N381" s="23"/>
      <c r="O381" s="23"/>
      <c r="P381" s="23"/>
      <c r="Q381" s="31"/>
      <c r="R381" s="32"/>
      <c r="S381" s="32"/>
      <c r="T381" s="33" t="str">
        <f t="shared" si="10"/>
        <v/>
      </c>
      <c r="U381" s="34"/>
      <c r="V381" s="35"/>
      <c r="W381" s="33" t="str">
        <f t="shared" si="11"/>
        <v/>
      </c>
    </row>
    <row r="382" spans="1:23" x14ac:dyDescent="0.35">
      <c r="A382" s="21" t="str">
        <f>IF(COUNTA(B382:H382,J382:S382,U382:V382)=0,"",IF((IF(B382="","PO Ref, ","")&amp;IF(C382="","Vendor, ","")&amp;IF(D382="","Store, ","")&amp;IF(F382="","Product Type, ","")&amp;IF(G382="","Category, ","")&amp;IF(H382="","HSN Code, ","")&amp;IF(Q382="","Qty, ","")&amp;IF(R382="","Purchase Rate, ","")&amp;IF(S382="","MRP, ",""))&lt;&gt;"","Missing: "&amp;LEFT(IF(B382="","PO Ref, ","")&amp;IF(C382="","Vendor, ","")&amp;IF(D382="","Store, ","")&amp;IF(F382="","Product Type, ","")&amp;IF(G382="","Category, ","")&amp;IF(H382="","HSN Code, ","")&amp;IF(Q382="","Qty, ","")&amp;IF(R382="","Purchase Rate, ","")&amp;IF(S382="","MRP, ",""),LEN(IF(B382="","PO Ref, ","")&amp;IF(C382="","Vendor, ","")&amp;IF(D382="","Store, ","")&amp;IF(F382="","Product Type, ","")&amp;IF(G382="","Category, ","")&amp;IF(H382="","HSN Code, ","")&amp;IF(Q382="","Qty, ","")&amp;IF(R382="","Purchase Rate, ","")&amp;IF(S382="","MRP, ",""))-2),IF(COUNTIF(Vendors!$B$3:$B$202,C382)=0,"Add vendor "&amp;C382&amp;" on the Vendors sheet",IF(ISNA(MATCH(H382,Codes!$A$2:$A$13,0)),"Pick the HSN Code from the list",IF(AND(E382&lt;&gt;"",COUNTIFS($C$3:$C$1002,C382,$E$3:$E$1002,E382,$F$3:$F$1002,"&lt;&gt;"&amp;F382)+COUNTIFS($C$3:$C$1002,C382,$E$3:$E$1002,E382,$G$3:$G$1002,"&lt;&gt;"&amp;G382)&gt;0),"Design "&amp;E382&amp;" has another Product Type or Category on another row",IF(COUNTIFS($F$3:$F$1002,F382,$G$3:$G$1002,G382,$H$3:$H$1002,"&lt;&gt;"&amp;H382)&gt;0,F382&amp;" + "&amp;G382&amp;" has another HSN Code on another row",IF(AND(V382&lt;&gt;"",U382=""),"Received Qty needs the Vendor Invoice No",IF(AND(U382&lt;&gt;"",COUNTIFS(Bills!$B$3:$B$302,U382,Bills!$C$3:$C$302,C382)=0),"Add bill "&amp;U382&amp;" of "&amp;C382&amp;" on the Bills sheet",IF(S382&lt;R382,"MRP is below the Purchase Rate","OK")))))))))</f>
        <v/>
      </c>
      <c r="B382" s="29"/>
      <c r="C382" s="22"/>
      <c r="D382" s="22"/>
      <c r="E382" s="24"/>
      <c r="F382" s="22"/>
      <c r="G382" s="22"/>
      <c r="H382" s="22"/>
      <c r="I382" s="30" t="str">
        <f>IF(H382="","",IFERROR(INDEX(Codes!$B$2:$B$13,MATCH(H382,Codes!$A$2:$A$13,0)),""))</f>
        <v/>
      </c>
      <c r="J382" s="23"/>
      <c r="K382" s="23"/>
      <c r="L382" s="23"/>
      <c r="M382" s="23"/>
      <c r="N382" s="23"/>
      <c r="O382" s="23"/>
      <c r="P382" s="23"/>
      <c r="Q382" s="31"/>
      <c r="R382" s="32"/>
      <c r="S382" s="32"/>
      <c r="T382" s="33" t="str">
        <f t="shared" si="10"/>
        <v/>
      </c>
      <c r="U382" s="34"/>
      <c r="V382" s="35"/>
      <c r="W382" s="33" t="str">
        <f t="shared" si="11"/>
        <v/>
      </c>
    </row>
    <row r="383" spans="1:23" x14ac:dyDescent="0.35">
      <c r="A383" s="21" t="str">
        <f>IF(COUNTA(B383:H383,J383:S383,U383:V383)=0,"",IF((IF(B383="","PO Ref, ","")&amp;IF(C383="","Vendor, ","")&amp;IF(D383="","Store, ","")&amp;IF(F383="","Product Type, ","")&amp;IF(G383="","Category, ","")&amp;IF(H383="","HSN Code, ","")&amp;IF(Q383="","Qty, ","")&amp;IF(R383="","Purchase Rate, ","")&amp;IF(S383="","MRP, ",""))&lt;&gt;"","Missing: "&amp;LEFT(IF(B383="","PO Ref, ","")&amp;IF(C383="","Vendor, ","")&amp;IF(D383="","Store, ","")&amp;IF(F383="","Product Type, ","")&amp;IF(G383="","Category, ","")&amp;IF(H383="","HSN Code, ","")&amp;IF(Q383="","Qty, ","")&amp;IF(R383="","Purchase Rate, ","")&amp;IF(S383="","MRP, ",""),LEN(IF(B383="","PO Ref, ","")&amp;IF(C383="","Vendor, ","")&amp;IF(D383="","Store, ","")&amp;IF(F383="","Product Type, ","")&amp;IF(G383="","Category, ","")&amp;IF(H383="","HSN Code, ","")&amp;IF(Q383="","Qty, ","")&amp;IF(R383="","Purchase Rate, ","")&amp;IF(S383="","MRP, ",""))-2),IF(COUNTIF(Vendors!$B$3:$B$202,C383)=0,"Add vendor "&amp;C383&amp;" on the Vendors sheet",IF(ISNA(MATCH(H383,Codes!$A$2:$A$13,0)),"Pick the HSN Code from the list",IF(AND(E383&lt;&gt;"",COUNTIFS($C$3:$C$1002,C383,$E$3:$E$1002,E383,$F$3:$F$1002,"&lt;&gt;"&amp;F383)+COUNTIFS($C$3:$C$1002,C383,$E$3:$E$1002,E383,$G$3:$G$1002,"&lt;&gt;"&amp;G383)&gt;0),"Design "&amp;E383&amp;" has another Product Type or Category on another row",IF(COUNTIFS($F$3:$F$1002,F383,$G$3:$G$1002,G383,$H$3:$H$1002,"&lt;&gt;"&amp;H383)&gt;0,F383&amp;" + "&amp;G383&amp;" has another HSN Code on another row",IF(AND(V383&lt;&gt;"",U383=""),"Received Qty needs the Vendor Invoice No",IF(AND(U383&lt;&gt;"",COUNTIFS(Bills!$B$3:$B$302,U383,Bills!$C$3:$C$302,C383)=0),"Add bill "&amp;U383&amp;" of "&amp;C383&amp;" on the Bills sheet",IF(S383&lt;R383,"MRP is below the Purchase Rate","OK")))))))))</f>
        <v/>
      </c>
      <c r="B383" s="29"/>
      <c r="C383" s="22"/>
      <c r="D383" s="22"/>
      <c r="E383" s="24"/>
      <c r="F383" s="22"/>
      <c r="G383" s="22"/>
      <c r="H383" s="22"/>
      <c r="I383" s="30" t="str">
        <f>IF(H383="","",IFERROR(INDEX(Codes!$B$2:$B$13,MATCH(H383,Codes!$A$2:$A$13,0)),""))</f>
        <v/>
      </c>
      <c r="J383" s="23"/>
      <c r="K383" s="23"/>
      <c r="L383" s="23"/>
      <c r="M383" s="23"/>
      <c r="N383" s="23"/>
      <c r="O383" s="23"/>
      <c r="P383" s="23"/>
      <c r="Q383" s="31"/>
      <c r="R383" s="32"/>
      <c r="S383" s="32"/>
      <c r="T383" s="33" t="str">
        <f t="shared" si="10"/>
        <v/>
      </c>
      <c r="U383" s="34"/>
      <c r="V383" s="35"/>
      <c r="W383" s="33" t="str">
        <f t="shared" si="11"/>
        <v/>
      </c>
    </row>
    <row r="384" spans="1:23" x14ac:dyDescent="0.35">
      <c r="A384" s="21" t="str">
        <f>IF(COUNTA(B384:H384,J384:S384,U384:V384)=0,"",IF((IF(B384="","PO Ref, ","")&amp;IF(C384="","Vendor, ","")&amp;IF(D384="","Store, ","")&amp;IF(F384="","Product Type, ","")&amp;IF(G384="","Category, ","")&amp;IF(H384="","HSN Code, ","")&amp;IF(Q384="","Qty, ","")&amp;IF(R384="","Purchase Rate, ","")&amp;IF(S384="","MRP, ",""))&lt;&gt;"","Missing: "&amp;LEFT(IF(B384="","PO Ref, ","")&amp;IF(C384="","Vendor, ","")&amp;IF(D384="","Store, ","")&amp;IF(F384="","Product Type, ","")&amp;IF(G384="","Category, ","")&amp;IF(H384="","HSN Code, ","")&amp;IF(Q384="","Qty, ","")&amp;IF(R384="","Purchase Rate, ","")&amp;IF(S384="","MRP, ",""),LEN(IF(B384="","PO Ref, ","")&amp;IF(C384="","Vendor, ","")&amp;IF(D384="","Store, ","")&amp;IF(F384="","Product Type, ","")&amp;IF(G384="","Category, ","")&amp;IF(H384="","HSN Code, ","")&amp;IF(Q384="","Qty, ","")&amp;IF(R384="","Purchase Rate, ","")&amp;IF(S384="","MRP, ",""))-2),IF(COUNTIF(Vendors!$B$3:$B$202,C384)=0,"Add vendor "&amp;C384&amp;" on the Vendors sheet",IF(ISNA(MATCH(H384,Codes!$A$2:$A$13,0)),"Pick the HSN Code from the list",IF(AND(E384&lt;&gt;"",COUNTIFS($C$3:$C$1002,C384,$E$3:$E$1002,E384,$F$3:$F$1002,"&lt;&gt;"&amp;F384)+COUNTIFS($C$3:$C$1002,C384,$E$3:$E$1002,E384,$G$3:$G$1002,"&lt;&gt;"&amp;G384)&gt;0),"Design "&amp;E384&amp;" has another Product Type or Category on another row",IF(COUNTIFS($F$3:$F$1002,F384,$G$3:$G$1002,G384,$H$3:$H$1002,"&lt;&gt;"&amp;H384)&gt;0,F384&amp;" + "&amp;G384&amp;" has another HSN Code on another row",IF(AND(V384&lt;&gt;"",U384=""),"Received Qty needs the Vendor Invoice No",IF(AND(U384&lt;&gt;"",COUNTIFS(Bills!$B$3:$B$302,U384,Bills!$C$3:$C$302,C384)=0),"Add bill "&amp;U384&amp;" of "&amp;C384&amp;" on the Bills sheet",IF(S384&lt;R384,"MRP is below the Purchase Rate","OK")))))))))</f>
        <v/>
      </c>
      <c r="B384" s="29"/>
      <c r="C384" s="22"/>
      <c r="D384" s="22"/>
      <c r="E384" s="24"/>
      <c r="F384" s="22"/>
      <c r="G384" s="22"/>
      <c r="H384" s="22"/>
      <c r="I384" s="30" t="str">
        <f>IF(H384="","",IFERROR(INDEX(Codes!$B$2:$B$13,MATCH(H384,Codes!$A$2:$A$13,0)),""))</f>
        <v/>
      </c>
      <c r="J384" s="23"/>
      <c r="K384" s="23"/>
      <c r="L384" s="23"/>
      <c r="M384" s="23"/>
      <c r="N384" s="23"/>
      <c r="O384" s="23"/>
      <c r="P384" s="23"/>
      <c r="Q384" s="31"/>
      <c r="R384" s="32"/>
      <c r="S384" s="32"/>
      <c r="T384" s="33" t="str">
        <f t="shared" si="10"/>
        <v/>
      </c>
      <c r="U384" s="34"/>
      <c r="V384" s="35"/>
      <c r="W384" s="33" t="str">
        <f t="shared" si="11"/>
        <v/>
      </c>
    </row>
    <row r="385" spans="1:23" x14ac:dyDescent="0.35">
      <c r="A385" s="21" t="str">
        <f>IF(COUNTA(B385:H385,J385:S385,U385:V385)=0,"",IF((IF(B385="","PO Ref, ","")&amp;IF(C385="","Vendor, ","")&amp;IF(D385="","Store, ","")&amp;IF(F385="","Product Type, ","")&amp;IF(G385="","Category, ","")&amp;IF(H385="","HSN Code, ","")&amp;IF(Q385="","Qty, ","")&amp;IF(R385="","Purchase Rate, ","")&amp;IF(S385="","MRP, ",""))&lt;&gt;"","Missing: "&amp;LEFT(IF(B385="","PO Ref, ","")&amp;IF(C385="","Vendor, ","")&amp;IF(D385="","Store, ","")&amp;IF(F385="","Product Type, ","")&amp;IF(G385="","Category, ","")&amp;IF(H385="","HSN Code, ","")&amp;IF(Q385="","Qty, ","")&amp;IF(R385="","Purchase Rate, ","")&amp;IF(S385="","MRP, ",""),LEN(IF(B385="","PO Ref, ","")&amp;IF(C385="","Vendor, ","")&amp;IF(D385="","Store, ","")&amp;IF(F385="","Product Type, ","")&amp;IF(G385="","Category, ","")&amp;IF(H385="","HSN Code, ","")&amp;IF(Q385="","Qty, ","")&amp;IF(R385="","Purchase Rate, ","")&amp;IF(S385="","MRP, ",""))-2),IF(COUNTIF(Vendors!$B$3:$B$202,C385)=0,"Add vendor "&amp;C385&amp;" on the Vendors sheet",IF(ISNA(MATCH(H385,Codes!$A$2:$A$13,0)),"Pick the HSN Code from the list",IF(AND(E385&lt;&gt;"",COUNTIFS($C$3:$C$1002,C385,$E$3:$E$1002,E385,$F$3:$F$1002,"&lt;&gt;"&amp;F385)+COUNTIFS($C$3:$C$1002,C385,$E$3:$E$1002,E385,$G$3:$G$1002,"&lt;&gt;"&amp;G385)&gt;0),"Design "&amp;E385&amp;" has another Product Type or Category on another row",IF(COUNTIFS($F$3:$F$1002,F385,$G$3:$G$1002,G385,$H$3:$H$1002,"&lt;&gt;"&amp;H385)&gt;0,F385&amp;" + "&amp;G385&amp;" has another HSN Code on another row",IF(AND(V385&lt;&gt;"",U385=""),"Received Qty needs the Vendor Invoice No",IF(AND(U385&lt;&gt;"",COUNTIFS(Bills!$B$3:$B$302,U385,Bills!$C$3:$C$302,C385)=0),"Add bill "&amp;U385&amp;" of "&amp;C385&amp;" on the Bills sheet",IF(S385&lt;R385,"MRP is below the Purchase Rate","OK")))))))))</f>
        <v/>
      </c>
      <c r="B385" s="29"/>
      <c r="C385" s="22"/>
      <c r="D385" s="22"/>
      <c r="E385" s="24"/>
      <c r="F385" s="22"/>
      <c r="G385" s="22"/>
      <c r="H385" s="22"/>
      <c r="I385" s="30" t="str">
        <f>IF(H385="","",IFERROR(INDEX(Codes!$B$2:$B$13,MATCH(H385,Codes!$A$2:$A$13,0)),""))</f>
        <v/>
      </c>
      <c r="J385" s="23"/>
      <c r="K385" s="23"/>
      <c r="L385" s="23"/>
      <c r="M385" s="23"/>
      <c r="N385" s="23"/>
      <c r="O385" s="23"/>
      <c r="P385" s="23"/>
      <c r="Q385" s="31"/>
      <c r="R385" s="32"/>
      <c r="S385" s="32"/>
      <c r="T385" s="33" t="str">
        <f t="shared" si="10"/>
        <v/>
      </c>
      <c r="U385" s="34"/>
      <c r="V385" s="35"/>
      <c r="W385" s="33" t="str">
        <f t="shared" si="11"/>
        <v/>
      </c>
    </row>
    <row r="386" spans="1:23" x14ac:dyDescent="0.35">
      <c r="A386" s="21" t="str">
        <f>IF(COUNTA(B386:H386,J386:S386,U386:V386)=0,"",IF((IF(B386="","PO Ref, ","")&amp;IF(C386="","Vendor, ","")&amp;IF(D386="","Store, ","")&amp;IF(F386="","Product Type, ","")&amp;IF(G386="","Category, ","")&amp;IF(H386="","HSN Code, ","")&amp;IF(Q386="","Qty, ","")&amp;IF(R386="","Purchase Rate, ","")&amp;IF(S386="","MRP, ",""))&lt;&gt;"","Missing: "&amp;LEFT(IF(B386="","PO Ref, ","")&amp;IF(C386="","Vendor, ","")&amp;IF(D386="","Store, ","")&amp;IF(F386="","Product Type, ","")&amp;IF(G386="","Category, ","")&amp;IF(H386="","HSN Code, ","")&amp;IF(Q386="","Qty, ","")&amp;IF(R386="","Purchase Rate, ","")&amp;IF(S386="","MRP, ",""),LEN(IF(B386="","PO Ref, ","")&amp;IF(C386="","Vendor, ","")&amp;IF(D386="","Store, ","")&amp;IF(F386="","Product Type, ","")&amp;IF(G386="","Category, ","")&amp;IF(H386="","HSN Code, ","")&amp;IF(Q386="","Qty, ","")&amp;IF(R386="","Purchase Rate, ","")&amp;IF(S386="","MRP, ",""))-2),IF(COUNTIF(Vendors!$B$3:$B$202,C386)=0,"Add vendor "&amp;C386&amp;" on the Vendors sheet",IF(ISNA(MATCH(H386,Codes!$A$2:$A$13,0)),"Pick the HSN Code from the list",IF(AND(E386&lt;&gt;"",COUNTIFS($C$3:$C$1002,C386,$E$3:$E$1002,E386,$F$3:$F$1002,"&lt;&gt;"&amp;F386)+COUNTIFS($C$3:$C$1002,C386,$E$3:$E$1002,E386,$G$3:$G$1002,"&lt;&gt;"&amp;G386)&gt;0),"Design "&amp;E386&amp;" has another Product Type or Category on another row",IF(COUNTIFS($F$3:$F$1002,F386,$G$3:$G$1002,G386,$H$3:$H$1002,"&lt;&gt;"&amp;H386)&gt;0,F386&amp;" + "&amp;G386&amp;" has another HSN Code on another row",IF(AND(V386&lt;&gt;"",U386=""),"Received Qty needs the Vendor Invoice No",IF(AND(U386&lt;&gt;"",COUNTIFS(Bills!$B$3:$B$302,U386,Bills!$C$3:$C$302,C386)=0),"Add bill "&amp;U386&amp;" of "&amp;C386&amp;" on the Bills sheet",IF(S386&lt;R386,"MRP is below the Purchase Rate","OK")))))))))</f>
        <v/>
      </c>
      <c r="B386" s="29"/>
      <c r="C386" s="22"/>
      <c r="D386" s="22"/>
      <c r="E386" s="24"/>
      <c r="F386" s="22"/>
      <c r="G386" s="22"/>
      <c r="H386" s="22"/>
      <c r="I386" s="30" t="str">
        <f>IF(H386="","",IFERROR(INDEX(Codes!$B$2:$B$13,MATCH(H386,Codes!$A$2:$A$13,0)),""))</f>
        <v/>
      </c>
      <c r="J386" s="23"/>
      <c r="K386" s="23"/>
      <c r="L386" s="23"/>
      <c r="M386" s="23"/>
      <c r="N386" s="23"/>
      <c r="O386" s="23"/>
      <c r="P386" s="23"/>
      <c r="Q386" s="31"/>
      <c r="R386" s="32"/>
      <c r="S386" s="32"/>
      <c r="T386" s="33" t="str">
        <f t="shared" si="10"/>
        <v/>
      </c>
      <c r="U386" s="34"/>
      <c r="V386" s="35"/>
      <c r="W386" s="33" t="str">
        <f t="shared" si="11"/>
        <v/>
      </c>
    </row>
    <row r="387" spans="1:23" x14ac:dyDescent="0.35">
      <c r="A387" s="21" t="str">
        <f>IF(COUNTA(B387:H387,J387:S387,U387:V387)=0,"",IF((IF(B387="","PO Ref, ","")&amp;IF(C387="","Vendor, ","")&amp;IF(D387="","Store, ","")&amp;IF(F387="","Product Type, ","")&amp;IF(G387="","Category, ","")&amp;IF(H387="","HSN Code, ","")&amp;IF(Q387="","Qty, ","")&amp;IF(R387="","Purchase Rate, ","")&amp;IF(S387="","MRP, ",""))&lt;&gt;"","Missing: "&amp;LEFT(IF(B387="","PO Ref, ","")&amp;IF(C387="","Vendor, ","")&amp;IF(D387="","Store, ","")&amp;IF(F387="","Product Type, ","")&amp;IF(G387="","Category, ","")&amp;IF(H387="","HSN Code, ","")&amp;IF(Q387="","Qty, ","")&amp;IF(R387="","Purchase Rate, ","")&amp;IF(S387="","MRP, ",""),LEN(IF(B387="","PO Ref, ","")&amp;IF(C387="","Vendor, ","")&amp;IF(D387="","Store, ","")&amp;IF(F387="","Product Type, ","")&amp;IF(G387="","Category, ","")&amp;IF(H387="","HSN Code, ","")&amp;IF(Q387="","Qty, ","")&amp;IF(R387="","Purchase Rate, ","")&amp;IF(S387="","MRP, ",""))-2),IF(COUNTIF(Vendors!$B$3:$B$202,C387)=0,"Add vendor "&amp;C387&amp;" on the Vendors sheet",IF(ISNA(MATCH(H387,Codes!$A$2:$A$13,0)),"Pick the HSN Code from the list",IF(AND(E387&lt;&gt;"",COUNTIFS($C$3:$C$1002,C387,$E$3:$E$1002,E387,$F$3:$F$1002,"&lt;&gt;"&amp;F387)+COUNTIFS($C$3:$C$1002,C387,$E$3:$E$1002,E387,$G$3:$G$1002,"&lt;&gt;"&amp;G387)&gt;0),"Design "&amp;E387&amp;" has another Product Type or Category on another row",IF(COUNTIFS($F$3:$F$1002,F387,$G$3:$G$1002,G387,$H$3:$H$1002,"&lt;&gt;"&amp;H387)&gt;0,F387&amp;" + "&amp;G387&amp;" has another HSN Code on another row",IF(AND(V387&lt;&gt;"",U387=""),"Received Qty needs the Vendor Invoice No",IF(AND(U387&lt;&gt;"",COUNTIFS(Bills!$B$3:$B$302,U387,Bills!$C$3:$C$302,C387)=0),"Add bill "&amp;U387&amp;" of "&amp;C387&amp;" on the Bills sheet",IF(S387&lt;R387,"MRP is below the Purchase Rate","OK")))))))))</f>
        <v/>
      </c>
      <c r="B387" s="29"/>
      <c r="C387" s="22"/>
      <c r="D387" s="22"/>
      <c r="E387" s="24"/>
      <c r="F387" s="22"/>
      <c r="G387" s="22"/>
      <c r="H387" s="22"/>
      <c r="I387" s="30" t="str">
        <f>IF(H387="","",IFERROR(INDEX(Codes!$B$2:$B$13,MATCH(H387,Codes!$A$2:$A$13,0)),""))</f>
        <v/>
      </c>
      <c r="J387" s="23"/>
      <c r="K387" s="23"/>
      <c r="L387" s="23"/>
      <c r="M387" s="23"/>
      <c r="N387" s="23"/>
      <c r="O387" s="23"/>
      <c r="P387" s="23"/>
      <c r="Q387" s="31"/>
      <c r="R387" s="32"/>
      <c r="S387" s="32"/>
      <c r="T387" s="33" t="str">
        <f t="shared" ref="T387:T450" si="12">IF(OR(Q387="",R387=""),"",Q387*R387)</f>
        <v/>
      </c>
      <c r="U387" s="34"/>
      <c r="V387" s="35"/>
      <c r="W387" s="33" t="str">
        <f t="shared" ref="W387:W450" si="13">IF(OR(U387="",R387=""),"",IF(V387="",Q387,V387)*R387)</f>
        <v/>
      </c>
    </row>
    <row r="388" spans="1:23" x14ac:dyDescent="0.35">
      <c r="A388" s="21" t="str">
        <f>IF(COUNTA(B388:H388,J388:S388,U388:V388)=0,"",IF((IF(B388="","PO Ref, ","")&amp;IF(C388="","Vendor, ","")&amp;IF(D388="","Store, ","")&amp;IF(F388="","Product Type, ","")&amp;IF(G388="","Category, ","")&amp;IF(H388="","HSN Code, ","")&amp;IF(Q388="","Qty, ","")&amp;IF(R388="","Purchase Rate, ","")&amp;IF(S388="","MRP, ",""))&lt;&gt;"","Missing: "&amp;LEFT(IF(B388="","PO Ref, ","")&amp;IF(C388="","Vendor, ","")&amp;IF(D388="","Store, ","")&amp;IF(F388="","Product Type, ","")&amp;IF(G388="","Category, ","")&amp;IF(H388="","HSN Code, ","")&amp;IF(Q388="","Qty, ","")&amp;IF(R388="","Purchase Rate, ","")&amp;IF(S388="","MRP, ",""),LEN(IF(B388="","PO Ref, ","")&amp;IF(C388="","Vendor, ","")&amp;IF(D388="","Store, ","")&amp;IF(F388="","Product Type, ","")&amp;IF(G388="","Category, ","")&amp;IF(H388="","HSN Code, ","")&amp;IF(Q388="","Qty, ","")&amp;IF(R388="","Purchase Rate, ","")&amp;IF(S388="","MRP, ",""))-2),IF(COUNTIF(Vendors!$B$3:$B$202,C388)=0,"Add vendor "&amp;C388&amp;" on the Vendors sheet",IF(ISNA(MATCH(H388,Codes!$A$2:$A$13,0)),"Pick the HSN Code from the list",IF(AND(E388&lt;&gt;"",COUNTIFS($C$3:$C$1002,C388,$E$3:$E$1002,E388,$F$3:$F$1002,"&lt;&gt;"&amp;F388)+COUNTIFS($C$3:$C$1002,C388,$E$3:$E$1002,E388,$G$3:$G$1002,"&lt;&gt;"&amp;G388)&gt;0),"Design "&amp;E388&amp;" has another Product Type or Category on another row",IF(COUNTIFS($F$3:$F$1002,F388,$G$3:$G$1002,G388,$H$3:$H$1002,"&lt;&gt;"&amp;H388)&gt;0,F388&amp;" + "&amp;G388&amp;" has another HSN Code on another row",IF(AND(V388&lt;&gt;"",U388=""),"Received Qty needs the Vendor Invoice No",IF(AND(U388&lt;&gt;"",COUNTIFS(Bills!$B$3:$B$302,U388,Bills!$C$3:$C$302,C388)=0),"Add bill "&amp;U388&amp;" of "&amp;C388&amp;" on the Bills sheet",IF(S388&lt;R388,"MRP is below the Purchase Rate","OK")))))))))</f>
        <v/>
      </c>
      <c r="B388" s="29"/>
      <c r="C388" s="22"/>
      <c r="D388" s="22"/>
      <c r="E388" s="24"/>
      <c r="F388" s="22"/>
      <c r="G388" s="22"/>
      <c r="H388" s="22"/>
      <c r="I388" s="30" t="str">
        <f>IF(H388="","",IFERROR(INDEX(Codes!$B$2:$B$13,MATCH(H388,Codes!$A$2:$A$13,0)),""))</f>
        <v/>
      </c>
      <c r="J388" s="23"/>
      <c r="K388" s="23"/>
      <c r="L388" s="23"/>
      <c r="M388" s="23"/>
      <c r="N388" s="23"/>
      <c r="O388" s="23"/>
      <c r="P388" s="23"/>
      <c r="Q388" s="31"/>
      <c r="R388" s="32"/>
      <c r="S388" s="32"/>
      <c r="T388" s="33" t="str">
        <f t="shared" si="12"/>
        <v/>
      </c>
      <c r="U388" s="34"/>
      <c r="V388" s="35"/>
      <c r="W388" s="33" t="str">
        <f t="shared" si="13"/>
        <v/>
      </c>
    </row>
    <row r="389" spans="1:23" x14ac:dyDescent="0.35">
      <c r="A389" s="21" t="str">
        <f>IF(COUNTA(B389:H389,J389:S389,U389:V389)=0,"",IF((IF(B389="","PO Ref, ","")&amp;IF(C389="","Vendor, ","")&amp;IF(D389="","Store, ","")&amp;IF(F389="","Product Type, ","")&amp;IF(G389="","Category, ","")&amp;IF(H389="","HSN Code, ","")&amp;IF(Q389="","Qty, ","")&amp;IF(R389="","Purchase Rate, ","")&amp;IF(S389="","MRP, ",""))&lt;&gt;"","Missing: "&amp;LEFT(IF(B389="","PO Ref, ","")&amp;IF(C389="","Vendor, ","")&amp;IF(D389="","Store, ","")&amp;IF(F389="","Product Type, ","")&amp;IF(G389="","Category, ","")&amp;IF(H389="","HSN Code, ","")&amp;IF(Q389="","Qty, ","")&amp;IF(R389="","Purchase Rate, ","")&amp;IF(S389="","MRP, ",""),LEN(IF(B389="","PO Ref, ","")&amp;IF(C389="","Vendor, ","")&amp;IF(D389="","Store, ","")&amp;IF(F389="","Product Type, ","")&amp;IF(G389="","Category, ","")&amp;IF(H389="","HSN Code, ","")&amp;IF(Q389="","Qty, ","")&amp;IF(R389="","Purchase Rate, ","")&amp;IF(S389="","MRP, ",""))-2),IF(COUNTIF(Vendors!$B$3:$B$202,C389)=0,"Add vendor "&amp;C389&amp;" on the Vendors sheet",IF(ISNA(MATCH(H389,Codes!$A$2:$A$13,0)),"Pick the HSN Code from the list",IF(AND(E389&lt;&gt;"",COUNTIFS($C$3:$C$1002,C389,$E$3:$E$1002,E389,$F$3:$F$1002,"&lt;&gt;"&amp;F389)+COUNTIFS($C$3:$C$1002,C389,$E$3:$E$1002,E389,$G$3:$G$1002,"&lt;&gt;"&amp;G389)&gt;0),"Design "&amp;E389&amp;" has another Product Type or Category on another row",IF(COUNTIFS($F$3:$F$1002,F389,$G$3:$G$1002,G389,$H$3:$H$1002,"&lt;&gt;"&amp;H389)&gt;0,F389&amp;" + "&amp;G389&amp;" has another HSN Code on another row",IF(AND(V389&lt;&gt;"",U389=""),"Received Qty needs the Vendor Invoice No",IF(AND(U389&lt;&gt;"",COUNTIFS(Bills!$B$3:$B$302,U389,Bills!$C$3:$C$302,C389)=0),"Add bill "&amp;U389&amp;" of "&amp;C389&amp;" on the Bills sheet",IF(S389&lt;R389,"MRP is below the Purchase Rate","OK")))))))))</f>
        <v/>
      </c>
      <c r="B389" s="29"/>
      <c r="C389" s="22"/>
      <c r="D389" s="22"/>
      <c r="E389" s="24"/>
      <c r="F389" s="22"/>
      <c r="G389" s="22"/>
      <c r="H389" s="22"/>
      <c r="I389" s="30" t="str">
        <f>IF(H389="","",IFERROR(INDEX(Codes!$B$2:$B$13,MATCH(H389,Codes!$A$2:$A$13,0)),""))</f>
        <v/>
      </c>
      <c r="J389" s="23"/>
      <c r="K389" s="23"/>
      <c r="L389" s="23"/>
      <c r="M389" s="23"/>
      <c r="N389" s="23"/>
      <c r="O389" s="23"/>
      <c r="P389" s="23"/>
      <c r="Q389" s="31"/>
      <c r="R389" s="32"/>
      <c r="S389" s="32"/>
      <c r="T389" s="33" t="str">
        <f t="shared" si="12"/>
        <v/>
      </c>
      <c r="U389" s="34"/>
      <c r="V389" s="35"/>
      <c r="W389" s="33" t="str">
        <f t="shared" si="13"/>
        <v/>
      </c>
    </row>
    <row r="390" spans="1:23" x14ac:dyDescent="0.35">
      <c r="A390" s="21" t="str">
        <f>IF(COUNTA(B390:H390,J390:S390,U390:V390)=0,"",IF((IF(B390="","PO Ref, ","")&amp;IF(C390="","Vendor, ","")&amp;IF(D390="","Store, ","")&amp;IF(F390="","Product Type, ","")&amp;IF(G390="","Category, ","")&amp;IF(H390="","HSN Code, ","")&amp;IF(Q390="","Qty, ","")&amp;IF(R390="","Purchase Rate, ","")&amp;IF(S390="","MRP, ",""))&lt;&gt;"","Missing: "&amp;LEFT(IF(B390="","PO Ref, ","")&amp;IF(C390="","Vendor, ","")&amp;IF(D390="","Store, ","")&amp;IF(F390="","Product Type, ","")&amp;IF(G390="","Category, ","")&amp;IF(H390="","HSN Code, ","")&amp;IF(Q390="","Qty, ","")&amp;IF(R390="","Purchase Rate, ","")&amp;IF(S390="","MRP, ",""),LEN(IF(B390="","PO Ref, ","")&amp;IF(C390="","Vendor, ","")&amp;IF(D390="","Store, ","")&amp;IF(F390="","Product Type, ","")&amp;IF(G390="","Category, ","")&amp;IF(H390="","HSN Code, ","")&amp;IF(Q390="","Qty, ","")&amp;IF(R390="","Purchase Rate, ","")&amp;IF(S390="","MRP, ",""))-2),IF(COUNTIF(Vendors!$B$3:$B$202,C390)=0,"Add vendor "&amp;C390&amp;" on the Vendors sheet",IF(ISNA(MATCH(H390,Codes!$A$2:$A$13,0)),"Pick the HSN Code from the list",IF(AND(E390&lt;&gt;"",COUNTIFS($C$3:$C$1002,C390,$E$3:$E$1002,E390,$F$3:$F$1002,"&lt;&gt;"&amp;F390)+COUNTIFS($C$3:$C$1002,C390,$E$3:$E$1002,E390,$G$3:$G$1002,"&lt;&gt;"&amp;G390)&gt;0),"Design "&amp;E390&amp;" has another Product Type or Category on another row",IF(COUNTIFS($F$3:$F$1002,F390,$G$3:$G$1002,G390,$H$3:$H$1002,"&lt;&gt;"&amp;H390)&gt;0,F390&amp;" + "&amp;G390&amp;" has another HSN Code on another row",IF(AND(V390&lt;&gt;"",U390=""),"Received Qty needs the Vendor Invoice No",IF(AND(U390&lt;&gt;"",COUNTIFS(Bills!$B$3:$B$302,U390,Bills!$C$3:$C$302,C390)=0),"Add bill "&amp;U390&amp;" of "&amp;C390&amp;" on the Bills sheet",IF(S390&lt;R390,"MRP is below the Purchase Rate","OK")))))))))</f>
        <v/>
      </c>
      <c r="B390" s="29"/>
      <c r="C390" s="22"/>
      <c r="D390" s="22"/>
      <c r="E390" s="24"/>
      <c r="F390" s="22"/>
      <c r="G390" s="22"/>
      <c r="H390" s="22"/>
      <c r="I390" s="30" t="str">
        <f>IF(H390="","",IFERROR(INDEX(Codes!$B$2:$B$13,MATCH(H390,Codes!$A$2:$A$13,0)),""))</f>
        <v/>
      </c>
      <c r="J390" s="23"/>
      <c r="K390" s="23"/>
      <c r="L390" s="23"/>
      <c r="M390" s="23"/>
      <c r="N390" s="23"/>
      <c r="O390" s="23"/>
      <c r="P390" s="23"/>
      <c r="Q390" s="31"/>
      <c r="R390" s="32"/>
      <c r="S390" s="32"/>
      <c r="T390" s="33" t="str">
        <f t="shared" si="12"/>
        <v/>
      </c>
      <c r="U390" s="34"/>
      <c r="V390" s="35"/>
      <c r="W390" s="33" t="str">
        <f t="shared" si="13"/>
        <v/>
      </c>
    </row>
    <row r="391" spans="1:23" x14ac:dyDescent="0.35">
      <c r="A391" s="21" t="str">
        <f>IF(COUNTA(B391:H391,J391:S391,U391:V391)=0,"",IF((IF(B391="","PO Ref, ","")&amp;IF(C391="","Vendor, ","")&amp;IF(D391="","Store, ","")&amp;IF(F391="","Product Type, ","")&amp;IF(G391="","Category, ","")&amp;IF(H391="","HSN Code, ","")&amp;IF(Q391="","Qty, ","")&amp;IF(R391="","Purchase Rate, ","")&amp;IF(S391="","MRP, ",""))&lt;&gt;"","Missing: "&amp;LEFT(IF(B391="","PO Ref, ","")&amp;IF(C391="","Vendor, ","")&amp;IF(D391="","Store, ","")&amp;IF(F391="","Product Type, ","")&amp;IF(G391="","Category, ","")&amp;IF(H391="","HSN Code, ","")&amp;IF(Q391="","Qty, ","")&amp;IF(R391="","Purchase Rate, ","")&amp;IF(S391="","MRP, ",""),LEN(IF(B391="","PO Ref, ","")&amp;IF(C391="","Vendor, ","")&amp;IF(D391="","Store, ","")&amp;IF(F391="","Product Type, ","")&amp;IF(G391="","Category, ","")&amp;IF(H391="","HSN Code, ","")&amp;IF(Q391="","Qty, ","")&amp;IF(R391="","Purchase Rate, ","")&amp;IF(S391="","MRP, ",""))-2),IF(COUNTIF(Vendors!$B$3:$B$202,C391)=0,"Add vendor "&amp;C391&amp;" on the Vendors sheet",IF(ISNA(MATCH(H391,Codes!$A$2:$A$13,0)),"Pick the HSN Code from the list",IF(AND(E391&lt;&gt;"",COUNTIFS($C$3:$C$1002,C391,$E$3:$E$1002,E391,$F$3:$F$1002,"&lt;&gt;"&amp;F391)+COUNTIFS($C$3:$C$1002,C391,$E$3:$E$1002,E391,$G$3:$G$1002,"&lt;&gt;"&amp;G391)&gt;0),"Design "&amp;E391&amp;" has another Product Type or Category on another row",IF(COUNTIFS($F$3:$F$1002,F391,$G$3:$G$1002,G391,$H$3:$H$1002,"&lt;&gt;"&amp;H391)&gt;0,F391&amp;" + "&amp;G391&amp;" has another HSN Code on another row",IF(AND(V391&lt;&gt;"",U391=""),"Received Qty needs the Vendor Invoice No",IF(AND(U391&lt;&gt;"",COUNTIFS(Bills!$B$3:$B$302,U391,Bills!$C$3:$C$302,C391)=0),"Add bill "&amp;U391&amp;" of "&amp;C391&amp;" on the Bills sheet",IF(S391&lt;R391,"MRP is below the Purchase Rate","OK")))))))))</f>
        <v/>
      </c>
      <c r="B391" s="29"/>
      <c r="C391" s="22"/>
      <c r="D391" s="22"/>
      <c r="E391" s="24"/>
      <c r="F391" s="22"/>
      <c r="G391" s="22"/>
      <c r="H391" s="22"/>
      <c r="I391" s="30" t="str">
        <f>IF(H391="","",IFERROR(INDEX(Codes!$B$2:$B$13,MATCH(H391,Codes!$A$2:$A$13,0)),""))</f>
        <v/>
      </c>
      <c r="J391" s="23"/>
      <c r="K391" s="23"/>
      <c r="L391" s="23"/>
      <c r="M391" s="23"/>
      <c r="N391" s="23"/>
      <c r="O391" s="23"/>
      <c r="P391" s="23"/>
      <c r="Q391" s="31"/>
      <c r="R391" s="32"/>
      <c r="S391" s="32"/>
      <c r="T391" s="33" t="str">
        <f t="shared" si="12"/>
        <v/>
      </c>
      <c r="U391" s="34"/>
      <c r="V391" s="35"/>
      <c r="W391" s="33" t="str">
        <f t="shared" si="13"/>
        <v/>
      </c>
    </row>
    <row r="392" spans="1:23" x14ac:dyDescent="0.35">
      <c r="A392" s="21" t="str">
        <f>IF(COUNTA(B392:H392,J392:S392,U392:V392)=0,"",IF((IF(B392="","PO Ref, ","")&amp;IF(C392="","Vendor, ","")&amp;IF(D392="","Store, ","")&amp;IF(F392="","Product Type, ","")&amp;IF(G392="","Category, ","")&amp;IF(H392="","HSN Code, ","")&amp;IF(Q392="","Qty, ","")&amp;IF(R392="","Purchase Rate, ","")&amp;IF(S392="","MRP, ",""))&lt;&gt;"","Missing: "&amp;LEFT(IF(B392="","PO Ref, ","")&amp;IF(C392="","Vendor, ","")&amp;IF(D392="","Store, ","")&amp;IF(F392="","Product Type, ","")&amp;IF(G392="","Category, ","")&amp;IF(H392="","HSN Code, ","")&amp;IF(Q392="","Qty, ","")&amp;IF(R392="","Purchase Rate, ","")&amp;IF(S392="","MRP, ",""),LEN(IF(B392="","PO Ref, ","")&amp;IF(C392="","Vendor, ","")&amp;IF(D392="","Store, ","")&amp;IF(F392="","Product Type, ","")&amp;IF(G392="","Category, ","")&amp;IF(H392="","HSN Code, ","")&amp;IF(Q392="","Qty, ","")&amp;IF(R392="","Purchase Rate, ","")&amp;IF(S392="","MRP, ",""))-2),IF(COUNTIF(Vendors!$B$3:$B$202,C392)=0,"Add vendor "&amp;C392&amp;" on the Vendors sheet",IF(ISNA(MATCH(H392,Codes!$A$2:$A$13,0)),"Pick the HSN Code from the list",IF(AND(E392&lt;&gt;"",COUNTIFS($C$3:$C$1002,C392,$E$3:$E$1002,E392,$F$3:$F$1002,"&lt;&gt;"&amp;F392)+COUNTIFS($C$3:$C$1002,C392,$E$3:$E$1002,E392,$G$3:$G$1002,"&lt;&gt;"&amp;G392)&gt;0),"Design "&amp;E392&amp;" has another Product Type or Category on another row",IF(COUNTIFS($F$3:$F$1002,F392,$G$3:$G$1002,G392,$H$3:$H$1002,"&lt;&gt;"&amp;H392)&gt;0,F392&amp;" + "&amp;G392&amp;" has another HSN Code on another row",IF(AND(V392&lt;&gt;"",U392=""),"Received Qty needs the Vendor Invoice No",IF(AND(U392&lt;&gt;"",COUNTIFS(Bills!$B$3:$B$302,U392,Bills!$C$3:$C$302,C392)=0),"Add bill "&amp;U392&amp;" of "&amp;C392&amp;" on the Bills sheet",IF(S392&lt;R392,"MRP is below the Purchase Rate","OK")))))))))</f>
        <v/>
      </c>
      <c r="B392" s="29"/>
      <c r="C392" s="22"/>
      <c r="D392" s="22"/>
      <c r="E392" s="24"/>
      <c r="F392" s="22"/>
      <c r="G392" s="22"/>
      <c r="H392" s="22"/>
      <c r="I392" s="30" t="str">
        <f>IF(H392="","",IFERROR(INDEX(Codes!$B$2:$B$13,MATCH(H392,Codes!$A$2:$A$13,0)),""))</f>
        <v/>
      </c>
      <c r="J392" s="23"/>
      <c r="K392" s="23"/>
      <c r="L392" s="23"/>
      <c r="M392" s="23"/>
      <c r="N392" s="23"/>
      <c r="O392" s="23"/>
      <c r="P392" s="23"/>
      <c r="Q392" s="31"/>
      <c r="R392" s="32"/>
      <c r="S392" s="32"/>
      <c r="T392" s="33" t="str">
        <f t="shared" si="12"/>
        <v/>
      </c>
      <c r="U392" s="34"/>
      <c r="V392" s="35"/>
      <c r="W392" s="33" t="str">
        <f t="shared" si="13"/>
        <v/>
      </c>
    </row>
    <row r="393" spans="1:23" x14ac:dyDescent="0.35">
      <c r="A393" s="21" t="str">
        <f>IF(COUNTA(B393:H393,J393:S393,U393:V393)=0,"",IF((IF(B393="","PO Ref, ","")&amp;IF(C393="","Vendor, ","")&amp;IF(D393="","Store, ","")&amp;IF(F393="","Product Type, ","")&amp;IF(G393="","Category, ","")&amp;IF(H393="","HSN Code, ","")&amp;IF(Q393="","Qty, ","")&amp;IF(R393="","Purchase Rate, ","")&amp;IF(S393="","MRP, ",""))&lt;&gt;"","Missing: "&amp;LEFT(IF(B393="","PO Ref, ","")&amp;IF(C393="","Vendor, ","")&amp;IF(D393="","Store, ","")&amp;IF(F393="","Product Type, ","")&amp;IF(G393="","Category, ","")&amp;IF(H393="","HSN Code, ","")&amp;IF(Q393="","Qty, ","")&amp;IF(R393="","Purchase Rate, ","")&amp;IF(S393="","MRP, ",""),LEN(IF(B393="","PO Ref, ","")&amp;IF(C393="","Vendor, ","")&amp;IF(D393="","Store, ","")&amp;IF(F393="","Product Type, ","")&amp;IF(G393="","Category, ","")&amp;IF(H393="","HSN Code, ","")&amp;IF(Q393="","Qty, ","")&amp;IF(R393="","Purchase Rate, ","")&amp;IF(S393="","MRP, ",""))-2),IF(COUNTIF(Vendors!$B$3:$B$202,C393)=0,"Add vendor "&amp;C393&amp;" on the Vendors sheet",IF(ISNA(MATCH(H393,Codes!$A$2:$A$13,0)),"Pick the HSN Code from the list",IF(AND(E393&lt;&gt;"",COUNTIFS($C$3:$C$1002,C393,$E$3:$E$1002,E393,$F$3:$F$1002,"&lt;&gt;"&amp;F393)+COUNTIFS($C$3:$C$1002,C393,$E$3:$E$1002,E393,$G$3:$G$1002,"&lt;&gt;"&amp;G393)&gt;0),"Design "&amp;E393&amp;" has another Product Type or Category on another row",IF(COUNTIFS($F$3:$F$1002,F393,$G$3:$G$1002,G393,$H$3:$H$1002,"&lt;&gt;"&amp;H393)&gt;0,F393&amp;" + "&amp;G393&amp;" has another HSN Code on another row",IF(AND(V393&lt;&gt;"",U393=""),"Received Qty needs the Vendor Invoice No",IF(AND(U393&lt;&gt;"",COUNTIFS(Bills!$B$3:$B$302,U393,Bills!$C$3:$C$302,C393)=0),"Add bill "&amp;U393&amp;" of "&amp;C393&amp;" on the Bills sheet",IF(S393&lt;R393,"MRP is below the Purchase Rate","OK")))))))))</f>
        <v/>
      </c>
      <c r="B393" s="29"/>
      <c r="C393" s="22"/>
      <c r="D393" s="22"/>
      <c r="E393" s="24"/>
      <c r="F393" s="22"/>
      <c r="G393" s="22"/>
      <c r="H393" s="22"/>
      <c r="I393" s="30" t="str">
        <f>IF(H393="","",IFERROR(INDEX(Codes!$B$2:$B$13,MATCH(H393,Codes!$A$2:$A$13,0)),""))</f>
        <v/>
      </c>
      <c r="J393" s="23"/>
      <c r="K393" s="23"/>
      <c r="L393" s="23"/>
      <c r="M393" s="23"/>
      <c r="N393" s="23"/>
      <c r="O393" s="23"/>
      <c r="P393" s="23"/>
      <c r="Q393" s="31"/>
      <c r="R393" s="32"/>
      <c r="S393" s="32"/>
      <c r="T393" s="33" t="str">
        <f t="shared" si="12"/>
        <v/>
      </c>
      <c r="U393" s="34"/>
      <c r="V393" s="35"/>
      <c r="W393" s="33" t="str">
        <f t="shared" si="13"/>
        <v/>
      </c>
    </row>
    <row r="394" spans="1:23" x14ac:dyDescent="0.35">
      <c r="A394" s="21" t="str">
        <f>IF(COUNTA(B394:H394,J394:S394,U394:V394)=0,"",IF((IF(B394="","PO Ref, ","")&amp;IF(C394="","Vendor, ","")&amp;IF(D394="","Store, ","")&amp;IF(F394="","Product Type, ","")&amp;IF(G394="","Category, ","")&amp;IF(H394="","HSN Code, ","")&amp;IF(Q394="","Qty, ","")&amp;IF(R394="","Purchase Rate, ","")&amp;IF(S394="","MRP, ",""))&lt;&gt;"","Missing: "&amp;LEFT(IF(B394="","PO Ref, ","")&amp;IF(C394="","Vendor, ","")&amp;IF(D394="","Store, ","")&amp;IF(F394="","Product Type, ","")&amp;IF(G394="","Category, ","")&amp;IF(H394="","HSN Code, ","")&amp;IF(Q394="","Qty, ","")&amp;IF(R394="","Purchase Rate, ","")&amp;IF(S394="","MRP, ",""),LEN(IF(B394="","PO Ref, ","")&amp;IF(C394="","Vendor, ","")&amp;IF(D394="","Store, ","")&amp;IF(F394="","Product Type, ","")&amp;IF(G394="","Category, ","")&amp;IF(H394="","HSN Code, ","")&amp;IF(Q394="","Qty, ","")&amp;IF(R394="","Purchase Rate, ","")&amp;IF(S394="","MRP, ",""))-2),IF(COUNTIF(Vendors!$B$3:$B$202,C394)=0,"Add vendor "&amp;C394&amp;" on the Vendors sheet",IF(ISNA(MATCH(H394,Codes!$A$2:$A$13,0)),"Pick the HSN Code from the list",IF(AND(E394&lt;&gt;"",COUNTIFS($C$3:$C$1002,C394,$E$3:$E$1002,E394,$F$3:$F$1002,"&lt;&gt;"&amp;F394)+COUNTIFS($C$3:$C$1002,C394,$E$3:$E$1002,E394,$G$3:$G$1002,"&lt;&gt;"&amp;G394)&gt;0),"Design "&amp;E394&amp;" has another Product Type or Category on another row",IF(COUNTIFS($F$3:$F$1002,F394,$G$3:$G$1002,G394,$H$3:$H$1002,"&lt;&gt;"&amp;H394)&gt;0,F394&amp;" + "&amp;G394&amp;" has another HSN Code on another row",IF(AND(V394&lt;&gt;"",U394=""),"Received Qty needs the Vendor Invoice No",IF(AND(U394&lt;&gt;"",COUNTIFS(Bills!$B$3:$B$302,U394,Bills!$C$3:$C$302,C394)=0),"Add bill "&amp;U394&amp;" of "&amp;C394&amp;" on the Bills sheet",IF(S394&lt;R394,"MRP is below the Purchase Rate","OK")))))))))</f>
        <v/>
      </c>
      <c r="B394" s="29"/>
      <c r="C394" s="22"/>
      <c r="D394" s="22"/>
      <c r="E394" s="24"/>
      <c r="F394" s="22"/>
      <c r="G394" s="22"/>
      <c r="H394" s="22"/>
      <c r="I394" s="30" t="str">
        <f>IF(H394="","",IFERROR(INDEX(Codes!$B$2:$B$13,MATCH(H394,Codes!$A$2:$A$13,0)),""))</f>
        <v/>
      </c>
      <c r="J394" s="23"/>
      <c r="K394" s="23"/>
      <c r="L394" s="23"/>
      <c r="M394" s="23"/>
      <c r="N394" s="23"/>
      <c r="O394" s="23"/>
      <c r="P394" s="23"/>
      <c r="Q394" s="31"/>
      <c r="R394" s="32"/>
      <c r="S394" s="32"/>
      <c r="T394" s="33" t="str">
        <f t="shared" si="12"/>
        <v/>
      </c>
      <c r="U394" s="34"/>
      <c r="V394" s="35"/>
      <c r="W394" s="33" t="str">
        <f t="shared" si="13"/>
        <v/>
      </c>
    </row>
    <row r="395" spans="1:23" x14ac:dyDescent="0.35">
      <c r="A395" s="21" t="str">
        <f>IF(COUNTA(B395:H395,J395:S395,U395:V395)=0,"",IF((IF(B395="","PO Ref, ","")&amp;IF(C395="","Vendor, ","")&amp;IF(D395="","Store, ","")&amp;IF(F395="","Product Type, ","")&amp;IF(G395="","Category, ","")&amp;IF(H395="","HSN Code, ","")&amp;IF(Q395="","Qty, ","")&amp;IF(R395="","Purchase Rate, ","")&amp;IF(S395="","MRP, ",""))&lt;&gt;"","Missing: "&amp;LEFT(IF(B395="","PO Ref, ","")&amp;IF(C395="","Vendor, ","")&amp;IF(D395="","Store, ","")&amp;IF(F395="","Product Type, ","")&amp;IF(G395="","Category, ","")&amp;IF(H395="","HSN Code, ","")&amp;IF(Q395="","Qty, ","")&amp;IF(R395="","Purchase Rate, ","")&amp;IF(S395="","MRP, ",""),LEN(IF(B395="","PO Ref, ","")&amp;IF(C395="","Vendor, ","")&amp;IF(D395="","Store, ","")&amp;IF(F395="","Product Type, ","")&amp;IF(G395="","Category, ","")&amp;IF(H395="","HSN Code, ","")&amp;IF(Q395="","Qty, ","")&amp;IF(R395="","Purchase Rate, ","")&amp;IF(S395="","MRP, ",""))-2),IF(COUNTIF(Vendors!$B$3:$B$202,C395)=0,"Add vendor "&amp;C395&amp;" on the Vendors sheet",IF(ISNA(MATCH(H395,Codes!$A$2:$A$13,0)),"Pick the HSN Code from the list",IF(AND(E395&lt;&gt;"",COUNTIFS($C$3:$C$1002,C395,$E$3:$E$1002,E395,$F$3:$F$1002,"&lt;&gt;"&amp;F395)+COUNTIFS($C$3:$C$1002,C395,$E$3:$E$1002,E395,$G$3:$G$1002,"&lt;&gt;"&amp;G395)&gt;0),"Design "&amp;E395&amp;" has another Product Type or Category on another row",IF(COUNTIFS($F$3:$F$1002,F395,$G$3:$G$1002,G395,$H$3:$H$1002,"&lt;&gt;"&amp;H395)&gt;0,F395&amp;" + "&amp;G395&amp;" has another HSN Code on another row",IF(AND(V395&lt;&gt;"",U395=""),"Received Qty needs the Vendor Invoice No",IF(AND(U395&lt;&gt;"",COUNTIFS(Bills!$B$3:$B$302,U395,Bills!$C$3:$C$302,C395)=0),"Add bill "&amp;U395&amp;" of "&amp;C395&amp;" on the Bills sheet",IF(S395&lt;R395,"MRP is below the Purchase Rate","OK")))))))))</f>
        <v/>
      </c>
      <c r="B395" s="29"/>
      <c r="C395" s="22"/>
      <c r="D395" s="22"/>
      <c r="E395" s="24"/>
      <c r="F395" s="22"/>
      <c r="G395" s="22"/>
      <c r="H395" s="22"/>
      <c r="I395" s="30" t="str">
        <f>IF(H395="","",IFERROR(INDEX(Codes!$B$2:$B$13,MATCH(H395,Codes!$A$2:$A$13,0)),""))</f>
        <v/>
      </c>
      <c r="J395" s="23"/>
      <c r="K395" s="23"/>
      <c r="L395" s="23"/>
      <c r="M395" s="23"/>
      <c r="N395" s="23"/>
      <c r="O395" s="23"/>
      <c r="P395" s="23"/>
      <c r="Q395" s="31"/>
      <c r="R395" s="32"/>
      <c r="S395" s="32"/>
      <c r="T395" s="33" t="str">
        <f t="shared" si="12"/>
        <v/>
      </c>
      <c r="U395" s="34"/>
      <c r="V395" s="35"/>
      <c r="W395" s="33" t="str">
        <f t="shared" si="13"/>
        <v/>
      </c>
    </row>
    <row r="396" spans="1:23" x14ac:dyDescent="0.35">
      <c r="A396" s="21" t="str">
        <f>IF(COUNTA(B396:H396,J396:S396,U396:V396)=0,"",IF((IF(B396="","PO Ref, ","")&amp;IF(C396="","Vendor, ","")&amp;IF(D396="","Store, ","")&amp;IF(F396="","Product Type, ","")&amp;IF(G396="","Category, ","")&amp;IF(H396="","HSN Code, ","")&amp;IF(Q396="","Qty, ","")&amp;IF(R396="","Purchase Rate, ","")&amp;IF(S396="","MRP, ",""))&lt;&gt;"","Missing: "&amp;LEFT(IF(B396="","PO Ref, ","")&amp;IF(C396="","Vendor, ","")&amp;IF(D396="","Store, ","")&amp;IF(F396="","Product Type, ","")&amp;IF(G396="","Category, ","")&amp;IF(H396="","HSN Code, ","")&amp;IF(Q396="","Qty, ","")&amp;IF(R396="","Purchase Rate, ","")&amp;IF(S396="","MRP, ",""),LEN(IF(B396="","PO Ref, ","")&amp;IF(C396="","Vendor, ","")&amp;IF(D396="","Store, ","")&amp;IF(F396="","Product Type, ","")&amp;IF(G396="","Category, ","")&amp;IF(H396="","HSN Code, ","")&amp;IF(Q396="","Qty, ","")&amp;IF(R396="","Purchase Rate, ","")&amp;IF(S396="","MRP, ",""))-2),IF(COUNTIF(Vendors!$B$3:$B$202,C396)=0,"Add vendor "&amp;C396&amp;" on the Vendors sheet",IF(ISNA(MATCH(H396,Codes!$A$2:$A$13,0)),"Pick the HSN Code from the list",IF(AND(E396&lt;&gt;"",COUNTIFS($C$3:$C$1002,C396,$E$3:$E$1002,E396,$F$3:$F$1002,"&lt;&gt;"&amp;F396)+COUNTIFS($C$3:$C$1002,C396,$E$3:$E$1002,E396,$G$3:$G$1002,"&lt;&gt;"&amp;G396)&gt;0),"Design "&amp;E396&amp;" has another Product Type or Category on another row",IF(COUNTIFS($F$3:$F$1002,F396,$G$3:$G$1002,G396,$H$3:$H$1002,"&lt;&gt;"&amp;H396)&gt;0,F396&amp;" + "&amp;G396&amp;" has another HSN Code on another row",IF(AND(V396&lt;&gt;"",U396=""),"Received Qty needs the Vendor Invoice No",IF(AND(U396&lt;&gt;"",COUNTIFS(Bills!$B$3:$B$302,U396,Bills!$C$3:$C$302,C396)=0),"Add bill "&amp;U396&amp;" of "&amp;C396&amp;" on the Bills sheet",IF(S396&lt;R396,"MRP is below the Purchase Rate","OK")))))))))</f>
        <v/>
      </c>
      <c r="B396" s="29"/>
      <c r="C396" s="22"/>
      <c r="D396" s="22"/>
      <c r="E396" s="24"/>
      <c r="F396" s="22"/>
      <c r="G396" s="22"/>
      <c r="H396" s="22"/>
      <c r="I396" s="30" t="str">
        <f>IF(H396="","",IFERROR(INDEX(Codes!$B$2:$B$13,MATCH(H396,Codes!$A$2:$A$13,0)),""))</f>
        <v/>
      </c>
      <c r="J396" s="23"/>
      <c r="K396" s="23"/>
      <c r="L396" s="23"/>
      <c r="M396" s="23"/>
      <c r="N396" s="23"/>
      <c r="O396" s="23"/>
      <c r="P396" s="23"/>
      <c r="Q396" s="31"/>
      <c r="R396" s="32"/>
      <c r="S396" s="32"/>
      <c r="T396" s="33" t="str">
        <f t="shared" si="12"/>
        <v/>
      </c>
      <c r="U396" s="34"/>
      <c r="V396" s="35"/>
      <c r="W396" s="33" t="str">
        <f t="shared" si="13"/>
        <v/>
      </c>
    </row>
    <row r="397" spans="1:23" x14ac:dyDescent="0.35">
      <c r="A397" s="21" t="str">
        <f>IF(COUNTA(B397:H397,J397:S397,U397:V397)=0,"",IF((IF(B397="","PO Ref, ","")&amp;IF(C397="","Vendor, ","")&amp;IF(D397="","Store, ","")&amp;IF(F397="","Product Type, ","")&amp;IF(G397="","Category, ","")&amp;IF(H397="","HSN Code, ","")&amp;IF(Q397="","Qty, ","")&amp;IF(R397="","Purchase Rate, ","")&amp;IF(S397="","MRP, ",""))&lt;&gt;"","Missing: "&amp;LEFT(IF(B397="","PO Ref, ","")&amp;IF(C397="","Vendor, ","")&amp;IF(D397="","Store, ","")&amp;IF(F397="","Product Type, ","")&amp;IF(G397="","Category, ","")&amp;IF(H397="","HSN Code, ","")&amp;IF(Q397="","Qty, ","")&amp;IF(R397="","Purchase Rate, ","")&amp;IF(S397="","MRP, ",""),LEN(IF(B397="","PO Ref, ","")&amp;IF(C397="","Vendor, ","")&amp;IF(D397="","Store, ","")&amp;IF(F397="","Product Type, ","")&amp;IF(G397="","Category, ","")&amp;IF(H397="","HSN Code, ","")&amp;IF(Q397="","Qty, ","")&amp;IF(R397="","Purchase Rate, ","")&amp;IF(S397="","MRP, ",""))-2),IF(COUNTIF(Vendors!$B$3:$B$202,C397)=0,"Add vendor "&amp;C397&amp;" on the Vendors sheet",IF(ISNA(MATCH(H397,Codes!$A$2:$A$13,0)),"Pick the HSN Code from the list",IF(AND(E397&lt;&gt;"",COUNTIFS($C$3:$C$1002,C397,$E$3:$E$1002,E397,$F$3:$F$1002,"&lt;&gt;"&amp;F397)+COUNTIFS($C$3:$C$1002,C397,$E$3:$E$1002,E397,$G$3:$G$1002,"&lt;&gt;"&amp;G397)&gt;0),"Design "&amp;E397&amp;" has another Product Type or Category on another row",IF(COUNTIFS($F$3:$F$1002,F397,$G$3:$G$1002,G397,$H$3:$H$1002,"&lt;&gt;"&amp;H397)&gt;0,F397&amp;" + "&amp;G397&amp;" has another HSN Code on another row",IF(AND(V397&lt;&gt;"",U397=""),"Received Qty needs the Vendor Invoice No",IF(AND(U397&lt;&gt;"",COUNTIFS(Bills!$B$3:$B$302,U397,Bills!$C$3:$C$302,C397)=0),"Add bill "&amp;U397&amp;" of "&amp;C397&amp;" on the Bills sheet",IF(S397&lt;R397,"MRP is below the Purchase Rate","OK")))))))))</f>
        <v/>
      </c>
      <c r="B397" s="29"/>
      <c r="C397" s="22"/>
      <c r="D397" s="22"/>
      <c r="E397" s="24"/>
      <c r="F397" s="22"/>
      <c r="G397" s="22"/>
      <c r="H397" s="22"/>
      <c r="I397" s="30" t="str">
        <f>IF(H397="","",IFERROR(INDEX(Codes!$B$2:$B$13,MATCH(H397,Codes!$A$2:$A$13,0)),""))</f>
        <v/>
      </c>
      <c r="J397" s="23"/>
      <c r="K397" s="23"/>
      <c r="L397" s="23"/>
      <c r="M397" s="23"/>
      <c r="N397" s="23"/>
      <c r="O397" s="23"/>
      <c r="P397" s="23"/>
      <c r="Q397" s="31"/>
      <c r="R397" s="32"/>
      <c r="S397" s="32"/>
      <c r="T397" s="33" t="str">
        <f t="shared" si="12"/>
        <v/>
      </c>
      <c r="U397" s="34"/>
      <c r="V397" s="35"/>
      <c r="W397" s="33" t="str">
        <f t="shared" si="13"/>
        <v/>
      </c>
    </row>
    <row r="398" spans="1:23" x14ac:dyDescent="0.35">
      <c r="A398" s="21" t="str">
        <f>IF(COUNTA(B398:H398,J398:S398,U398:V398)=0,"",IF((IF(B398="","PO Ref, ","")&amp;IF(C398="","Vendor, ","")&amp;IF(D398="","Store, ","")&amp;IF(F398="","Product Type, ","")&amp;IF(G398="","Category, ","")&amp;IF(H398="","HSN Code, ","")&amp;IF(Q398="","Qty, ","")&amp;IF(R398="","Purchase Rate, ","")&amp;IF(S398="","MRP, ",""))&lt;&gt;"","Missing: "&amp;LEFT(IF(B398="","PO Ref, ","")&amp;IF(C398="","Vendor, ","")&amp;IF(D398="","Store, ","")&amp;IF(F398="","Product Type, ","")&amp;IF(G398="","Category, ","")&amp;IF(H398="","HSN Code, ","")&amp;IF(Q398="","Qty, ","")&amp;IF(R398="","Purchase Rate, ","")&amp;IF(S398="","MRP, ",""),LEN(IF(B398="","PO Ref, ","")&amp;IF(C398="","Vendor, ","")&amp;IF(D398="","Store, ","")&amp;IF(F398="","Product Type, ","")&amp;IF(G398="","Category, ","")&amp;IF(H398="","HSN Code, ","")&amp;IF(Q398="","Qty, ","")&amp;IF(R398="","Purchase Rate, ","")&amp;IF(S398="","MRP, ",""))-2),IF(COUNTIF(Vendors!$B$3:$B$202,C398)=0,"Add vendor "&amp;C398&amp;" on the Vendors sheet",IF(ISNA(MATCH(H398,Codes!$A$2:$A$13,0)),"Pick the HSN Code from the list",IF(AND(E398&lt;&gt;"",COUNTIFS($C$3:$C$1002,C398,$E$3:$E$1002,E398,$F$3:$F$1002,"&lt;&gt;"&amp;F398)+COUNTIFS($C$3:$C$1002,C398,$E$3:$E$1002,E398,$G$3:$G$1002,"&lt;&gt;"&amp;G398)&gt;0),"Design "&amp;E398&amp;" has another Product Type or Category on another row",IF(COUNTIFS($F$3:$F$1002,F398,$G$3:$G$1002,G398,$H$3:$H$1002,"&lt;&gt;"&amp;H398)&gt;0,F398&amp;" + "&amp;G398&amp;" has another HSN Code on another row",IF(AND(V398&lt;&gt;"",U398=""),"Received Qty needs the Vendor Invoice No",IF(AND(U398&lt;&gt;"",COUNTIFS(Bills!$B$3:$B$302,U398,Bills!$C$3:$C$302,C398)=0),"Add bill "&amp;U398&amp;" of "&amp;C398&amp;" on the Bills sheet",IF(S398&lt;R398,"MRP is below the Purchase Rate","OK")))))))))</f>
        <v/>
      </c>
      <c r="B398" s="29"/>
      <c r="C398" s="22"/>
      <c r="D398" s="22"/>
      <c r="E398" s="24"/>
      <c r="F398" s="22"/>
      <c r="G398" s="22"/>
      <c r="H398" s="22"/>
      <c r="I398" s="30" t="str">
        <f>IF(H398="","",IFERROR(INDEX(Codes!$B$2:$B$13,MATCH(H398,Codes!$A$2:$A$13,0)),""))</f>
        <v/>
      </c>
      <c r="J398" s="23"/>
      <c r="K398" s="23"/>
      <c r="L398" s="23"/>
      <c r="M398" s="23"/>
      <c r="N398" s="23"/>
      <c r="O398" s="23"/>
      <c r="P398" s="23"/>
      <c r="Q398" s="31"/>
      <c r="R398" s="32"/>
      <c r="S398" s="32"/>
      <c r="T398" s="33" t="str">
        <f t="shared" si="12"/>
        <v/>
      </c>
      <c r="U398" s="34"/>
      <c r="V398" s="35"/>
      <c r="W398" s="33" t="str">
        <f t="shared" si="13"/>
        <v/>
      </c>
    </row>
    <row r="399" spans="1:23" x14ac:dyDescent="0.35">
      <c r="A399" s="21" t="str">
        <f>IF(COUNTA(B399:H399,J399:S399,U399:V399)=0,"",IF((IF(B399="","PO Ref, ","")&amp;IF(C399="","Vendor, ","")&amp;IF(D399="","Store, ","")&amp;IF(F399="","Product Type, ","")&amp;IF(G399="","Category, ","")&amp;IF(H399="","HSN Code, ","")&amp;IF(Q399="","Qty, ","")&amp;IF(R399="","Purchase Rate, ","")&amp;IF(S399="","MRP, ",""))&lt;&gt;"","Missing: "&amp;LEFT(IF(B399="","PO Ref, ","")&amp;IF(C399="","Vendor, ","")&amp;IF(D399="","Store, ","")&amp;IF(F399="","Product Type, ","")&amp;IF(G399="","Category, ","")&amp;IF(H399="","HSN Code, ","")&amp;IF(Q399="","Qty, ","")&amp;IF(R399="","Purchase Rate, ","")&amp;IF(S399="","MRP, ",""),LEN(IF(B399="","PO Ref, ","")&amp;IF(C399="","Vendor, ","")&amp;IF(D399="","Store, ","")&amp;IF(F399="","Product Type, ","")&amp;IF(G399="","Category, ","")&amp;IF(H399="","HSN Code, ","")&amp;IF(Q399="","Qty, ","")&amp;IF(R399="","Purchase Rate, ","")&amp;IF(S399="","MRP, ",""))-2),IF(COUNTIF(Vendors!$B$3:$B$202,C399)=0,"Add vendor "&amp;C399&amp;" on the Vendors sheet",IF(ISNA(MATCH(H399,Codes!$A$2:$A$13,0)),"Pick the HSN Code from the list",IF(AND(E399&lt;&gt;"",COUNTIFS($C$3:$C$1002,C399,$E$3:$E$1002,E399,$F$3:$F$1002,"&lt;&gt;"&amp;F399)+COUNTIFS($C$3:$C$1002,C399,$E$3:$E$1002,E399,$G$3:$G$1002,"&lt;&gt;"&amp;G399)&gt;0),"Design "&amp;E399&amp;" has another Product Type or Category on another row",IF(COUNTIFS($F$3:$F$1002,F399,$G$3:$G$1002,G399,$H$3:$H$1002,"&lt;&gt;"&amp;H399)&gt;0,F399&amp;" + "&amp;G399&amp;" has another HSN Code on another row",IF(AND(V399&lt;&gt;"",U399=""),"Received Qty needs the Vendor Invoice No",IF(AND(U399&lt;&gt;"",COUNTIFS(Bills!$B$3:$B$302,U399,Bills!$C$3:$C$302,C399)=0),"Add bill "&amp;U399&amp;" of "&amp;C399&amp;" on the Bills sheet",IF(S399&lt;R399,"MRP is below the Purchase Rate","OK")))))))))</f>
        <v/>
      </c>
      <c r="B399" s="29"/>
      <c r="C399" s="22"/>
      <c r="D399" s="22"/>
      <c r="E399" s="24"/>
      <c r="F399" s="22"/>
      <c r="G399" s="22"/>
      <c r="H399" s="22"/>
      <c r="I399" s="30" t="str">
        <f>IF(H399="","",IFERROR(INDEX(Codes!$B$2:$B$13,MATCH(H399,Codes!$A$2:$A$13,0)),""))</f>
        <v/>
      </c>
      <c r="J399" s="23"/>
      <c r="K399" s="23"/>
      <c r="L399" s="23"/>
      <c r="M399" s="23"/>
      <c r="N399" s="23"/>
      <c r="O399" s="23"/>
      <c r="P399" s="23"/>
      <c r="Q399" s="31"/>
      <c r="R399" s="32"/>
      <c r="S399" s="32"/>
      <c r="T399" s="33" t="str">
        <f t="shared" si="12"/>
        <v/>
      </c>
      <c r="U399" s="34"/>
      <c r="V399" s="35"/>
      <c r="W399" s="33" t="str">
        <f t="shared" si="13"/>
        <v/>
      </c>
    </row>
    <row r="400" spans="1:23" x14ac:dyDescent="0.35">
      <c r="A400" s="21" t="str">
        <f>IF(COUNTA(B400:H400,J400:S400,U400:V400)=0,"",IF((IF(B400="","PO Ref, ","")&amp;IF(C400="","Vendor, ","")&amp;IF(D400="","Store, ","")&amp;IF(F400="","Product Type, ","")&amp;IF(G400="","Category, ","")&amp;IF(H400="","HSN Code, ","")&amp;IF(Q400="","Qty, ","")&amp;IF(R400="","Purchase Rate, ","")&amp;IF(S400="","MRP, ",""))&lt;&gt;"","Missing: "&amp;LEFT(IF(B400="","PO Ref, ","")&amp;IF(C400="","Vendor, ","")&amp;IF(D400="","Store, ","")&amp;IF(F400="","Product Type, ","")&amp;IF(G400="","Category, ","")&amp;IF(H400="","HSN Code, ","")&amp;IF(Q400="","Qty, ","")&amp;IF(R400="","Purchase Rate, ","")&amp;IF(S400="","MRP, ",""),LEN(IF(B400="","PO Ref, ","")&amp;IF(C400="","Vendor, ","")&amp;IF(D400="","Store, ","")&amp;IF(F400="","Product Type, ","")&amp;IF(G400="","Category, ","")&amp;IF(H400="","HSN Code, ","")&amp;IF(Q400="","Qty, ","")&amp;IF(R400="","Purchase Rate, ","")&amp;IF(S400="","MRP, ",""))-2),IF(COUNTIF(Vendors!$B$3:$B$202,C400)=0,"Add vendor "&amp;C400&amp;" on the Vendors sheet",IF(ISNA(MATCH(H400,Codes!$A$2:$A$13,0)),"Pick the HSN Code from the list",IF(AND(E400&lt;&gt;"",COUNTIFS($C$3:$C$1002,C400,$E$3:$E$1002,E400,$F$3:$F$1002,"&lt;&gt;"&amp;F400)+COUNTIFS($C$3:$C$1002,C400,$E$3:$E$1002,E400,$G$3:$G$1002,"&lt;&gt;"&amp;G400)&gt;0),"Design "&amp;E400&amp;" has another Product Type or Category on another row",IF(COUNTIFS($F$3:$F$1002,F400,$G$3:$G$1002,G400,$H$3:$H$1002,"&lt;&gt;"&amp;H400)&gt;0,F400&amp;" + "&amp;G400&amp;" has another HSN Code on another row",IF(AND(V400&lt;&gt;"",U400=""),"Received Qty needs the Vendor Invoice No",IF(AND(U400&lt;&gt;"",COUNTIFS(Bills!$B$3:$B$302,U400,Bills!$C$3:$C$302,C400)=0),"Add bill "&amp;U400&amp;" of "&amp;C400&amp;" on the Bills sheet",IF(S400&lt;R400,"MRP is below the Purchase Rate","OK")))))))))</f>
        <v/>
      </c>
      <c r="B400" s="29"/>
      <c r="C400" s="22"/>
      <c r="D400" s="22"/>
      <c r="E400" s="24"/>
      <c r="F400" s="22"/>
      <c r="G400" s="22"/>
      <c r="H400" s="22"/>
      <c r="I400" s="30" t="str">
        <f>IF(H400="","",IFERROR(INDEX(Codes!$B$2:$B$13,MATCH(H400,Codes!$A$2:$A$13,0)),""))</f>
        <v/>
      </c>
      <c r="J400" s="23"/>
      <c r="K400" s="23"/>
      <c r="L400" s="23"/>
      <c r="M400" s="23"/>
      <c r="N400" s="23"/>
      <c r="O400" s="23"/>
      <c r="P400" s="23"/>
      <c r="Q400" s="31"/>
      <c r="R400" s="32"/>
      <c r="S400" s="32"/>
      <c r="T400" s="33" t="str">
        <f t="shared" si="12"/>
        <v/>
      </c>
      <c r="U400" s="34"/>
      <c r="V400" s="35"/>
      <c r="W400" s="33" t="str">
        <f t="shared" si="13"/>
        <v/>
      </c>
    </row>
    <row r="401" spans="1:23" x14ac:dyDescent="0.35">
      <c r="A401" s="21" t="str">
        <f>IF(COUNTA(B401:H401,J401:S401,U401:V401)=0,"",IF((IF(B401="","PO Ref, ","")&amp;IF(C401="","Vendor, ","")&amp;IF(D401="","Store, ","")&amp;IF(F401="","Product Type, ","")&amp;IF(G401="","Category, ","")&amp;IF(H401="","HSN Code, ","")&amp;IF(Q401="","Qty, ","")&amp;IF(R401="","Purchase Rate, ","")&amp;IF(S401="","MRP, ",""))&lt;&gt;"","Missing: "&amp;LEFT(IF(B401="","PO Ref, ","")&amp;IF(C401="","Vendor, ","")&amp;IF(D401="","Store, ","")&amp;IF(F401="","Product Type, ","")&amp;IF(G401="","Category, ","")&amp;IF(H401="","HSN Code, ","")&amp;IF(Q401="","Qty, ","")&amp;IF(R401="","Purchase Rate, ","")&amp;IF(S401="","MRP, ",""),LEN(IF(B401="","PO Ref, ","")&amp;IF(C401="","Vendor, ","")&amp;IF(D401="","Store, ","")&amp;IF(F401="","Product Type, ","")&amp;IF(G401="","Category, ","")&amp;IF(H401="","HSN Code, ","")&amp;IF(Q401="","Qty, ","")&amp;IF(R401="","Purchase Rate, ","")&amp;IF(S401="","MRP, ",""))-2),IF(COUNTIF(Vendors!$B$3:$B$202,C401)=0,"Add vendor "&amp;C401&amp;" on the Vendors sheet",IF(ISNA(MATCH(H401,Codes!$A$2:$A$13,0)),"Pick the HSN Code from the list",IF(AND(E401&lt;&gt;"",COUNTIFS($C$3:$C$1002,C401,$E$3:$E$1002,E401,$F$3:$F$1002,"&lt;&gt;"&amp;F401)+COUNTIFS($C$3:$C$1002,C401,$E$3:$E$1002,E401,$G$3:$G$1002,"&lt;&gt;"&amp;G401)&gt;0),"Design "&amp;E401&amp;" has another Product Type or Category on another row",IF(COUNTIFS($F$3:$F$1002,F401,$G$3:$G$1002,G401,$H$3:$H$1002,"&lt;&gt;"&amp;H401)&gt;0,F401&amp;" + "&amp;G401&amp;" has another HSN Code on another row",IF(AND(V401&lt;&gt;"",U401=""),"Received Qty needs the Vendor Invoice No",IF(AND(U401&lt;&gt;"",COUNTIFS(Bills!$B$3:$B$302,U401,Bills!$C$3:$C$302,C401)=0),"Add bill "&amp;U401&amp;" of "&amp;C401&amp;" on the Bills sheet",IF(S401&lt;R401,"MRP is below the Purchase Rate","OK")))))))))</f>
        <v/>
      </c>
      <c r="B401" s="29"/>
      <c r="C401" s="22"/>
      <c r="D401" s="22"/>
      <c r="E401" s="24"/>
      <c r="F401" s="22"/>
      <c r="G401" s="22"/>
      <c r="H401" s="22"/>
      <c r="I401" s="30" t="str">
        <f>IF(H401="","",IFERROR(INDEX(Codes!$B$2:$B$13,MATCH(H401,Codes!$A$2:$A$13,0)),""))</f>
        <v/>
      </c>
      <c r="J401" s="23"/>
      <c r="K401" s="23"/>
      <c r="L401" s="23"/>
      <c r="M401" s="23"/>
      <c r="N401" s="23"/>
      <c r="O401" s="23"/>
      <c r="P401" s="23"/>
      <c r="Q401" s="31"/>
      <c r="R401" s="32"/>
      <c r="S401" s="32"/>
      <c r="T401" s="33" t="str">
        <f t="shared" si="12"/>
        <v/>
      </c>
      <c r="U401" s="34"/>
      <c r="V401" s="35"/>
      <c r="W401" s="33" t="str">
        <f t="shared" si="13"/>
        <v/>
      </c>
    </row>
    <row r="402" spans="1:23" x14ac:dyDescent="0.35">
      <c r="A402" s="21" t="str">
        <f>IF(COUNTA(B402:H402,J402:S402,U402:V402)=0,"",IF((IF(B402="","PO Ref, ","")&amp;IF(C402="","Vendor, ","")&amp;IF(D402="","Store, ","")&amp;IF(F402="","Product Type, ","")&amp;IF(G402="","Category, ","")&amp;IF(H402="","HSN Code, ","")&amp;IF(Q402="","Qty, ","")&amp;IF(R402="","Purchase Rate, ","")&amp;IF(S402="","MRP, ",""))&lt;&gt;"","Missing: "&amp;LEFT(IF(B402="","PO Ref, ","")&amp;IF(C402="","Vendor, ","")&amp;IF(D402="","Store, ","")&amp;IF(F402="","Product Type, ","")&amp;IF(G402="","Category, ","")&amp;IF(H402="","HSN Code, ","")&amp;IF(Q402="","Qty, ","")&amp;IF(R402="","Purchase Rate, ","")&amp;IF(S402="","MRP, ",""),LEN(IF(B402="","PO Ref, ","")&amp;IF(C402="","Vendor, ","")&amp;IF(D402="","Store, ","")&amp;IF(F402="","Product Type, ","")&amp;IF(G402="","Category, ","")&amp;IF(H402="","HSN Code, ","")&amp;IF(Q402="","Qty, ","")&amp;IF(R402="","Purchase Rate, ","")&amp;IF(S402="","MRP, ",""))-2),IF(COUNTIF(Vendors!$B$3:$B$202,C402)=0,"Add vendor "&amp;C402&amp;" on the Vendors sheet",IF(ISNA(MATCH(H402,Codes!$A$2:$A$13,0)),"Pick the HSN Code from the list",IF(AND(E402&lt;&gt;"",COUNTIFS($C$3:$C$1002,C402,$E$3:$E$1002,E402,$F$3:$F$1002,"&lt;&gt;"&amp;F402)+COUNTIFS($C$3:$C$1002,C402,$E$3:$E$1002,E402,$G$3:$G$1002,"&lt;&gt;"&amp;G402)&gt;0),"Design "&amp;E402&amp;" has another Product Type or Category on another row",IF(COUNTIFS($F$3:$F$1002,F402,$G$3:$G$1002,G402,$H$3:$H$1002,"&lt;&gt;"&amp;H402)&gt;0,F402&amp;" + "&amp;G402&amp;" has another HSN Code on another row",IF(AND(V402&lt;&gt;"",U402=""),"Received Qty needs the Vendor Invoice No",IF(AND(U402&lt;&gt;"",COUNTIFS(Bills!$B$3:$B$302,U402,Bills!$C$3:$C$302,C402)=0),"Add bill "&amp;U402&amp;" of "&amp;C402&amp;" on the Bills sheet",IF(S402&lt;R402,"MRP is below the Purchase Rate","OK")))))))))</f>
        <v/>
      </c>
      <c r="B402" s="29"/>
      <c r="C402" s="22"/>
      <c r="D402" s="22"/>
      <c r="E402" s="24"/>
      <c r="F402" s="22"/>
      <c r="G402" s="22"/>
      <c r="H402" s="22"/>
      <c r="I402" s="30" t="str">
        <f>IF(H402="","",IFERROR(INDEX(Codes!$B$2:$B$13,MATCH(H402,Codes!$A$2:$A$13,0)),""))</f>
        <v/>
      </c>
      <c r="J402" s="23"/>
      <c r="K402" s="23"/>
      <c r="L402" s="23"/>
      <c r="M402" s="23"/>
      <c r="N402" s="23"/>
      <c r="O402" s="23"/>
      <c r="P402" s="23"/>
      <c r="Q402" s="31"/>
      <c r="R402" s="32"/>
      <c r="S402" s="32"/>
      <c r="T402" s="33" t="str">
        <f t="shared" si="12"/>
        <v/>
      </c>
      <c r="U402" s="34"/>
      <c r="V402" s="35"/>
      <c r="W402" s="33" t="str">
        <f t="shared" si="13"/>
        <v/>
      </c>
    </row>
    <row r="403" spans="1:23" x14ac:dyDescent="0.35">
      <c r="A403" s="21" t="str">
        <f>IF(COUNTA(B403:H403,J403:S403,U403:V403)=0,"",IF((IF(B403="","PO Ref, ","")&amp;IF(C403="","Vendor, ","")&amp;IF(D403="","Store, ","")&amp;IF(F403="","Product Type, ","")&amp;IF(G403="","Category, ","")&amp;IF(H403="","HSN Code, ","")&amp;IF(Q403="","Qty, ","")&amp;IF(R403="","Purchase Rate, ","")&amp;IF(S403="","MRP, ",""))&lt;&gt;"","Missing: "&amp;LEFT(IF(B403="","PO Ref, ","")&amp;IF(C403="","Vendor, ","")&amp;IF(D403="","Store, ","")&amp;IF(F403="","Product Type, ","")&amp;IF(G403="","Category, ","")&amp;IF(H403="","HSN Code, ","")&amp;IF(Q403="","Qty, ","")&amp;IF(R403="","Purchase Rate, ","")&amp;IF(S403="","MRP, ",""),LEN(IF(B403="","PO Ref, ","")&amp;IF(C403="","Vendor, ","")&amp;IF(D403="","Store, ","")&amp;IF(F403="","Product Type, ","")&amp;IF(G403="","Category, ","")&amp;IF(H403="","HSN Code, ","")&amp;IF(Q403="","Qty, ","")&amp;IF(R403="","Purchase Rate, ","")&amp;IF(S403="","MRP, ",""))-2),IF(COUNTIF(Vendors!$B$3:$B$202,C403)=0,"Add vendor "&amp;C403&amp;" on the Vendors sheet",IF(ISNA(MATCH(H403,Codes!$A$2:$A$13,0)),"Pick the HSN Code from the list",IF(AND(E403&lt;&gt;"",COUNTIFS($C$3:$C$1002,C403,$E$3:$E$1002,E403,$F$3:$F$1002,"&lt;&gt;"&amp;F403)+COUNTIFS($C$3:$C$1002,C403,$E$3:$E$1002,E403,$G$3:$G$1002,"&lt;&gt;"&amp;G403)&gt;0),"Design "&amp;E403&amp;" has another Product Type or Category on another row",IF(COUNTIFS($F$3:$F$1002,F403,$G$3:$G$1002,G403,$H$3:$H$1002,"&lt;&gt;"&amp;H403)&gt;0,F403&amp;" + "&amp;G403&amp;" has another HSN Code on another row",IF(AND(V403&lt;&gt;"",U403=""),"Received Qty needs the Vendor Invoice No",IF(AND(U403&lt;&gt;"",COUNTIFS(Bills!$B$3:$B$302,U403,Bills!$C$3:$C$302,C403)=0),"Add bill "&amp;U403&amp;" of "&amp;C403&amp;" on the Bills sheet",IF(S403&lt;R403,"MRP is below the Purchase Rate","OK")))))))))</f>
        <v/>
      </c>
      <c r="B403" s="29"/>
      <c r="C403" s="22"/>
      <c r="D403" s="22"/>
      <c r="E403" s="24"/>
      <c r="F403" s="22"/>
      <c r="G403" s="22"/>
      <c r="H403" s="22"/>
      <c r="I403" s="30" t="str">
        <f>IF(H403="","",IFERROR(INDEX(Codes!$B$2:$B$13,MATCH(H403,Codes!$A$2:$A$13,0)),""))</f>
        <v/>
      </c>
      <c r="J403" s="23"/>
      <c r="K403" s="23"/>
      <c r="L403" s="23"/>
      <c r="M403" s="23"/>
      <c r="N403" s="23"/>
      <c r="O403" s="23"/>
      <c r="P403" s="23"/>
      <c r="Q403" s="31"/>
      <c r="R403" s="32"/>
      <c r="S403" s="32"/>
      <c r="T403" s="33" t="str">
        <f t="shared" si="12"/>
        <v/>
      </c>
      <c r="U403" s="34"/>
      <c r="V403" s="35"/>
      <c r="W403" s="33" t="str">
        <f t="shared" si="13"/>
        <v/>
      </c>
    </row>
    <row r="404" spans="1:23" x14ac:dyDescent="0.35">
      <c r="A404" s="21" t="str">
        <f>IF(COUNTA(B404:H404,J404:S404,U404:V404)=0,"",IF((IF(B404="","PO Ref, ","")&amp;IF(C404="","Vendor, ","")&amp;IF(D404="","Store, ","")&amp;IF(F404="","Product Type, ","")&amp;IF(G404="","Category, ","")&amp;IF(H404="","HSN Code, ","")&amp;IF(Q404="","Qty, ","")&amp;IF(R404="","Purchase Rate, ","")&amp;IF(S404="","MRP, ",""))&lt;&gt;"","Missing: "&amp;LEFT(IF(B404="","PO Ref, ","")&amp;IF(C404="","Vendor, ","")&amp;IF(D404="","Store, ","")&amp;IF(F404="","Product Type, ","")&amp;IF(G404="","Category, ","")&amp;IF(H404="","HSN Code, ","")&amp;IF(Q404="","Qty, ","")&amp;IF(R404="","Purchase Rate, ","")&amp;IF(S404="","MRP, ",""),LEN(IF(B404="","PO Ref, ","")&amp;IF(C404="","Vendor, ","")&amp;IF(D404="","Store, ","")&amp;IF(F404="","Product Type, ","")&amp;IF(G404="","Category, ","")&amp;IF(H404="","HSN Code, ","")&amp;IF(Q404="","Qty, ","")&amp;IF(R404="","Purchase Rate, ","")&amp;IF(S404="","MRP, ",""))-2),IF(COUNTIF(Vendors!$B$3:$B$202,C404)=0,"Add vendor "&amp;C404&amp;" on the Vendors sheet",IF(ISNA(MATCH(H404,Codes!$A$2:$A$13,0)),"Pick the HSN Code from the list",IF(AND(E404&lt;&gt;"",COUNTIFS($C$3:$C$1002,C404,$E$3:$E$1002,E404,$F$3:$F$1002,"&lt;&gt;"&amp;F404)+COUNTIFS($C$3:$C$1002,C404,$E$3:$E$1002,E404,$G$3:$G$1002,"&lt;&gt;"&amp;G404)&gt;0),"Design "&amp;E404&amp;" has another Product Type or Category on another row",IF(COUNTIFS($F$3:$F$1002,F404,$G$3:$G$1002,G404,$H$3:$H$1002,"&lt;&gt;"&amp;H404)&gt;0,F404&amp;" + "&amp;G404&amp;" has another HSN Code on another row",IF(AND(V404&lt;&gt;"",U404=""),"Received Qty needs the Vendor Invoice No",IF(AND(U404&lt;&gt;"",COUNTIFS(Bills!$B$3:$B$302,U404,Bills!$C$3:$C$302,C404)=0),"Add bill "&amp;U404&amp;" of "&amp;C404&amp;" on the Bills sheet",IF(S404&lt;R404,"MRP is below the Purchase Rate","OK")))))))))</f>
        <v/>
      </c>
      <c r="B404" s="29"/>
      <c r="C404" s="22"/>
      <c r="D404" s="22"/>
      <c r="E404" s="24"/>
      <c r="F404" s="22"/>
      <c r="G404" s="22"/>
      <c r="H404" s="22"/>
      <c r="I404" s="30" t="str">
        <f>IF(H404="","",IFERROR(INDEX(Codes!$B$2:$B$13,MATCH(H404,Codes!$A$2:$A$13,0)),""))</f>
        <v/>
      </c>
      <c r="J404" s="23"/>
      <c r="K404" s="23"/>
      <c r="L404" s="23"/>
      <c r="M404" s="23"/>
      <c r="N404" s="23"/>
      <c r="O404" s="23"/>
      <c r="P404" s="23"/>
      <c r="Q404" s="31"/>
      <c r="R404" s="32"/>
      <c r="S404" s="32"/>
      <c r="T404" s="33" t="str">
        <f t="shared" si="12"/>
        <v/>
      </c>
      <c r="U404" s="34"/>
      <c r="V404" s="35"/>
      <c r="W404" s="33" t="str">
        <f t="shared" si="13"/>
        <v/>
      </c>
    </row>
    <row r="405" spans="1:23" x14ac:dyDescent="0.35">
      <c r="A405" s="21" t="str">
        <f>IF(COUNTA(B405:H405,J405:S405,U405:V405)=0,"",IF((IF(B405="","PO Ref, ","")&amp;IF(C405="","Vendor, ","")&amp;IF(D405="","Store, ","")&amp;IF(F405="","Product Type, ","")&amp;IF(G405="","Category, ","")&amp;IF(H405="","HSN Code, ","")&amp;IF(Q405="","Qty, ","")&amp;IF(R405="","Purchase Rate, ","")&amp;IF(S405="","MRP, ",""))&lt;&gt;"","Missing: "&amp;LEFT(IF(B405="","PO Ref, ","")&amp;IF(C405="","Vendor, ","")&amp;IF(D405="","Store, ","")&amp;IF(F405="","Product Type, ","")&amp;IF(G405="","Category, ","")&amp;IF(H405="","HSN Code, ","")&amp;IF(Q405="","Qty, ","")&amp;IF(R405="","Purchase Rate, ","")&amp;IF(S405="","MRP, ",""),LEN(IF(B405="","PO Ref, ","")&amp;IF(C405="","Vendor, ","")&amp;IF(D405="","Store, ","")&amp;IF(F405="","Product Type, ","")&amp;IF(G405="","Category, ","")&amp;IF(H405="","HSN Code, ","")&amp;IF(Q405="","Qty, ","")&amp;IF(R405="","Purchase Rate, ","")&amp;IF(S405="","MRP, ",""))-2),IF(COUNTIF(Vendors!$B$3:$B$202,C405)=0,"Add vendor "&amp;C405&amp;" on the Vendors sheet",IF(ISNA(MATCH(H405,Codes!$A$2:$A$13,0)),"Pick the HSN Code from the list",IF(AND(E405&lt;&gt;"",COUNTIFS($C$3:$C$1002,C405,$E$3:$E$1002,E405,$F$3:$F$1002,"&lt;&gt;"&amp;F405)+COUNTIFS($C$3:$C$1002,C405,$E$3:$E$1002,E405,$G$3:$G$1002,"&lt;&gt;"&amp;G405)&gt;0),"Design "&amp;E405&amp;" has another Product Type or Category on another row",IF(COUNTIFS($F$3:$F$1002,F405,$G$3:$G$1002,G405,$H$3:$H$1002,"&lt;&gt;"&amp;H405)&gt;0,F405&amp;" + "&amp;G405&amp;" has another HSN Code on another row",IF(AND(V405&lt;&gt;"",U405=""),"Received Qty needs the Vendor Invoice No",IF(AND(U405&lt;&gt;"",COUNTIFS(Bills!$B$3:$B$302,U405,Bills!$C$3:$C$302,C405)=0),"Add bill "&amp;U405&amp;" of "&amp;C405&amp;" on the Bills sheet",IF(S405&lt;R405,"MRP is below the Purchase Rate","OK")))))))))</f>
        <v/>
      </c>
      <c r="B405" s="29"/>
      <c r="C405" s="22"/>
      <c r="D405" s="22"/>
      <c r="E405" s="24"/>
      <c r="F405" s="22"/>
      <c r="G405" s="22"/>
      <c r="H405" s="22"/>
      <c r="I405" s="30" t="str">
        <f>IF(H405="","",IFERROR(INDEX(Codes!$B$2:$B$13,MATCH(H405,Codes!$A$2:$A$13,0)),""))</f>
        <v/>
      </c>
      <c r="J405" s="23"/>
      <c r="K405" s="23"/>
      <c r="L405" s="23"/>
      <c r="M405" s="23"/>
      <c r="N405" s="23"/>
      <c r="O405" s="23"/>
      <c r="P405" s="23"/>
      <c r="Q405" s="31"/>
      <c r="R405" s="32"/>
      <c r="S405" s="32"/>
      <c r="T405" s="33" t="str">
        <f t="shared" si="12"/>
        <v/>
      </c>
      <c r="U405" s="34"/>
      <c r="V405" s="35"/>
      <c r="W405" s="33" t="str">
        <f t="shared" si="13"/>
        <v/>
      </c>
    </row>
    <row r="406" spans="1:23" x14ac:dyDescent="0.35">
      <c r="A406" s="21" t="str">
        <f>IF(COUNTA(B406:H406,J406:S406,U406:V406)=0,"",IF((IF(B406="","PO Ref, ","")&amp;IF(C406="","Vendor, ","")&amp;IF(D406="","Store, ","")&amp;IF(F406="","Product Type, ","")&amp;IF(G406="","Category, ","")&amp;IF(H406="","HSN Code, ","")&amp;IF(Q406="","Qty, ","")&amp;IF(R406="","Purchase Rate, ","")&amp;IF(S406="","MRP, ",""))&lt;&gt;"","Missing: "&amp;LEFT(IF(B406="","PO Ref, ","")&amp;IF(C406="","Vendor, ","")&amp;IF(D406="","Store, ","")&amp;IF(F406="","Product Type, ","")&amp;IF(G406="","Category, ","")&amp;IF(H406="","HSN Code, ","")&amp;IF(Q406="","Qty, ","")&amp;IF(R406="","Purchase Rate, ","")&amp;IF(S406="","MRP, ",""),LEN(IF(B406="","PO Ref, ","")&amp;IF(C406="","Vendor, ","")&amp;IF(D406="","Store, ","")&amp;IF(F406="","Product Type, ","")&amp;IF(G406="","Category, ","")&amp;IF(H406="","HSN Code, ","")&amp;IF(Q406="","Qty, ","")&amp;IF(R406="","Purchase Rate, ","")&amp;IF(S406="","MRP, ",""))-2),IF(COUNTIF(Vendors!$B$3:$B$202,C406)=0,"Add vendor "&amp;C406&amp;" on the Vendors sheet",IF(ISNA(MATCH(H406,Codes!$A$2:$A$13,0)),"Pick the HSN Code from the list",IF(AND(E406&lt;&gt;"",COUNTIFS($C$3:$C$1002,C406,$E$3:$E$1002,E406,$F$3:$F$1002,"&lt;&gt;"&amp;F406)+COUNTIFS($C$3:$C$1002,C406,$E$3:$E$1002,E406,$G$3:$G$1002,"&lt;&gt;"&amp;G406)&gt;0),"Design "&amp;E406&amp;" has another Product Type or Category on another row",IF(COUNTIFS($F$3:$F$1002,F406,$G$3:$G$1002,G406,$H$3:$H$1002,"&lt;&gt;"&amp;H406)&gt;0,F406&amp;" + "&amp;G406&amp;" has another HSN Code on another row",IF(AND(V406&lt;&gt;"",U406=""),"Received Qty needs the Vendor Invoice No",IF(AND(U406&lt;&gt;"",COUNTIFS(Bills!$B$3:$B$302,U406,Bills!$C$3:$C$302,C406)=0),"Add bill "&amp;U406&amp;" of "&amp;C406&amp;" on the Bills sheet",IF(S406&lt;R406,"MRP is below the Purchase Rate","OK")))))))))</f>
        <v/>
      </c>
      <c r="B406" s="29"/>
      <c r="C406" s="22"/>
      <c r="D406" s="22"/>
      <c r="E406" s="24"/>
      <c r="F406" s="22"/>
      <c r="G406" s="22"/>
      <c r="H406" s="22"/>
      <c r="I406" s="30" t="str">
        <f>IF(H406="","",IFERROR(INDEX(Codes!$B$2:$B$13,MATCH(H406,Codes!$A$2:$A$13,0)),""))</f>
        <v/>
      </c>
      <c r="J406" s="23"/>
      <c r="K406" s="23"/>
      <c r="L406" s="23"/>
      <c r="M406" s="23"/>
      <c r="N406" s="23"/>
      <c r="O406" s="23"/>
      <c r="P406" s="23"/>
      <c r="Q406" s="31"/>
      <c r="R406" s="32"/>
      <c r="S406" s="32"/>
      <c r="T406" s="33" t="str">
        <f t="shared" si="12"/>
        <v/>
      </c>
      <c r="U406" s="34"/>
      <c r="V406" s="35"/>
      <c r="W406" s="33" t="str">
        <f t="shared" si="13"/>
        <v/>
      </c>
    </row>
    <row r="407" spans="1:23" x14ac:dyDescent="0.35">
      <c r="A407" s="21" t="str">
        <f>IF(COUNTA(B407:H407,J407:S407,U407:V407)=0,"",IF((IF(B407="","PO Ref, ","")&amp;IF(C407="","Vendor, ","")&amp;IF(D407="","Store, ","")&amp;IF(F407="","Product Type, ","")&amp;IF(G407="","Category, ","")&amp;IF(H407="","HSN Code, ","")&amp;IF(Q407="","Qty, ","")&amp;IF(R407="","Purchase Rate, ","")&amp;IF(S407="","MRP, ",""))&lt;&gt;"","Missing: "&amp;LEFT(IF(B407="","PO Ref, ","")&amp;IF(C407="","Vendor, ","")&amp;IF(D407="","Store, ","")&amp;IF(F407="","Product Type, ","")&amp;IF(G407="","Category, ","")&amp;IF(H407="","HSN Code, ","")&amp;IF(Q407="","Qty, ","")&amp;IF(R407="","Purchase Rate, ","")&amp;IF(S407="","MRP, ",""),LEN(IF(B407="","PO Ref, ","")&amp;IF(C407="","Vendor, ","")&amp;IF(D407="","Store, ","")&amp;IF(F407="","Product Type, ","")&amp;IF(G407="","Category, ","")&amp;IF(H407="","HSN Code, ","")&amp;IF(Q407="","Qty, ","")&amp;IF(R407="","Purchase Rate, ","")&amp;IF(S407="","MRP, ",""))-2),IF(COUNTIF(Vendors!$B$3:$B$202,C407)=0,"Add vendor "&amp;C407&amp;" on the Vendors sheet",IF(ISNA(MATCH(H407,Codes!$A$2:$A$13,0)),"Pick the HSN Code from the list",IF(AND(E407&lt;&gt;"",COUNTIFS($C$3:$C$1002,C407,$E$3:$E$1002,E407,$F$3:$F$1002,"&lt;&gt;"&amp;F407)+COUNTIFS($C$3:$C$1002,C407,$E$3:$E$1002,E407,$G$3:$G$1002,"&lt;&gt;"&amp;G407)&gt;0),"Design "&amp;E407&amp;" has another Product Type or Category on another row",IF(COUNTIFS($F$3:$F$1002,F407,$G$3:$G$1002,G407,$H$3:$H$1002,"&lt;&gt;"&amp;H407)&gt;0,F407&amp;" + "&amp;G407&amp;" has another HSN Code on another row",IF(AND(V407&lt;&gt;"",U407=""),"Received Qty needs the Vendor Invoice No",IF(AND(U407&lt;&gt;"",COUNTIFS(Bills!$B$3:$B$302,U407,Bills!$C$3:$C$302,C407)=0),"Add bill "&amp;U407&amp;" of "&amp;C407&amp;" on the Bills sheet",IF(S407&lt;R407,"MRP is below the Purchase Rate","OK")))))))))</f>
        <v/>
      </c>
      <c r="B407" s="29"/>
      <c r="C407" s="22"/>
      <c r="D407" s="22"/>
      <c r="E407" s="24"/>
      <c r="F407" s="22"/>
      <c r="G407" s="22"/>
      <c r="H407" s="22"/>
      <c r="I407" s="30" t="str">
        <f>IF(H407="","",IFERROR(INDEX(Codes!$B$2:$B$13,MATCH(H407,Codes!$A$2:$A$13,0)),""))</f>
        <v/>
      </c>
      <c r="J407" s="23"/>
      <c r="K407" s="23"/>
      <c r="L407" s="23"/>
      <c r="M407" s="23"/>
      <c r="N407" s="23"/>
      <c r="O407" s="23"/>
      <c r="P407" s="23"/>
      <c r="Q407" s="31"/>
      <c r="R407" s="32"/>
      <c r="S407" s="32"/>
      <c r="T407" s="33" t="str">
        <f t="shared" si="12"/>
        <v/>
      </c>
      <c r="U407" s="34"/>
      <c r="V407" s="35"/>
      <c r="W407" s="33" t="str">
        <f t="shared" si="13"/>
        <v/>
      </c>
    </row>
    <row r="408" spans="1:23" x14ac:dyDescent="0.35">
      <c r="A408" s="21" t="str">
        <f>IF(COUNTA(B408:H408,J408:S408,U408:V408)=0,"",IF((IF(B408="","PO Ref, ","")&amp;IF(C408="","Vendor, ","")&amp;IF(D408="","Store, ","")&amp;IF(F408="","Product Type, ","")&amp;IF(G408="","Category, ","")&amp;IF(H408="","HSN Code, ","")&amp;IF(Q408="","Qty, ","")&amp;IF(R408="","Purchase Rate, ","")&amp;IF(S408="","MRP, ",""))&lt;&gt;"","Missing: "&amp;LEFT(IF(B408="","PO Ref, ","")&amp;IF(C408="","Vendor, ","")&amp;IF(D408="","Store, ","")&amp;IF(F408="","Product Type, ","")&amp;IF(G408="","Category, ","")&amp;IF(H408="","HSN Code, ","")&amp;IF(Q408="","Qty, ","")&amp;IF(R408="","Purchase Rate, ","")&amp;IF(S408="","MRP, ",""),LEN(IF(B408="","PO Ref, ","")&amp;IF(C408="","Vendor, ","")&amp;IF(D408="","Store, ","")&amp;IF(F408="","Product Type, ","")&amp;IF(G408="","Category, ","")&amp;IF(H408="","HSN Code, ","")&amp;IF(Q408="","Qty, ","")&amp;IF(R408="","Purchase Rate, ","")&amp;IF(S408="","MRP, ",""))-2),IF(COUNTIF(Vendors!$B$3:$B$202,C408)=0,"Add vendor "&amp;C408&amp;" on the Vendors sheet",IF(ISNA(MATCH(H408,Codes!$A$2:$A$13,0)),"Pick the HSN Code from the list",IF(AND(E408&lt;&gt;"",COUNTIFS($C$3:$C$1002,C408,$E$3:$E$1002,E408,$F$3:$F$1002,"&lt;&gt;"&amp;F408)+COUNTIFS($C$3:$C$1002,C408,$E$3:$E$1002,E408,$G$3:$G$1002,"&lt;&gt;"&amp;G408)&gt;0),"Design "&amp;E408&amp;" has another Product Type or Category on another row",IF(COUNTIFS($F$3:$F$1002,F408,$G$3:$G$1002,G408,$H$3:$H$1002,"&lt;&gt;"&amp;H408)&gt;0,F408&amp;" + "&amp;G408&amp;" has another HSN Code on another row",IF(AND(V408&lt;&gt;"",U408=""),"Received Qty needs the Vendor Invoice No",IF(AND(U408&lt;&gt;"",COUNTIFS(Bills!$B$3:$B$302,U408,Bills!$C$3:$C$302,C408)=0),"Add bill "&amp;U408&amp;" of "&amp;C408&amp;" on the Bills sheet",IF(S408&lt;R408,"MRP is below the Purchase Rate","OK")))))))))</f>
        <v/>
      </c>
      <c r="B408" s="29"/>
      <c r="C408" s="22"/>
      <c r="D408" s="22"/>
      <c r="E408" s="24"/>
      <c r="F408" s="22"/>
      <c r="G408" s="22"/>
      <c r="H408" s="22"/>
      <c r="I408" s="30" t="str">
        <f>IF(H408="","",IFERROR(INDEX(Codes!$B$2:$B$13,MATCH(H408,Codes!$A$2:$A$13,0)),""))</f>
        <v/>
      </c>
      <c r="J408" s="23"/>
      <c r="K408" s="23"/>
      <c r="L408" s="23"/>
      <c r="M408" s="23"/>
      <c r="N408" s="23"/>
      <c r="O408" s="23"/>
      <c r="P408" s="23"/>
      <c r="Q408" s="31"/>
      <c r="R408" s="32"/>
      <c r="S408" s="32"/>
      <c r="T408" s="33" t="str">
        <f t="shared" si="12"/>
        <v/>
      </c>
      <c r="U408" s="34"/>
      <c r="V408" s="35"/>
      <c r="W408" s="33" t="str">
        <f t="shared" si="13"/>
        <v/>
      </c>
    </row>
    <row r="409" spans="1:23" x14ac:dyDescent="0.35">
      <c r="A409" s="21" t="str">
        <f>IF(COUNTA(B409:H409,J409:S409,U409:V409)=0,"",IF((IF(B409="","PO Ref, ","")&amp;IF(C409="","Vendor, ","")&amp;IF(D409="","Store, ","")&amp;IF(F409="","Product Type, ","")&amp;IF(G409="","Category, ","")&amp;IF(H409="","HSN Code, ","")&amp;IF(Q409="","Qty, ","")&amp;IF(R409="","Purchase Rate, ","")&amp;IF(S409="","MRP, ",""))&lt;&gt;"","Missing: "&amp;LEFT(IF(B409="","PO Ref, ","")&amp;IF(C409="","Vendor, ","")&amp;IF(D409="","Store, ","")&amp;IF(F409="","Product Type, ","")&amp;IF(G409="","Category, ","")&amp;IF(H409="","HSN Code, ","")&amp;IF(Q409="","Qty, ","")&amp;IF(R409="","Purchase Rate, ","")&amp;IF(S409="","MRP, ",""),LEN(IF(B409="","PO Ref, ","")&amp;IF(C409="","Vendor, ","")&amp;IF(D409="","Store, ","")&amp;IF(F409="","Product Type, ","")&amp;IF(G409="","Category, ","")&amp;IF(H409="","HSN Code, ","")&amp;IF(Q409="","Qty, ","")&amp;IF(R409="","Purchase Rate, ","")&amp;IF(S409="","MRP, ",""))-2),IF(COUNTIF(Vendors!$B$3:$B$202,C409)=0,"Add vendor "&amp;C409&amp;" on the Vendors sheet",IF(ISNA(MATCH(H409,Codes!$A$2:$A$13,0)),"Pick the HSN Code from the list",IF(AND(E409&lt;&gt;"",COUNTIFS($C$3:$C$1002,C409,$E$3:$E$1002,E409,$F$3:$F$1002,"&lt;&gt;"&amp;F409)+COUNTIFS($C$3:$C$1002,C409,$E$3:$E$1002,E409,$G$3:$G$1002,"&lt;&gt;"&amp;G409)&gt;0),"Design "&amp;E409&amp;" has another Product Type or Category on another row",IF(COUNTIFS($F$3:$F$1002,F409,$G$3:$G$1002,G409,$H$3:$H$1002,"&lt;&gt;"&amp;H409)&gt;0,F409&amp;" + "&amp;G409&amp;" has another HSN Code on another row",IF(AND(V409&lt;&gt;"",U409=""),"Received Qty needs the Vendor Invoice No",IF(AND(U409&lt;&gt;"",COUNTIFS(Bills!$B$3:$B$302,U409,Bills!$C$3:$C$302,C409)=0),"Add bill "&amp;U409&amp;" of "&amp;C409&amp;" on the Bills sheet",IF(S409&lt;R409,"MRP is below the Purchase Rate","OK")))))))))</f>
        <v/>
      </c>
      <c r="B409" s="29"/>
      <c r="C409" s="22"/>
      <c r="D409" s="22"/>
      <c r="E409" s="24"/>
      <c r="F409" s="22"/>
      <c r="G409" s="22"/>
      <c r="H409" s="22"/>
      <c r="I409" s="30" t="str">
        <f>IF(H409="","",IFERROR(INDEX(Codes!$B$2:$B$13,MATCH(H409,Codes!$A$2:$A$13,0)),""))</f>
        <v/>
      </c>
      <c r="J409" s="23"/>
      <c r="K409" s="23"/>
      <c r="L409" s="23"/>
      <c r="M409" s="23"/>
      <c r="N409" s="23"/>
      <c r="O409" s="23"/>
      <c r="P409" s="23"/>
      <c r="Q409" s="31"/>
      <c r="R409" s="32"/>
      <c r="S409" s="32"/>
      <c r="T409" s="33" t="str">
        <f t="shared" si="12"/>
        <v/>
      </c>
      <c r="U409" s="34"/>
      <c r="V409" s="35"/>
      <c r="W409" s="33" t="str">
        <f t="shared" si="13"/>
        <v/>
      </c>
    </row>
    <row r="410" spans="1:23" x14ac:dyDescent="0.35">
      <c r="A410" s="21" t="str">
        <f>IF(COUNTA(B410:H410,J410:S410,U410:V410)=0,"",IF((IF(B410="","PO Ref, ","")&amp;IF(C410="","Vendor, ","")&amp;IF(D410="","Store, ","")&amp;IF(F410="","Product Type, ","")&amp;IF(G410="","Category, ","")&amp;IF(H410="","HSN Code, ","")&amp;IF(Q410="","Qty, ","")&amp;IF(R410="","Purchase Rate, ","")&amp;IF(S410="","MRP, ",""))&lt;&gt;"","Missing: "&amp;LEFT(IF(B410="","PO Ref, ","")&amp;IF(C410="","Vendor, ","")&amp;IF(D410="","Store, ","")&amp;IF(F410="","Product Type, ","")&amp;IF(G410="","Category, ","")&amp;IF(H410="","HSN Code, ","")&amp;IF(Q410="","Qty, ","")&amp;IF(R410="","Purchase Rate, ","")&amp;IF(S410="","MRP, ",""),LEN(IF(B410="","PO Ref, ","")&amp;IF(C410="","Vendor, ","")&amp;IF(D410="","Store, ","")&amp;IF(F410="","Product Type, ","")&amp;IF(G410="","Category, ","")&amp;IF(H410="","HSN Code, ","")&amp;IF(Q410="","Qty, ","")&amp;IF(R410="","Purchase Rate, ","")&amp;IF(S410="","MRP, ",""))-2),IF(COUNTIF(Vendors!$B$3:$B$202,C410)=0,"Add vendor "&amp;C410&amp;" on the Vendors sheet",IF(ISNA(MATCH(H410,Codes!$A$2:$A$13,0)),"Pick the HSN Code from the list",IF(AND(E410&lt;&gt;"",COUNTIFS($C$3:$C$1002,C410,$E$3:$E$1002,E410,$F$3:$F$1002,"&lt;&gt;"&amp;F410)+COUNTIFS($C$3:$C$1002,C410,$E$3:$E$1002,E410,$G$3:$G$1002,"&lt;&gt;"&amp;G410)&gt;0),"Design "&amp;E410&amp;" has another Product Type or Category on another row",IF(COUNTIFS($F$3:$F$1002,F410,$G$3:$G$1002,G410,$H$3:$H$1002,"&lt;&gt;"&amp;H410)&gt;0,F410&amp;" + "&amp;G410&amp;" has another HSN Code on another row",IF(AND(V410&lt;&gt;"",U410=""),"Received Qty needs the Vendor Invoice No",IF(AND(U410&lt;&gt;"",COUNTIFS(Bills!$B$3:$B$302,U410,Bills!$C$3:$C$302,C410)=0),"Add bill "&amp;U410&amp;" of "&amp;C410&amp;" on the Bills sheet",IF(S410&lt;R410,"MRP is below the Purchase Rate","OK")))))))))</f>
        <v/>
      </c>
      <c r="B410" s="29"/>
      <c r="C410" s="22"/>
      <c r="D410" s="22"/>
      <c r="E410" s="24"/>
      <c r="F410" s="22"/>
      <c r="G410" s="22"/>
      <c r="H410" s="22"/>
      <c r="I410" s="30" t="str">
        <f>IF(H410="","",IFERROR(INDEX(Codes!$B$2:$B$13,MATCH(H410,Codes!$A$2:$A$13,0)),""))</f>
        <v/>
      </c>
      <c r="J410" s="23"/>
      <c r="K410" s="23"/>
      <c r="L410" s="23"/>
      <c r="M410" s="23"/>
      <c r="N410" s="23"/>
      <c r="O410" s="23"/>
      <c r="P410" s="23"/>
      <c r="Q410" s="31"/>
      <c r="R410" s="32"/>
      <c r="S410" s="32"/>
      <c r="T410" s="33" t="str">
        <f t="shared" si="12"/>
        <v/>
      </c>
      <c r="U410" s="34"/>
      <c r="V410" s="35"/>
      <c r="W410" s="33" t="str">
        <f t="shared" si="13"/>
        <v/>
      </c>
    </row>
    <row r="411" spans="1:23" x14ac:dyDescent="0.35">
      <c r="A411" s="21" t="str">
        <f>IF(COUNTA(B411:H411,J411:S411,U411:V411)=0,"",IF((IF(B411="","PO Ref, ","")&amp;IF(C411="","Vendor, ","")&amp;IF(D411="","Store, ","")&amp;IF(F411="","Product Type, ","")&amp;IF(G411="","Category, ","")&amp;IF(H411="","HSN Code, ","")&amp;IF(Q411="","Qty, ","")&amp;IF(R411="","Purchase Rate, ","")&amp;IF(S411="","MRP, ",""))&lt;&gt;"","Missing: "&amp;LEFT(IF(B411="","PO Ref, ","")&amp;IF(C411="","Vendor, ","")&amp;IF(D411="","Store, ","")&amp;IF(F411="","Product Type, ","")&amp;IF(G411="","Category, ","")&amp;IF(H411="","HSN Code, ","")&amp;IF(Q411="","Qty, ","")&amp;IF(R411="","Purchase Rate, ","")&amp;IF(S411="","MRP, ",""),LEN(IF(B411="","PO Ref, ","")&amp;IF(C411="","Vendor, ","")&amp;IF(D411="","Store, ","")&amp;IF(F411="","Product Type, ","")&amp;IF(G411="","Category, ","")&amp;IF(H411="","HSN Code, ","")&amp;IF(Q411="","Qty, ","")&amp;IF(R411="","Purchase Rate, ","")&amp;IF(S411="","MRP, ",""))-2),IF(COUNTIF(Vendors!$B$3:$B$202,C411)=0,"Add vendor "&amp;C411&amp;" on the Vendors sheet",IF(ISNA(MATCH(H411,Codes!$A$2:$A$13,0)),"Pick the HSN Code from the list",IF(AND(E411&lt;&gt;"",COUNTIFS($C$3:$C$1002,C411,$E$3:$E$1002,E411,$F$3:$F$1002,"&lt;&gt;"&amp;F411)+COUNTIFS($C$3:$C$1002,C411,$E$3:$E$1002,E411,$G$3:$G$1002,"&lt;&gt;"&amp;G411)&gt;0),"Design "&amp;E411&amp;" has another Product Type or Category on another row",IF(COUNTIFS($F$3:$F$1002,F411,$G$3:$G$1002,G411,$H$3:$H$1002,"&lt;&gt;"&amp;H411)&gt;0,F411&amp;" + "&amp;G411&amp;" has another HSN Code on another row",IF(AND(V411&lt;&gt;"",U411=""),"Received Qty needs the Vendor Invoice No",IF(AND(U411&lt;&gt;"",COUNTIFS(Bills!$B$3:$B$302,U411,Bills!$C$3:$C$302,C411)=0),"Add bill "&amp;U411&amp;" of "&amp;C411&amp;" on the Bills sheet",IF(S411&lt;R411,"MRP is below the Purchase Rate","OK")))))))))</f>
        <v/>
      </c>
      <c r="B411" s="29"/>
      <c r="C411" s="22"/>
      <c r="D411" s="22"/>
      <c r="E411" s="24"/>
      <c r="F411" s="22"/>
      <c r="G411" s="22"/>
      <c r="H411" s="22"/>
      <c r="I411" s="30" t="str">
        <f>IF(H411="","",IFERROR(INDEX(Codes!$B$2:$B$13,MATCH(H411,Codes!$A$2:$A$13,0)),""))</f>
        <v/>
      </c>
      <c r="J411" s="23"/>
      <c r="K411" s="23"/>
      <c r="L411" s="23"/>
      <c r="M411" s="23"/>
      <c r="N411" s="23"/>
      <c r="O411" s="23"/>
      <c r="P411" s="23"/>
      <c r="Q411" s="31"/>
      <c r="R411" s="32"/>
      <c r="S411" s="32"/>
      <c r="T411" s="33" t="str">
        <f t="shared" si="12"/>
        <v/>
      </c>
      <c r="U411" s="34"/>
      <c r="V411" s="35"/>
      <c r="W411" s="33" t="str">
        <f t="shared" si="13"/>
        <v/>
      </c>
    </row>
    <row r="412" spans="1:23" x14ac:dyDescent="0.35">
      <c r="A412" s="21" t="str">
        <f>IF(COUNTA(B412:H412,J412:S412,U412:V412)=0,"",IF((IF(B412="","PO Ref, ","")&amp;IF(C412="","Vendor, ","")&amp;IF(D412="","Store, ","")&amp;IF(F412="","Product Type, ","")&amp;IF(G412="","Category, ","")&amp;IF(H412="","HSN Code, ","")&amp;IF(Q412="","Qty, ","")&amp;IF(R412="","Purchase Rate, ","")&amp;IF(S412="","MRP, ",""))&lt;&gt;"","Missing: "&amp;LEFT(IF(B412="","PO Ref, ","")&amp;IF(C412="","Vendor, ","")&amp;IF(D412="","Store, ","")&amp;IF(F412="","Product Type, ","")&amp;IF(G412="","Category, ","")&amp;IF(H412="","HSN Code, ","")&amp;IF(Q412="","Qty, ","")&amp;IF(R412="","Purchase Rate, ","")&amp;IF(S412="","MRP, ",""),LEN(IF(B412="","PO Ref, ","")&amp;IF(C412="","Vendor, ","")&amp;IF(D412="","Store, ","")&amp;IF(F412="","Product Type, ","")&amp;IF(G412="","Category, ","")&amp;IF(H412="","HSN Code, ","")&amp;IF(Q412="","Qty, ","")&amp;IF(R412="","Purchase Rate, ","")&amp;IF(S412="","MRP, ",""))-2),IF(COUNTIF(Vendors!$B$3:$B$202,C412)=0,"Add vendor "&amp;C412&amp;" on the Vendors sheet",IF(ISNA(MATCH(H412,Codes!$A$2:$A$13,0)),"Pick the HSN Code from the list",IF(AND(E412&lt;&gt;"",COUNTIFS($C$3:$C$1002,C412,$E$3:$E$1002,E412,$F$3:$F$1002,"&lt;&gt;"&amp;F412)+COUNTIFS($C$3:$C$1002,C412,$E$3:$E$1002,E412,$G$3:$G$1002,"&lt;&gt;"&amp;G412)&gt;0),"Design "&amp;E412&amp;" has another Product Type or Category on another row",IF(COUNTIFS($F$3:$F$1002,F412,$G$3:$G$1002,G412,$H$3:$H$1002,"&lt;&gt;"&amp;H412)&gt;0,F412&amp;" + "&amp;G412&amp;" has another HSN Code on another row",IF(AND(V412&lt;&gt;"",U412=""),"Received Qty needs the Vendor Invoice No",IF(AND(U412&lt;&gt;"",COUNTIFS(Bills!$B$3:$B$302,U412,Bills!$C$3:$C$302,C412)=0),"Add bill "&amp;U412&amp;" of "&amp;C412&amp;" on the Bills sheet",IF(S412&lt;R412,"MRP is below the Purchase Rate","OK")))))))))</f>
        <v/>
      </c>
      <c r="B412" s="29"/>
      <c r="C412" s="22"/>
      <c r="D412" s="22"/>
      <c r="E412" s="24"/>
      <c r="F412" s="22"/>
      <c r="G412" s="22"/>
      <c r="H412" s="22"/>
      <c r="I412" s="30" t="str">
        <f>IF(H412="","",IFERROR(INDEX(Codes!$B$2:$B$13,MATCH(H412,Codes!$A$2:$A$13,0)),""))</f>
        <v/>
      </c>
      <c r="J412" s="23"/>
      <c r="K412" s="23"/>
      <c r="L412" s="23"/>
      <c r="M412" s="23"/>
      <c r="N412" s="23"/>
      <c r="O412" s="23"/>
      <c r="P412" s="23"/>
      <c r="Q412" s="31"/>
      <c r="R412" s="32"/>
      <c r="S412" s="32"/>
      <c r="T412" s="33" t="str">
        <f t="shared" si="12"/>
        <v/>
      </c>
      <c r="U412" s="34"/>
      <c r="V412" s="35"/>
      <c r="W412" s="33" t="str">
        <f t="shared" si="13"/>
        <v/>
      </c>
    </row>
    <row r="413" spans="1:23" x14ac:dyDescent="0.35">
      <c r="A413" s="21" t="str">
        <f>IF(COUNTA(B413:H413,J413:S413,U413:V413)=0,"",IF((IF(B413="","PO Ref, ","")&amp;IF(C413="","Vendor, ","")&amp;IF(D413="","Store, ","")&amp;IF(F413="","Product Type, ","")&amp;IF(G413="","Category, ","")&amp;IF(H413="","HSN Code, ","")&amp;IF(Q413="","Qty, ","")&amp;IF(R413="","Purchase Rate, ","")&amp;IF(S413="","MRP, ",""))&lt;&gt;"","Missing: "&amp;LEFT(IF(B413="","PO Ref, ","")&amp;IF(C413="","Vendor, ","")&amp;IF(D413="","Store, ","")&amp;IF(F413="","Product Type, ","")&amp;IF(G413="","Category, ","")&amp;IF(H413="","HSN Code, ","")&amp;IF(Q413="","Qty, ","")&amp;IF(R413="","Purchase Rate, ","")&amp;IF(S413="","MRP, ",""),LEN(IF(B413="","PO Ref, ","")&amp;IF(C413="","Vendor, ","")&amp;IF(D413="","Store, ","")&amp;IF(F413="","Product Type, ","")&amp;IF(G413="","Category, ","")&amp;IF(H413="","HSN Code, ","")&amp;IF(Q413="","Qty, ","")&amp;IF(R413="","Purchase Rate, ","")&amp;IF(S413="","MRP, ",""))-2),IF(COUNTIF(Vendors!$B$3:$B$202,C413)=0,"Add vendor "&amp;C413&amp;" on the Vendors sheet",IF(ISNA(MATCH(H413,Codes!$A$2:$A$13,0)),"Pick the HSN Code from the list",IF(AND(E413&lt;&gt;"",COUNTIFS($C$3:$C$1002,C413,$E$3:$E$1002,E413,$F$3:$F$1002,"&lt;&gt;"&amp;F413)+COUNTIFS($C$3:$C$1002,C413,$E$3:$E$1002,E413,$G$3:$G$1002,"&lt;&gt;"&amp;G413)&gt;0),"Design "&amp;E413&amp;" has another Product Type or Category on another row",IF(COUNTIFS($F$3:$F$1002,F413,$G$3:$G$1002,G413,$H$3:$H$1002,"&lt;&gt;"&amp;H413)&gt;0,F413&amp;" + "&amp;G413&amp;" has another HSN Code on another row",IF(AND(V413&lt;&gt;"",U413=""),"Received Qty needs the Vendor Invoice No",IF(AND(U413&lt;&gt;"",COUNTIFS(Bills!$B$3:$B$302,U413,Bills!$C$3:$C$302,C413)=0),"Add bill "&amp;U413&amp;" of "&amp;C413&amp;" on the Bills sheet",IF(S413&lt;R413,"MRP is below the Purchase Rate","OK")))))))))</f>
        <v/>
      </c>
      <c r="B413" s="29"/>
      <c r="C413" s="22"/>
      <c r="D413" s="22"/>
      <c r="E413" s="24"/>
      <c r="F413" s="22"/>
      <c r="G413" s="22"/>
      <c r="H413" s="22"/>
      <c r="I413" s="30" t="str">
        <f>IF(H413="","",IFERROR(INDEX(Codes!$B$2:$B$13,MATCH(H413,Codes!$A$2:$A$13,0)),""))</f>
        <v/>
      </c>
      <c r="J413" s="23"/>
      <c r="K413" s="23"/>
      <c r="L413" s="23"/>
      <c r="M413" s="23"/>
      <c r="N413" s="23"/>
      <c r="O413" s="23"/>
      <c r="P413" s="23"/>
      <c r="Q413" s="31"/>
      <c r="R413" s="32"/>
      <c r="S413" s="32"/>
      <c r="T413" s="33" t="str">
        <f t="shared" si="12"/>
        <v/>
      </c>
      <c r="U413" s="34"/>
      <c r="V413" s="35"/>
      <c r="W413" s="33" t="str">
        <f t="shared" si="13"/>
        <v/>
      </c>
    </row>
    <row r="414" spans="1:23" x14ac:dyDescent="0.35">
      <c r="A414" s="21" t="str">
        <f>IF(COUNTA(B414:H414,J414:S414,U414:V414)=0,"",IF((IF(B414="","PO Ref, ","")&amp;IF(C414="","Vendor, ","")&amp;IF(D414="","Store, ","")&amp;IF(F414="","Product Type, ","")&amp;IF(G414="","Category, ","")&amp;IF(H414="","HSN Code, ","")&amp;IF(Q414="","Qty, ","")&amp;IF(R414="","Purchase Rate, ","")&amp;IF(S414="","MRP, ",""))&lt;&gt;"","Missing: "&amp;LEFT(IF(B414="","PO Ref, ","")&amp;IF(C414="","Vendor, ","")&amp;IF(D414="","Store, ","")&amp;IF(F414="","Product Type, ","")&amp;IF(G414="","Category, ","")&amp;IF(H414="","HSN Code, ","")&amp;IF(Q414="","Qty, ","")&amp;IF(R414="","Purchase Rate, ","")&amp;IF(S414="","MRP, ",""),LEN(IF(B414="","PO Ref, ","")&amp;IF(C414="","Vendor, ","")&amp;IF(D414="","Store, ","")&amp;IF(F414="","Product Type, ","")&amp;IF(G414="","Category, ","")&amp;IF(H414="","HSN Code, ","")&amp;IF(Q414="","Qty, ","")&amp;IF(R414="","Purchase Rate, ","")&amp;IF(S414="","MRP, ",""))-2),IF(COUNTIF(Vendors!$B$3:$B$202,C414)=0,"Add vendor "&amp;C414&amp;" on the Vendors sheet",IF(ISNA(MATCH(H414,Codes!$A$2:$A$13,0)),"Pick the HSN Code from the list",IF(AND(E414&lt;&gt;"",COUNTIFS($C$3:$C$1002,C414,$E$3:$E$1002,E414,$F$3:$F$1002,"&lt;&gt;"&amp;F414)+COUNTIFS($C$3:$C$1002,C414,$E$3:$E$1002,E414,$G$3:$G$1002,"&lt;&gt;"&amp;G414)&gt;0),"Design "&amp;E414&amp;" has another Product Type or Category on another row",IF(COUNTIFS($F$3:$F$1002,F414,$G$3:$G$1002,G414,$H$3:$H$1002,"&lt;&gt;"&amp;H414)&gt;0,F414&amp;" + "&amp;G414&amp;" has another HSN Code on another row",IF(AND(V414&lt;&gt;"",U414=""),"Received Qty needs the Vendor Invoice No",IF(AND(U414&lt;&gt;"",COUNTIFS(Bills!$B$3:$B$302,U414,Bills!$C$3:$C$302,C414)=0),"Add bill "&amp;U414&amp;" of "&amp;C414&amp;" on the Bills sheet",IF(S414&lt;R414,"MRP is below the Purchase Rate","OK")))))))))</f>
        <v/>
      </c>
      <c r="B414" s="29"/>
      <c r="C414" s="22"/>
      <c r="D414" s="22"/>
      <c r="E414" s="24"/>
      <c r="F414" s="22"/>
      <c r="G414" s="22"/>
      <c r="H414" s="22"/>
      <c r="I414" s="30" t="str">
        <f>IF(H414="","",IFERROR(INDEX(Codes!$B$2:$B$13,MATCH(H414,Codes!$A$2:$A$13,0)),""))</f>
        <v/>
      </c>
      <c r="J414" s="23"/>
      <c r="K414" s="23"/>
      <c r="L414" s="23"/>
      <c r="M414" s="23"/>
      <c r="N414" s="23"/>
      <c r="O414" s="23"/>
      <c r="P414" s="23"/>
      <c r="Q414" s="31"/>
      <c r="R414" s="32"/>
      <c r="S414" s="32"/>
      <c r="T414" s="33" t="str">
        <f t="shared" si="12"/>
        <v/>
      </c>
      <c r="U414" s="34"/>
      <c r="V414" s="35"/>
      <c r="W414" s="33" t="str">
        <f t="shared" si="13"/>
        <v/>
      </c>
    </row>
    <row r="415" spans="1:23" x14ac:dyDescent="0.35">
      <c r="A415" s="21" t="str">
        <f>IF(COUNTA(B415:H415,J415:S415,U415:V415)=0,"",IF((IF(B415="","PO Ref, ","")&amp;IF(C415="","Vendor, ","")&amp;IF(D415="","Store, ","")&amp;IF(F415="","Product Type, ","")&amp;IF(G415="","Category, ","")&amp;IF(H415="","HSN Code, ","")&amp;IF(Q415="","Qty, ","")&amp;IF(R415="","Purchase Rate, ","")&amp;IF(S415="","MRP, ",""))&lt;&gt;"","Missing: "&amp;LEFT(IF(B415="","PO Ref, ","")&amp;IF(C415="","Vendor, ","")&amp;IF(D415="","Store, ","")&amp;IF(F415="","Product Type, ","")&amp;IF(G415="","Category, ","")&amp;IF(H415="","HSN Code, ","")&amp;IF(Q415="","Qty, ","")&amp;IF(R415="","Purchase Rate, ","")&amp;IF(S415="","MRP, ",""),LEN(IF(B415="","PO Ref, ","")&amp;IF(C415="","Vendor, ","")&amp;IF(D415="","Store, ","")&amp;IF(F415="","Product Type, ","")&amp;IF(G415="","Category, ","")&amp;IF(H415="","HSN Code, ","")&amp;IF(Q415="","Qty, ","")&amp;IF(R415="","Purchase Rate, ","")&amp;IF(S415="","MRP, ",""))-2),IF(COUNTIF(Vendors!$B$3:$B$202,C415)=0,"Add vendor "&amp;C415&amp;" on the Vendors sheet",IF(ISNA(MATCH(H415,Codes!$A$2:$A$13,0)),"Pick the HSN Code from the list",IF(AND(E415&lt;&gt;"",COUNTIFS($C$3:$C$1002,C415,$E$3:$E$1002,E415,$F$3:$F$1002,"&lt;&gt;"&amp;F415)+COUNTIFS($C$3:$C$1002,C415,$E$3:$E$1002,E415,$G$3:$G$1002,"&lt;&gt;"&amp;G415)&gt;0),"Design "&amp;E415&amp;" has another Product Type or Category on another row",IF(COUNTIFS($F$3:$F$1002,F415,$G$3:$G$1002,G415,$H$3:$H$1002,"&lt;&gt;"&amp;H415)&gt;0,F415&amp;" + "&amp;G415&amp;" has another HSN Code on another row",IF(AND(V415&lt;&gt;"",U415=""),"Received Qty needs the Vendor Invoice No",IF(AND(U415&lt;&gt;"",COUNTIFS(Bills!$B$3:$B$302,U415,Bills!$C$3:$C$302,C415)=0),"Add bill "&amp;U415&amp;" of "&amp;C415&amp;" on the Bills sheet",IF(S415&lt;R415,"MRP is below the Purchase Rate","OK")))))))))</f>
        <v/>
      </c>
      <c r="B415" s="29"/>
      <c r="C415" s="22"/>
      <c r="D415" s="22"/>
      <c r="E415" s="24"/>
      <c r="F415" s="22"/>
      <c r="G415" s="22"/>
      <c r="H415" s="22"/>
      <c r="I415" s="30" t="str">
        <f>IF(H415="","",IFERROR(INDEX(Codes!$B$2:$B$13,MATCH(H415,Codes!$A$2:$A$13,0)),""))</f>
        <v/>
      </c>
      <c r="J415" s="23"/>
      <c r="K415" s="23"/>
      <c r="L415" s="23"/>
      <c r="M415" s="23"/>
      <c r="N415" s="23"/>
      <c r="O415" s="23"/>
      <c r="P415" s="23"/>
      <c r="Q415" s="31"/>
      <c r="R415" s="32"/>
      <c r="S415" s="32"/>
      <c r="T415" s="33" t="str">
        <f t="shared" si="12"/>
        <v/>
      </c>
      <c r="U415" s="34"/>
      <c r="V415" s="35"/>
      <c r="W415" s="33" t="str">
        <f t="shared" si="13"/>
        <v/>
      </c>
    </row>
    <row r="416" spans="1:23" x14ac:dyDescent="0.35">
      <c r="A416" s="21" t="str">
        <f>IF(COUNTA(B416:H416,J416:S416,U416:V416)=0,"",IF((IF(B416="","PO Ref, ","")&amp;IF(C416="","Vendor, ","")&amp;IF(D416="","Store, ","")&amp;IF(F416="","Product Type, ","")&amp;IF(G416="","Category, ","")&amp;IF(H416="","HSN Code, ","")&amp;IF(Q416="","Qty, ","")&amp;IF(R416="","Purchase Rate, ","")&amp;IF(S416="","MRP, ",""))&lt;&gt;"","Missing: "&amp;LEFT(IF(B416="","PO Ref, ","")&amp;IF(C416="","Vendor, ","")&amp;IF(D416="","Store, ","")&amp;IF(F416="","Product Type, ","")&amp;IF(G416="","Category, ","")&amp;IF(H416="","HSN Code, ","")&amp;IF(Q416="","Qty, ","")&amp;IF(R416="","Purchase Rate, ","")&amp;IF(S416="","MRP, ",""),LEN(IF(B416="","PO Ref, ","")&amp;IF(C416="","Vendor, ","")&amp;IF(D416="","Store, ","")&amp;IF(F416="","Product Type, ","")&amp;IF(G416="","Category, ","")&amp;IF(H416="","HSN Code, ","")&amp;IF(Q416="","Qty, ","")&amp;IF(R416="","Purchase Rate, ","")&amp;IF(S416="","MRP, ",""))-2),IF(COUNTIF(Vendors!$B$3:$B$202,C416)=0,"Add vendor "&amp;C416&amp;" on the Vendors sheet",IF(ISNA(MATCH(H416,Codes!$A$2:$A$13,0)),"Pick the HSN Code from the list",IF(AND(E416&lt;&gt;"",COUNTIFS($C$3:$C$1002,C416,$E$3:$E$1002,E416,$F$3:$F$1002,"&lt;&gt;"&amp;F416)+COUNTIFS($C$3:$C$1002,C416,$E$3:$E$1002,E416,$G$3:$G$1002,"&lt;&gt;"&amp;G416)&gt;0),"Design "&amp;E416&amp;" has another Product Type or Category on another row",IF(COUNTIFS($F$3:$F$1002,F416,$G$3:$G$1002,G416,$H$3:$H$1002,"&lt;&gt;"&amp;H416)&gt;0,F416&amp;" + "&amp;G416&amp;" has another HSN Code on another row",IF(AND(V416&lt;&gt;"",U416=""),"Received Qty needs the Vendor Invoice No",IF(AND(U416&lt;&gt;"",COUNTIFS(Bills!$B$3:$B$302,U416,Bills!$C$3:$C$302,C416)=0),"Add bill "&amp;U416&amp;" of "&amp;C416&amp;" on the Bills sheet",IF(S416&lt;R416,"MRP is below the Purchase Rate","OK")))))))))</f>
        <v/>
      </c>
      <c r="B416" s="29"/>
      <c r="C416" s="22"/>
      <c r="D416" s="22"/>
      <c r="E416" s="24"/>
      <c r="F416" s="22"/>
      <c r="G416" s="22"/>
      <c r="H416" s="22"/>
      <c r="I416" s="30" t="str">
        <f>IF(H416="","",IFERROR(INDEX(Codes!$B$2:$B$13,MATCH(H416,Codes!$A$2:$A$13,0)),""))</f>
        <v/>
      </c>
      <c r="J416" s="23"/>
      <c r="K416" s="23"/>
      <c r="L416" s="23"/>
      <c r="M416" s="23"/>
      <c r="N416" s="23"/>
      <c r="O416" s="23"/>
      <c r="P416" s="23"/>
      <c r="Q416" s="31"/>
      <c r="R416" s="32"/>
      <c r="S416" s="32"/>
      <c r="T416" s="33" t="str">
        <f t="shared" si="12"/>
        <v/>
      </c>
      <c r="U416" s="34"/>
      <c r="V416" s="35"/>
      <c r="W416" s="33" t="str">
        <f t="shared" si="13"/>
        <v/>
      </c>
    </row>
    <row r="417" spans="1:23" x14ac:dyDescent="0.35">
      <c r="A417" s="21" t="str">
        <f>IF(COUNTA(B417:H417,J417:S417,U417:V417)=0,"",IF((IF(B417="","PO Ref, ","")&amp;IF(C417="","Vendor, ","")&amp;IF(D417="","Store, ","")&amp;IF(F417="","Product Type, ","")&amp;IF(G417="","Category, ","")&amp;IF(H417="","HSN Code, ","")&amp;IF(Q417="","Qty, ","")&amp;IF(R417="","Purchase Rate, ","")&amp;IF(S417="","MRP, ",""))&lt;&gt;"","Missing: "&amp;LEFT(IF(B417="","PO Ref, ","")&amp;IF(C417="","Vendor, ","")&amp;IF(D417="","Store, ","")&amp;IF(F417="","Product Type, ","")&amp;IF(G417="","Category, ","")&amp;IF(H417="","HSN Code, ","")&amp;IF(Q417="","Qty, ","")&amp;IF(R417="","Purchase Rate, ","")&amp;IF(S417="","MRP, ",""),LEN(IF(B417="","PO Ref, ","")&amp;IF(C417="","Vendor, ","")&amp;IF(D417="","Store, ","")&amp;IF(F417="","Product Type, ","")&amp;IF(G417="","Category, ","")&amp;IF(H417="","HSN Code, ","")&amp;IF(Q417="","Qty, ","")&amp;IF(R417="","Purchase Rate, ","")&amp;IF(S417="","MRP, ",""))-2),IF(COUNTIF(Vendors!$B$3:$B$202,C417)=0,"Add vendor "&amp;C417&amp;" on the Vendors sheet",IF(ISNA(MATCH(H417,Codes!$A$2:$A$13,0)),"Pick the HSN Code from the list",IF(AND(E417&lt;&gt;"",COUNTIFS($C$3:$C$1002,C417,$E$3:$E$1002,E417,$F$3:$F$1002,"&lt;&gt;"&amp;F417)+COUNTIFS($C$3:$C$1002,C417,$E$3:$E$1002,E417,$G$3:$G$1002,"&lt;&gt;"&amp;G417)&gt;0),"Design "&amp;E417&amp;" has another Product Type or Category on another row",IF(COUNTIFS($F$3:$F$1002,F417,$G$3:$G$1002,G417,$H$3:$H$1002,"&lt;&gt;"&amp;H417)&gt;0,F417&amp;" + "&amp;G417&amp;" has another HSN Code on another row",IF(AND(V417&lt;&gt;"",U417=""),"Received Qty needs the Vendor Invoice No",IF(AND(U417&lt;&gt;"",COUNTIFS(Bills!$B$3:$B$302,U417,Bills!$C$3:$C$302,C417)=0),"Add bill "&amp;U417&amp;" of "&amp;C417&amp;" on the Bills sheet",IF(S417&lt;R417,"MRP is below the Purchase Rate","OK")))))))))</f>
        <v/>
      </c>
      <c r="B417" s="29"/>
      <c r="C417" s="22"/>
      <c r="D417" s="22"/>
      <c r="E417" s="24"/>
      <c r="F417" s="22"/>
      <c r="G417" s="22"/>
      <c r="H417" s="22"/>
      <c r="I417" s="30" t="str">
        <f>IF(H417="","",IFERROR(INDEX(Codes!$B$2:$B$13,MATCH(H417,Codes!$A$2:$A$13,0)),""))</f>
        <v/>
      </c>
      <c r="J417" s="23"/>
      <c r="K417" s="23"/>
      <c r="L417" s="23"/>
      <c r="M417" s="23"/>
      <c r="N417" s="23"/>
      <c r="O417" s="23"/>
      <c r="P417" s="23"/>
      <c r="Q417" s="31"/>
      <c r="R417" s="32"/>
      <c r="S417" s="32"/>
      <c r="T417" s="33" t="str">
        <f t="shared" si="12"/>
        <v/>
      </c>
      <c r="U417" s="34"/>
      <c r="V417" s="35"/>
      <c r="W417" s="33" t="str">
        <f t="shared" si="13"/>
        <v/>
      </c>
    </row>
    <row r="418" spans="1:23" x14ac:dyDescent="0.35">
      <c r="A418" s="21" t="str">
        <f>IF(COUNTA(B418:H418,J418:S418,U418:V418)=0,"",IF((IF(B418="","PO Ref, ","")&amp;IF(C418="","Vendor, ","")&amp;IF(D418="","Store, ","")&amp;IF(F418="","Product Type, ","")&amp;IF(G418="","Category, ","")&amp;IF(H418="","HSN Code, ","")&amp;IF(Q418="","Qty, ","")&amp;IF(R418="","Purchase Rate, ","")&amp;IF(S418="","MRP, ",""))&lt;&gt;"","Missing: "&amp;LEFT(IF(B418="","PO Ref, ","")&amp;IF(C418="","Vendor, ","")&amp;IF(D418="","Store, ","")&amp;IF(F418="","Product Type, ","")&amp;IF(G418="","Category, ","")&amp;IF(H418="","HSN Code, ","")&amp;IF(Q418="","Qty, ","")&amp;IF(R418="","Purchase Rate, ","")&amp;IF(S418="","MRP, ",""),LEN(IF(B418="","PO Ref, ","")&amp;IF(C418="","Vendor, ","")&amp;IF(D418="","Store, ","")&amp;IF(F418="","Product Type, ","")&amp;IF(G418="","Category, ","")&amp;IF(H418="","HSN Code, ","")&amp;IF(Q418="","Qty, ","")&amp;IF(R418="","Purchase Rate, ","")&amp;IF(S418="","MRP, ",""))-2),IF(COUNTIF(Vendors!$B$3:$B$202,C418)=0,"Add vendor "&amp;C418&amp;" on the Vendors sheet",IF(ISNA(MATCH(H418,Codes!$A$2:$A$13,0)),"Pick the HSN Code from the list",IF(AND(E418&lt;&gt;"",COUNTIFS($C$3:$C$1002,C418,$E$3:$E$1002,E418,$F$3:$F$1002,"&lt;&gt;"&amp;F418)+COUNTIFS($C$3:$C$1002,C418,$E$3:$E$1002,E418,$G$3:$G$1002,"&lt;&gt;"&amp;G418)&gt;0),"Design "&amp;E418&amp;" has another Product Type or Category on another row",IF(COUNTIFS($F$3:$F$1002,F418,$G$3:$G$1002,G418,$H$3:$H$1002,"&lt;&gt;"&amp;H418)&gt;0,F418&amp;" + "&amp;G418&amp;" has another HSN Code on another row",IF(AND(V418&lt;&gt;"",U418=""),"Received Qty needs the Vendor Invoice No",IF(AND(U418&lt;&gt;"",COUNTIFS(Bills!$B$3:$B$302,U418,Bills!$C$3:$C$302,C418)=0),"Add bill "&amp;U418&amp;" of "&amp;C418&amp;" on the Bills sheet",IF(S418&lt;R418,"MRP is below the Purchase Rate","OK")))))))))</f>
        <v/>
      </c>
      <c r="B418" s="29"/>
      <c r="C418" s="22"/>
      <c r="D418" s="22"/>
      <c r="E418" s="24"/>
      <c r="F418" s="22"/>
      <c r="G418" s="22"/>
      <c r="H418" s="22"/>
      <c r="I418" s="30" t="str">
        <f>IF(H418="","",IFERROR(INDEX(Codes!$B$2:$B$13,MATCH(H418,Codes!$A$2:$A$13,0)),""))</f>
        <v/>
      </c>
      <c r="J418" s="23"/>
      <c r="K418" s="23"/>
      <c r="L418" s="23"/>
      <c r="M418" s="23"/>
      <c r="N418" s="23"/>
      <c r="O418" s="23"/>
      <c r="P418" s="23"/>
      <c r="Q418" s="31"/>
      <c r="R418" s="32"/>
      <c r="S418" s="32"/>
      <c r="T418" s="33" t="str">
        <f t="shared" si="12"/>
        <v/>
      </c>
      <c r="U418" s="34"/>
      <c r="V418" s="35"/>
      <c r="W418" s="33" t="str">
        <f t="shared" si="13"/>
        <v/>
      </c>
    </row>
    <row r="419" spans="1:23" x14ac:dyDescent="0.35">
      <c r="A419" s="21" t="str">
        <f>IF(COUNTA(B419:H419,J419:S419,U419:V419)=0,"",IF((IF(B419="","PO Ref, ","")&amp;IF(C419="","Vendor, ","")&amp;IF(D419="","Store, ","")&amp;IF(F419="","Product Type, ","")&amp;IF(G419="","Category, ","")&amp;IF(H419="","HSN Code, ","")&amp;IF(Q419="","Qty, ","")&amp;IF(R419="","Purchase Rate, ","")&amp;IF(S419="","MRP, ",""))&lt;&gt;"","Missing: "&amp;LEFT(IF(B419="","PO Ref, ","")&amp;IF(C419="","Vendor, ","")&amp;IF(D419="","Store, ","")&amp;IF(F419="","Product Type, ","")&amp;IF(G419="","Category, ","")&amp;IF(H419="","HSN Code, ","")&amp;IF(Q419="","Qty, ","")&amp;IF(R419="","Purchase Rate, ","")&amp;IF(S419="","MRP, ",""),LEN(IF(B419="","PO Ref, ","")&amp;IF(C419="","Vendor, ","")&amp;IF(D419="","Store, ","")&amp;IF(F419="","Product Type, ","")&amp;IF(G419="","Category, ","")&amp;IF(H419="","HSN Code, ","")&amp;IF(Q419="","Qty, ","")&amp;IF(R419="","Purchase Rate, ","")&amp;IF(S419="","MRP, ",""))-2),IF(COUNTIF(Vendors!$B$3:$B$202,C419)=0,"Add vendor "&amp;C419&amp;" on the Vendors sheet",IF(ISNA(MATCH(H419,Codes!$A$2:$A$13,0)),"Pick the HSN Code from the list",IF(AND(E419&lt;&gt;"",COUNTIFS($C$3:$C$1002,C419,$E$3:$E$1002,E419,$F$3:$F$1002,"&lt;&gt;"&amp;F419)+COUNTIFS($C$3:$C$1002,C419,$E$3:$E$1002,E419,$G$3:$G$1002,"&lt;&gt;"&amp;G419)&gt;0),"Design "&amp;E419&amp;" has another Product Type or Category on another row",IF(COUNTIFS($F$3:$F$1002,F419,$G$3:$G$1002,G419,$H$3:$H$1002,"&lt;&gt;"&amp;H419)&gt;0,F419&amp;" + "&amp;G419&amp;" has another HSN Code on another row",IF(AND(V419&lt;&gt;"",U419=""),"Received Qty needs the Vendor Invoice No",IF(AND(U419&lt;&gt;"",COUNTIFS(Bills!$B$3:$B$302,U419,Bills!$C$3:$C$302,C419)=0),"Add bill "&amp;U419&amp;" of "&amp;C419&amp;" on the Bills sheet",IF(S419&lt;R419,"MRP is below the Purchase Rate","OK")))))))))</f>
        <v/>
      </c>
      <c r="B419" s="29"/>
      <c r="C419" s="22"/>
      <c r="D419" s="22"/>
      <c r="E419" s="24"/>
      <c r="F419" s="22"/>
      <c r="G419" s="22"/>
      <c r="H419" s="22"/>
      <c r="I419" s="30" t="str">
        <f>IF(H419="","",IFERROR(INDEX(Codes!$B$2:$B$13,MATCH(H419,Codes!$A$2:$A$13,0)),""))</f>
        <v/>
      </c>
      <c r="J419" s="23"/>
      <c r="K419" s="23"/>
      <c r="L419" s="23"/>
      <c r="M419" s="23"/>
      <c r="N419" s="23"/>
      <c r="O419" s="23"/>
      <c r="P419" s="23"/>
      <c r="Q419" s="31"/>
      <c r="R419" s="32"/>
      <c r="S419" s="32"/>
      <c r="T419" s="33" t="str">
        <f t="shared" si="12"/>
        <v/>
      </c>
      <c r="U419" s="34"/>
      <c r="V419" s="35"/>
      <c r="W419" s="33" t="str">
        <f t="shared" si="13"/>
        <v/>
      </c>
    </row>
    <row r="420" spans="1:23" x14ac:dyDescent="0.35">
      <c r="A420" s="21" t="str">
        <f>IF(COUNTA(B420:H420,J420:S420,U420:V420)=0,"",IF((IF(B420="","PO Ref, ","")&amp;IF(C420="","Vendor, ","")&amp;IF(D420="","Store, ","")&amp;IF(F420="","Product Type, ","")&amp;IF(G420="","Category, ","")&amp;IF(H420="","HSN Code, ","")&amp;IF(Q420="","Qty, ","")&amp;IF(R420="","Purchase Rate, ","")&amp;IF(S420="","MRP, ",""))&lt;&gt;"","Missing: "&amp;LEFT(IF(B420="","PO Ref, ","")&amp;IF(C420="","Vendor, ","")&amp;IF(D420="","Store, ","")&amp;IF(F420="","Product Type, ","")&amp;IF(G420="","Category, ","")&amp;IF(H420="","HSN Code, ","")&amp;IF(Q420="","Qty, ","")&amp;IF(R420="","Purchase Rate, ","")&amp;IF(S420="","MRP, ",""),LEN(IF(B420="","PO Ref, ","")&amp;IF(C420="","Vendor, ","")&amp;IF(D420="","Store, ","")&amp;IF(F420="","Product Type, ","")&amp;IF(G420="","Category, ","")&amp;IF(H420="","HSN Code, ","")&amp;IF(Q420="","Qty, ","")&amp;IF(R420="","Purchase Rate, ","")&amp;IF(S420="","MRP, ",""))-2),IF(COUNTIF(Vendors!$B$3:$B$202,C420)=0,"Add vendor "&amp;C420&amp;" on the Vendors sheet",IF(ISNA(MATCH(H420,Codes!$A$2:$A$13,0)),"Pick the HSN Code from the list",IF(AND(E420&lt;&gt;"",COUNTIFS($C$3:$C$1002,C420,$E$3:$E$1002,E420,$F$3:$F$1002,"&lt;&gt;"&amp;F420)+COUNTIFS($C$3:$C$1002,C420,$E$3:$E$1002,E420,$G$3:$G$1002,"&lt;&gt;"&amp;G420)&gt;0),"Design "&amp;E420&amp;" has another Product Type or Category on another row",IF(COUNTIFS($F$3:$F$1002,F420,$G$3:$G$1002,G420,$H$3:$H$1002,"&lt;&gt;"&amp;H420)&gt;0,F420&amp;" + "&amp;G420&amp;" has another HSN Code on another row",IF(AND(V420&lt;&gt;"",U420=""),"Received Qty needs the Vendor Invoice No",IF(AND(U420&lt;&gt;"",COUNTIFS(Bills!$B$3:$B$302,U420,Bills!$C$3:$C$302,C420)=0),"Add bill "&amp;U420&amp;" of "&amp;C420&amp;" on the Bills sheet",IF(S420&lt;R420,"MRP is below the Purchase Rate","OK")))))))))</f>
        <v/>
      </c>
      <c r="B420" s="29"/>
      <c r="C420" s="22"/>
      <c r="D420" s="22"/>
      <c r="E420" s="24"/>
      <c r="F420" s="22"/>
      <c r="G420" s="22"/>
      <c r="H420" s="22"/>
      <c r="I420" s="30" t="str">
        <f>IF(H420="","",IFERROR(INDEX(Codes!$B$2:$B$13,MATCH(H420,Codes!$A$2:$A$13,0)),""))</f>
        <v/>
      </c>
      <c r="J420" s="23"/>
      <c r="K420" s="23"/>
      <c r="L420" s="23"/>
      <c r="M420" s="23"/>
      <c r="N420" s="23"/>
      <c r="O420" s="23"/>
      <c r="P420" s="23"/>
      <c r="Q420" s="31"/>
      <c r="R420" s="32"/>
      <c r="S420" s="32"/>
      <c r="T420" s="33" t="str">
        <f t="shared" si="12"/>
        <v/>
      </c>
      <c r="U420" s="34"/>
      <c r="V420" s="35"/>
      <c r="W420" s="33" t="str">
        <f t="shared" si="13"/>
        <v/>
      </c>
    </row>
    <row r="421" spans="1:23" x14ac:dyDescent="0.35">
      <c r="A421" s="21" t="str">
        <f>IF(COUNTA(B421:H421,J421:S421,U421:V421)=0,"",IF((IF(B421="","PO Ref, ","")&amp;IF(C421="","Vendor, ","")&amp;IF(D421="","Store, ","")&amp;IF(F421="","Product Type, ","")&amp;IF(G421="","Category, ","")&amp;IF(H421="","HSN Code, ","")&amp;IF(Q421="","Qty, ","")&amp;IF(R421="","Purchase Rate, ","")&amp;IF(S421="","MRP, ",""))&lt;&gt;"","Missing: "&amp;LEFT(IF(B421="","PO Ref, ","")&amp;IF(C421="","Vendor, ","")&amp;IF(D421="","Store, ","")&amp;IF(F421="","Product Type, ","")&amp;IF(G421="","Category, ","")&amp;IF(H421="","HSN Code, ","")&amp;IF(Q421="","Qty, ","")&amp;IF(R421="","Purchase Rate, ","")&amp;IF(S421="","MRP, ",""),LEN(IF(B421="","PO Ref, ","")&amp;IF(C421="","Vendor, ","")&amp;IF(D421="","Store, ","")&amp;IF(F421="","Product Type, ","")&amp;IF(G421="","Category, ","")&amp;IF(H421="","HSN Code, ","")&amp;IF(Q421="","Qty, ","")&amp;IF(R421="","Purchase Rate, ","")&amp;IF(S421="","MRP, ",""))-2),IF(COUNTIF(Vendors!$B$3:$B$202,C421)=0,"Add vendor "&amp;C421&amp;" on the Vendors sheet",IF(ISNA(MATCH(H421,Codes!$A$2:$A$13,0)),"Pick the HSN Code from the list",IF(AND(E421&lt;&gt;"",COUNTIFS($C$3:$C$1002,C421,$E$3:$E$1002,E421,$F$3:$F$1002,"&lt;&gt;"&amp;F421)+COUNTIFS($C$3:$C$1002,C421,$E$3:$E$1002,E421,$G$3:$G$1002,"&lt;&gt;"&amp;G421)&gt;0),"Design "&amp;E421&amp;" has another Product Type or Category on another row",IF(COUNTIFS($F$3:$F$1002,F421,$G$3:$G$1002,G421,$H$3:$H$1002,"&lt;&gt;"&amp;H421)&gt;0,F421&amp;" + "&amp;G421&amp;" has another HSN Code on another row",IF(AND(V421&lt;&gt;"",U421=""),"Received Qty needs the Vendor Invoice No",IF(AND(U421&lt;&gt;"",COUNTIFS(Bills!$B$3:$B$302,U421,Bills!$C$3:$C$302,C421)=0),"Add bill "&amp;U421&amp;" of "&amp;C421&amp;" on the Bills sheet",IF(S421&lt;R421,"MRP is below the Purchase Rate","OK")))))))))</f>
        <v/>
      </c>
      <c r="B421" s="29"/>
      <c r="C421" s="22"/>
      <c r="D421" s="22"/>
      <c r="E421" s="24"/>
      <c r="F421" s="22"/>
      <c r="G421" s="22"/>
      <c r="H421" s="22"/>
      <c r="I421" s="30" t="str">
        <f>IF(H421="","",IFERROR(INDEX(Codes!$B$2:$B$13,MATCH(H421,Codes!$A$2:$A$13,0)),""))</f>
        <v/>
      </c>
      <c r="J421" s="23"/>
      <c r="K421" s="23"/>
      <c r="L421" s="23"/>
      <c r="M421" s="23"/>
      <c r="N421" s="23"/>
      <c r="O421" s="23"/>
      <c r="P421" s="23"/>
      <c r="Q421" s="31"/>
      <c r="R421" s="32"/>
      <c r="S421" s="32"/>
      <c r="T421" s="33" t="str">
        <f t="shared" si="12"/>
        <v/>
      </c>
      <c r="U421" s="34"/>
      <c r="V421" s="35"/>
      <c r="W421" s="33" t="str">
        <f t="shared" si="13"/>
        <v/>
      </c>
    </row>
    <row r="422" spans="1:23" x14ac:dyDescent="0.35">
      <c r="A422" s="21" t="str">
        <f>IF(COUNTA(B422:H422,J422:S422,U422:V422)=0,"",IF((IF(B422="","PO Ref, ","")&amp;IF(C422="","Vendor, ","")&amp;IF(D422="","Store, ","")&amp;IF(F422="","Product Type, ","")&amp;IF(G422="","Category, ","")&amp;IF(H422="","HSN Code, ","")&amp;IF(Q422="","Qty, ","")&amp;IF(R422="","Purchase Rate, ","")&amp;IF(S422="","MRP, ",""))&lt;&gt;"","Missing: "&amp;LEFT(IF(B422="","PO Ref, ","")&amp;IF(C422="","Vendor, ","")&amp;IF(D422="","Store, ","")&amp;IF(F422="","Product Type, ","")&amp;IF(G422="","Category, ","")&amp;IF(H422="","HSN Code, ","")&amp;IF(Q422="","Qty, ","")&amp;IF(R422="","Purchase Rate, ","")&amp;IF(S422="","MRP, ",""),LEN(IF(B422="","PO Ref, ","")&amp;IF(C422="","Vendor, ","")&amp;IF(D422="","Store, ","")&amp;IF(F422="","Product Type, ","")&amp;IF(G422="","Category, ","")&amp;IF(H422="","HSN Code, ","")&amp;IF(Q422="","Qty, ","")&amp;IF(R422="","Purchase Rate, ","")&amp;IF(S422="","MRP, ",""))-2),IF(COUNTIF(Vendors!$B$3:$B$202,C422)=0,"Add vendor "&amp;C422&amp;" on the Vendors sheet",IF(ISNA(MATCH(H422,Codes!$A$2:$A$13,0)),"Pick the HSN Code from the list",IF(AND(E422&lt;&gt;"",COUNTIFS($C$3:$C$1002,C422,$E$3:$E$1002,E422,$F$3:$F$1002,"&lt;&gt;"&amp;F422)+COUNTIFS($C$3:$C$1002,C422,$E$3:$E$1002,E422,$G$3:$G$1002,"&lt;&gt;"&amp;G422)&gt;0),"Design "&amp;E422&amp;" has another Product Type or Category on another row",IF(COUNTIFS($F$3:$F$1002,F422,$G$3:$G$1002,G422,$H$3:$H$1002,"&lt;&gt;"&amp;H422)&gt;0,F422&amp;" + "&amp;G422&amp;" has another HSN Code on another row",IF(AND(V422&lt;&gt;"",U422=""),"Received Qty needs the Vendor Invoice No",IF(AND(U422&lt;&gt;"",COUNTIFS(Bills!$B$3:$B$302,U422,Bills!$C$3:$C$302,C422)=0),"Add bill "&amp;U422&amp;" of "&amp;C422&amp;" on the Bills sheet",IF(S422&lt;R422,"MRP is below the Purchase Rate","OK")))))))))</f>
        <v/>
      </c>
      <c r="B422" s="29"/>
      <c r="C422" s="22"/>
      <c r="D422" s="22"/>
      <c r="E422" s="24"/>
      <c r="F422" s="22"/>
      <c r="G422" s="22"/>
      <c r="H422" s="22"/>
      <c r="I422" s="30" t="str">
        <f>IF(H422="","",IFERROR(INDEX(Codes!$B$2:$B$13,MATCH(H422,Codes!$A$2:$A$13,0)),""))</f>
        <v/>
      </c>
      <c r="J422" s="23"/>
      <c r="K422" s="23"/>
      <c r="L422" s="23"/>
      <c r="M422" s="23"/>
      <c r="N422" s="23"/>
      <c r="O422" s="23"/>
      <c r="P422" s="23"/>
      <c r="Q422" s="31"/>
      <c r="R422" s="32"/>
      <c r="S422" s="32"/>
      <c r="T422" s="33" t="str">
        <f t="shared" si="12"/>
        <v/>
      </c>
      <c r="U422" s="34"/>
      <c r="V422" s="35"/>
      <c r="W422" s="33" t="str">
        <f t="shared" si="13"/>
        <v/>
      </c>
    </row>
    <row r="423" spans="1:23" x14ac:dyDescent="0.35">
      <c r="A423" s="21" t="str">
        <f>IF(COUNTA(B423:H423,J423:S423,U423:V423)=0,"",IF((IF(B423="","PO Ref, ","")&amp;IF(C423="","Vendor, ","")&amp;IF(D423="","Store, ","")&amp;IF(F423="","Product Type, ","")&amp;IF(G423="","Category, ","")&amp;IF(H423="","HSN Code, ","")&amp;IF(Q423="","Qty, ","")&amp;IF(R423="","Purchase Rate, ","")&amp;IF(S423="","MRP, ",""))&lt;&gt;"","Missing: "&amp;LEFT(IF(B423="","PO Ref, ","")&amp;IF(C423="","Vendor, ","")&amp;IF(D423="","Store, ","")&amp;IF(F423="","Product Type, ","")&amp;IF(G423="","Category, ","")&amp;IF(H423="","HSN Code, ","")&amp;IF(Q423="","Qty, ","")&amp;IF(R423="","Purchase Rate, ","")&amp;IF(S423="","MRP, ",""),LEN(IF(B423="","PO Ref, ","")&amp;IF(C423="","Vendor, ","")&amp;IF(D423="","Store, ","")&amp;IF(F423="","Product Type, ","")&amp;IF(G423="","Category, ","")&amp;IF(H423="","HSN Code, ","")&amp;IF(Q423="","Qty, ","")&amp;IF(R423="","Purchase Rate, ","")&amp;IF(S423="","MRP, ",""))-2),IF(COUNTIF(Vendors!$B$3:$B$202,C423)=0,"Add vendor "&amp;C423&amp;" on the Vendors sheet",IF(ISNA(MATCH(H423,Codes!$A$2:$A$13,0)),"Pick the HSN Code from the list",IF(AND(E423&lt;&gt;"",COUNTIFS($C$3:$C$1002,C423,$E$3:$E$1002,E423,$F$3:$F$1002,"&lt;&gt;"&amp;F423)+COUNTIFS($C$3:$C$1002,C423,$E$3:$E$1002,E423,$G$3:$G$1002,"&lt;&gt;"&amp;G423)&gt;0),"Design "&amp;E423&amp;" has another Product Type or Category on another row",IF(COUNTIFS($F$3:$F$1002,F423,$G$3:$G$1002,G423,$H$3:$H$1002,"&lt;&gt;"&amp;H423)&gt;0,F423&amp;" + "&amp;G423&amp;" has another HSN Code on another row",IF(AND(V423&lt;&gt;"",U423=""),"Received Qty needs the Vendor Invoice No",IF(AND(U423&lt;&gt;"",COUNTIFS(Bills!$B$3:$B$302,U423,Bills!$C$3:$C$302,C423)=0),"Add bill "&amp;U423&amp;" of "&amp;C423&amp;" on the Bills sheet",IF(S423&lt;R423,"MRP is below the Purchase Rate","OK")))))))))</f>
        <v/>
      </c>
      <c r="B423" s="29"/>
      <c r="C423" s="22"/>
      <c r="D423" s="22"/>
      <c r="E423" s="24"/>
      <c r="F423" s="22"/>
      <c r="G423" s="22"/>
      <c r="H423" s="22"/>
      <c r="I423" s="30" t="str">
        <f>IF(H423="","",IFERROR(INDEX(Codes!$B$2:$B$13,MATCH(H423,Codes!$A$2:$A$13,0)),""))</f>
        <v/>
      </c>
      <c r="J423" s="23"/>
      <c r="K423" s="23"/>
      <c r="L423" s="23"/>
      <c r="M423" s="23"/>
      <c r="N423" s="23"/>
      <c r="O423" s="23"/>
      <c r="P423" s="23"/>
      <c r="Q423" s="31"/>
      <c r="R423" s="32"/>
      <c r="S423" s="32"/>
      <c r="T423" s="33" t="str">
        <f t="shared" si="12"/>
        <v/>
      </c>
      <c r="U423" s="34"/>
      <c r="V423" s="35"/>
      <c r="W423" s="33" t="str">
        <f t="shared" si="13"/>
        <v/>
      </c>
    </row>
    <row r="424" spans="1:23" x14ac:dyDescent="0.35">
      <c r="A424" s="21" t="str">
        <f>IF(COUNTA(B424:H424,J424:S424,U424:V424)=0,"",IF((IF(B424="","PO Ref, ","")&amp;IF(C424="","Vendor, ","")&amp;IF(D424="","Store, ","")&amp;IF(F424="","Product Type, ","")&amp;IF(G424="","Category, ","")&amp;IF(H424="","HSN Code, ","")&amp;IF(Q424="","Qty, ","")&amp;IF(R424="","Purchase Rate, ","")&amp;IF(S424="","MRP, ",""))&lt;&gt;"","Missing: "&amp;LEFT(IF(B424="","PO Ref, ","")&amp;IF(C424="","Vendor, ","")&amp;IF(D424="","Store, ","")&amp;IF(F424="","Product Type, ","")&amp;IF(G424="","Category, ","")&amp;IF(H424="","HSN Code, ","")&amp;IF(Q424="","Qty, ","")&amp;IF(R424="","Purchase Rate, ","")&amp;IF(S424="","MRP, ",""),LEN(IF(B424="","PO Ref, ","")&amp;IF(C424="","Vendor, ","")&amp;IF(D424="","Store, ","")&amp;IF(F424="","Product Type, ","")&amp;IF(G424="","Category, ","")&amp;IF(H424="","HSN Code, ","")&amp;IF(Q424="","Qty, ","")&amp;IF(R424="","Purchase Rate, ","")&amp;IF(S424="","MRP, ",""))-2),IF(COUNTIF(Vendors!$B$3:$B$202,C424)=0,"Add vendor "&amp;C424&amp;" on the Vendors sheet",IF(ISNA(MATCH(H424,Codes!$A$2:$A$13,0)),"Pick the HSN Code from the list",IF(AND(E424&lt;&gt;"",COUNTIFS($C$3:$C$1002,C424,$E$3:$E$1002,E424,$F$3:$F$1002,"&lt;&gt;"&amp;F424)+COUNTIFS($C$3:$C$1002,C424,$E$3:$E$1002,E424,$G$3:$G$1002,"&lt;&gt;"&amp;G424)&gt;0),"Design "&amp;E424&amp;" has another Product Type or Category on another row",IF(COUNTIFS($F$3:$F$1002,F424,$G$3:$G$1002,G424,$H$3:$H$1002,"&lt;&gt;"&amp;H424)&gt;0,F424&amp;" + "&amp;G424&amp;" has another HSN Code on another row",IF(AND(V424&lt;&gt;"",U424=""),"Received Qty needs the Vendor Invoice No",IF(AND(U424&lt;&gt;"",COUNTIFS(Bills!$B$3:$B$302,U424,Bills!$C$3:$C$302,C424)=0),"Add bill "&amp;U424&amp;" of "&amp;C424&amp;" on the Bills sheet",IF(S424&lt;R424,"MRP is below the Purchase Rate","OK")))))))))</f>
        <v/>
      </c>
      <c r="B424" s="29"/>
      <c r="C424" s="22"/>
      <c r="D424" s="22"/>
      <c r="E424" s="24"/>
      <c r="F424" s="22"/>
      <c r="G424" s="22"/>
      <c r="H424" s="22"/>
      <c r="I424" s="30" t="str">
        <f>IF(H424="","",IFERROR(INDEX(Codes!$B$2:$B$13,MATCH(H424,Codes!$A$2:$A$13,0)),""))</f>
        <v/>
      </c>
      <c r="J424" s="23"/>
      <c r="K424" s="23"/>
      <c r="L424" s="23"/>
      <c r="M424" s="23"/>
      <c r="N424" s="23"/>
      <c r="O424" s="23"/>
      <c r="P424" s="23"/>
      <c r="Q424" s="31"/>
      <c r="R424" s="32"/>
      <c r="S424" s="32"/>
      <c r="T424" s="33" t="str">
        <f t="shared" si="12"/>
        <v/>
      </c>
      <c r="U424" s="34"/>
      <c r="V424" s="35"/>
      <c r="W424" s="33" t="str">
        <f t="shared" si="13"/>
        <v/>
      </c>
    </row>
    <row r="425" spans="1:23" x14ac:dyDescent="0.35">
      <c r="A425" s="21" t="str">
        <f>IF(COUNTA(B425:H425,J425:S425,U425:V425)=0,"",IF((IF(B425="","PO Ref, ","")&amp;IF(C425="","Vendor, ","")&amp;IF(D425="","Store, ","")&amp;IF(F425="","Product Type, ","")&amp;IF(G425="","Category, ","")&amp;IF(H425="","HSN Code, ","")&amp;IF(Q425="","Qty, ","")&amp;IF(R425="","Purchase Rate, ","")&amp;IF(S425="","MRP, ",""))&lt;&gt;"","Missing: "&amp;LEFT(IF(B425="","PO Ref, ","")&amp;IF(C425="","Vendor, ","")&amp;IF(D425="","Store, ","")&amp;IF(F425="","Product Type, ","")&amp;IF(G425="","Category, ","")&amp;IF(H425="","HSN Code, ","")&amp;IF(Q425="","Qty, ","")&amp;IF(R425="","Purchase Rate, ","")&amp;IF(S425="","MRP, ",""),LEN(IF(B425="","PO Ref, ","")&amp;IF(C425="","Vendor, ","")&amp;IF(D425="","Store, ","")&amp;IF(F425="","Product Type, ","")&amp;IF(G425="","Category, ","")&amp;IF(H425="","HSN Code, ","")&amp;IF(Q425="","Qty, ","")&amp;IF(R425="","Purchase Rate, ","")&amp;IF(S425="","MRP, ",""))-2),IF(COUNTIF(Vendors!$B$3:$B$202,C425)=0,"Add vendor "&amp;C425&amp;" on the Vendors sheet",IF(ISNA(MATCH(H425,Codes!$A$2:$A$13,0)),"Pick the HSN Code from the list",IF(AND(E425&lt;&gt;"",COUNTIFS($C$3:$C$1002,C425,$E$3:$E$1002,E425,$F$3:$F$1002,"&lt;&gt;"&amp;F425)+COUNTIFS($C$3:$C$1002,C425,$E$3:$E$1002,E425,$G$3:$G$1002,"&lt;&gt;"&amp;G425)&gt;0),"Design "&amp;E425&amp;" has another Product Type or Category on another row",IF(COUNTIFS($F$3:$F$1002,F425,$G$3:$G$1002,G425,$H$3:$H$1002,"&lt;&gt;"&amp;H425)&gt;0,F425&amp;" + "&amp;G425&amp;" has another HSN Code on another row",IF(AND(V425&lt;&gt;"",U425=""),"Received Qty needs the Vendor Invoice No",IF(AND(U425&lt;&gt;"",COUNTIFS(Bills!$B$3:$B$302,U425,Bills!$C$3:$C$302,C425)=0),"Add bill "&amp;U425&amp;" of "&amp;C425&amp;" on the Bills sheet",IF(S425&lt;R425,"MRP is below the Purchase Rate","OK")))))))))</f>
        <v/>
      </c>
      <c r="B425" s="29"/>
      <c r="C425" s="22"/>
      <c r="D425" s="22"/>
      <c r="E425" s="24"/>
      <c r="F425" s="22"/>
      <c r="G425" s="22"/>
      <c r="H425" s="22"/>
      <c r="I425" s="30" t="str">
        <f>IF(H425="","",IFERROR(INDEX(Codes!$B$2:$B$13,MATCH(H425,Codes!$A$2:$A$13,0)),""))</f>
        <v/>
      </c>
      <c r="J425" s="23"/>
      <c r="K425" s="23"/>
      <c r="L425" s="23"/>
      <c r="M425" s="23"/>
      <c r="N425" s="23"/>
      <c r="O425" s="23"/>
      <c r="P425" s="23"/>
      <c r="Q425" s="31"/>
      <c r="R425" s="32"/>
      <c r="S425" s="32"/>
      <c r="T425" s="33" t="str">
        <f t="shared" si="12"/>
        <v/>
      </c>
      <c r="U425" s="34"/>
      <c r="V425" s="35"/>
      <c r="W425" s="33" t="str">
        <f t="shared" si="13"/>
        <v/>
      </c>
    </row>
    <row r="426" spans="1:23" x14ac:dyDescent="0.35">
      <c r="A426" s="21" t="str">
        <f>IF(COUNTA(B426:H426,J426:S426,U426:V426)=0,"",IF((IF(B426="","PO Ref, ","")&amp;IF(C426="","Vendor, ","")&amp;IF(D426="","Store, ","")&amp;IF(F426="","Product Type, ","")&amp;IF(G426="","Category, ","")&amp;IF(H426="","HSN Code, ","")&amp;IF(Q426="","Qty, ","")&amp;IF(R426="","Purchase Rate, ","")&amp;IF(S426="","MRP, ",""))&lt;&gt;"","Missing: "&amp;LEFT(IF(B426="","PO Ref, ","")&amp;IF(C426="","Vendor, ","")&amp;IF(D426="","Store, ","")&amp;IF(F426="","Product Type, ","")&amp;IF(G426="","Category, ","")&amp;IF(H426="","HSN Code, ","")&amp;IF(Q426="","Qty, ","")&amp;IF(R426="","Purchase Rate, ","")&amp;IF(S426="","MRP, ",""),LEN(IF(B426="","PO Ref, ","")&amp;IF(C426="","Vendor, ","")&amp;IF(D426="","Store, ","")&amp;IF(F426="","Product Type, ","")&amp;IF(G426="","Category, ","")&amp;IF(H426="","HSN Code, ","")&amp;IF(Q426="","Qty, ","")&amp;IF(R426="","Purchase Rate, ","")&amp;IF(S426="","MRP, ",""))-2),IF(COUNTIF(Vendors!$B$3:$B$202,C426)=0,"Add vendor "&amp;C426&amp;" on the Vendors sheet",IF(ISNA(MATCH(H426,Codes!$A$2:$A$13,0)),"Pick the HSN Code from the list",IF(AND(E426&lt;&gt;"",COUNTIFS($C$3:$C$1002,C426,$E$3:$E$1002,E426,$F$3:$F$1002,"&lt;&gt;"&amp;F426)+COUNTIFS($C$3:$C$1002,C426,$E$3:$E$1002,E426,$G$3:$G$1002,"&lt;&gt;"&amp;G426)&gt;0),"Design "&amp;E426&amp;" has another Product Type or Category on another row",IF(COUNTIFS($F$3:$F$1002,F426,$G$3:$G$1002,G426,$H$3:$H$1002,"&lt;&gt;"&amp;H426)&gt;0,F426&amp;" + "&amp;G426&amp;" has another HSN Code on another row",IF(AND(V426&lt;&gt;"",U426=""),"Received Qty needs the Vendor Invoice No",IF(AND(U426&lt;&gt;"",COUNTIFS(Bills!$B$3:$B$302,U426,Bills!$C$3:$C$302,C426)=0),"Add bill "&amp;U426&amp;" of "&amp;C426&amp;" on the Bills sheet",IF(S426&lt;R426,"MRP is below the Purchase Rate","OK")))))))))</f>
        <v/>
      </c>
      <c r="B426" s="29"/>
      <c r="C426" s="22"/>
      <c r="D426" s="22"/>
      <c r="E426" s="24"/>
      <c r="F426" s="22"/>
      <c r="G426" s="22"/>
      <c r="H426" s="22"/>
      <c r="I426" s="30" t="str">
        <f>IF(H426="","",IFERROR(INDEX(Codes!$B$2:$B$13,MATCH(H426,Codes!$A$2:$A$13,0)),""))</f>
        <v/>
      </c>
      <c r="J426" s="23"/>
      <c r="K426" s="23"/>
      <c r="L426" s="23"/>
      <c r="M426" s="23"/>
      <c r="N426" s="23"/>
      <c r="O426" s="23"/>
      <c r="P426" s="23"/>
      <c r="Q426" s="31"/>
      <c r="R426" s="32"/>
      <c r="S426" s="32"/>
      <c r="T426" s="33" t="str">
        <f t="shared" si="12"/>
        <v/>
      </c>
      <c r="U426" s="34"/>
      <c r="V426" s="35"/>
      <c r="W426" s="33" t="str">
        <f t="shared" si="13"/>
        <v/>
      </c>
    </row>
    <row r="427" spans="1:23" x14ac:dyDescent="0.35">
      <c r="A427" s="21" t="str">
        <f>IF(COUNTA(B427:H427,J427:S427,U427:V427)=0,"",IF((IF(B427="","PO Ref, ","")&amp;IF(C427="","Vendor, ","")&amp;IF(D427="","Store, ","")&amp;IF(F427="","Product Type, ","")&amp;IF(G427="","Category, ","")&amp;IF(H427="","HSN Code, ","")&amp;IF(Q427="","Qty, ","")&amp;IF(R427="","Purchase Rate, ","")&amp;IF(S427="","MRP, ",""))&lt;&gt;"","Missing: "&amp;LEFT(IF(B427="","PO Ref, ","")&amp;IF(C427="","Vendor, ","")&amp;IF(D427="","Store, ","")&amp;IF(F427="","Product Type, ","")&amp;IF(G427="","Category, ","")&amp;IF(H427="","HSN Code, ","")&amp;IF(Q427="","Qty, ","")&amp;IF(R427="","Purchase Rate, ","")&amp;IF(S427="","MRP, ",""),LEN(IF(B427="","PO Ref, ","")&amp;IF(C427="","Vendor, ","")&amp;IF(D427="","Store, ","")&amp;IF(F427="","Product Type, ","")&amp;IF(G427="","Category, ","")&amp;IF(H427="","HSN Code, ","")&amp;IF(Q427="","Qty, ","")&amp;IF(R427="","Purchase Rate, ","")&amp;IF(S427="","MRP, ",""))-2),IF(COUNTIF(Vendors!$B$3:$B$202,C427)=0,"Add vendor "&amp;C427&amp;" on the Vendors sheet",IF(ISNA(MATCH(H427,Codes!$A$2:$A$13,0)),"Pick the HSN Code from the list",IF(AND(E427&lt;&gt;"",COUNTIFS($C$3:$C$1002,C427,$E$3:$E$1002,E427,$F$3:$F$1002,"&lt;&gt;"&amp;F427)+COUNTIFS($C$3:$C$1002,C427,$E$3:$E$1002,E427,$G$3:$G$1002,"&lt;&gt;"&amp;G427)&gt;0),"Design "&amp;E427&amp;" has another Product Type or Category on another row",IF(COUNTIFS($F$3:$F$1002,F427,$G$3:$G$1002,G427,$H$3:$H$1002,"&lt;&gt;"&amp;H427)&gt;0,F427&amp;" + "&amp;G427&amp;" has another HSN Code on another row",IF(AND(V427&lt;&gt;"",U427=""),"Received Qty needs the Vendor Invoice No",IF(AND(U427&lt;&gt;"",COUNTIFS(Bills!$B$3:$B$302,U427,Bills!$C$3:$C$302,C427)=0),"Add bill "&amp;U427&amp;" of "&amp;C427&amp;" on the Bills sheet",IF(S427&lt;R427,"MRP is below the Purchase Rate","OK")))))))))</f>
        <v/>
      </c>
      <c r="B427" s="29"/>
      <c r="C427" s="22"/>
      <c r="D427" s="22"/>
      <c r="E427" s="24"/>
      <c r="F427" s="22"/>
      <c r="G427" s="22"/>
      <c r="H427" s="22"/>
      <c r="I427" s="30" t="str">
        <f>IF(H427="","",IFERROR(INDEX(Codes!$B$2:$B$13,MATCH(H427,Codes!$A$2:$A$13,0)),""))</f>
        <v/>
      </c>
      <c r="J427" s="23"/>
      <c r="K427" s="23"/>
      <c r="L427" s="23"/>
      <c r="M427" s="23"/>
      <c r="N427" s="23"/>
      <c r="O427" s="23"/>
      <c r="P427" s="23"/>
      <c r="Q427" s="31"/>
      <c r="R427" s="32"/>
      <c r="S427" s="32"/>
      <c r="T427" s="33" t="str">
        <f t="shared" si="12"/>
        <v/>
      </c>
      <c r="U427" s="34"/>
      <c r="V427" s="35"/>
      <c r="W427" s="33" t="str">
        <f t="shared" si="13"/>
        <v/>
      </c>
    </row>
    <row r="428" spans="1:23" x14ac:dyDescent="0.35">
      <c r="A428" s="21" t="str">
        <f>IF(COUNTA(B428:H428,J428:S428,U428:V428)=0,"",IF((IF(B428="","PO Ref, ","")&amp;IF(C428="","Vendor, ","")&amp;IF(D428="","Store, ","")&amp;IF(F428="","Product Type, ","")&amp;IF(G428="","Category, ","")&amp;IF(H428="","HSN Code, ","")&amp;IF(Q428="","Qty, ","")&amp;IF(R428="","Purchase Rate, ","")&amp;IF(S428="","MRP, ",""))&lt;&gt;"","Missing: "&amp;LEFT(IF(B428="","PO Ref, ","")&amp;IF(C428="","Vendor, ","")&amp;IF(D428="","Store, ","")&amp;IF(F428="","Product Type, ","")&amp;IF(G428="","Category, ","")&amp;IF(H428="","HSN Code, ","")&amp;IF(Q428="","Qty, ","")&amp;IF(R428="","Purchase Rate, ","")&amp;IF(S428="","MRP, ",""),LEN(IF(B428="","PO Ref, ","")&amp;IF(C428="","Vendor, ","")&amp;IF(D428="","Store, ","")&amp;IF(F428="","Product Type, ","")&amp;IF(G428="","Category, ","")&amp;IF(H428="","HSN Code, ","")&amp;IF(Q428="","Qty, ","")&amp;IF(R428="","Purchase Rate, ","")&amp;IF(S428="","MRP, ",""))-2),IF(COUNTIF(Vendors!$B$3:$B$202,C428)=0,"Add vendor "&amp;C428&amp;" on the Vendors sheet",IF(ISNA(MATCH(H428,Codes!$A$2:$A$13,0)),"Pick the HSN Code from the list",IF(AND(E428&lt;&gt;"",COUNTIFS($C$3:$C$1002,C428,$E$3:$E$1002,E428,$F$3:$F$1002,"&lt;&gt;"&amp;F428)+COUNTIFS($C$3:$C$1002,C428,$E$3:$E$1002,E428,$G$3:$G$1002,"&lt;&gt;"&amp;G428)&gt;0),"Design "&amp;E428&amp;" has another Product Type or Category on another row",IF(COUNTIFS($F$3:$F$1002,F428,$G$3:$G$1002,G428,$H$3:$H$1002,"&lt;&gt;"&amp;H428)&gt;0,F428&amp;" + "&amp;G428&amp;" has another HSN Code on another row",IF(AND(V428&lt;&gt;"",U428=""),"Received Qty needs the Vendor Invoice No",IF(AND(U428&lt;&gt;"",COUNTIFS(Bills!$B$3:$B$302,U428,Bills!$C$3:$C$302,C428)=0),"Add bill "&amp;U428&amp;" of "&amp;C428&amp;" on the Bills sheet",IF(S428&lt;R428,"MRP is below the Purchase Rate","OK")))))))))</f>
        <v/>
      </c>
      <c r="B428" s="29"/>
      <c r="C428" s="22"/>
      <c r="D428" s="22"/>
      <c r="E428" s="24"/>
      <c r="F428" s="22"/>
      <c r="G428" s="22"/>
      <c r="H428" s="22"/>
      <c r="I428" s="30" t="str">
        <f>IF(H428="","",IFERROR(INDEX(Codes!$B$2:$B$13,MATCH(H428,Codes!$A$2:$A$13,0)),""))</f>
        <v/>
      </c>
      <c r="J428" s="23"/>
      <c r="K428" s="23"/>
      <c r="L428" s="23"/>
      <c r="M428" s="23"/>
      <c r="N428" s="23"/>
      <c r="O428" s="23"/>
      <c r="P428" s="23"/>
      <c r="Q428" s="31"/>
      <c r="R428" s="32"/>
      <c r="S428" s="32"/>
      <c r="T428" s="33" t="str">
        <f t="shared" si="12"/>
        <v/>
      </c>
      <c r="U428" s="34"/>
      <c r="V428" s="35"/>
      <c r="W428" s="33" t="str">
        <f t="shared" si="13"/>
        <v/>
      </c>
    </row>
    <row r="429" spans="1:23" x14ac:dyDescent="0.35">
      <c r="A429" s="21" t="str">
        <f>IF(COUNTA(B429:H429,J429:S429,U429:V429)=0,"",IF((IF(B429="","PO Ref, ","")&amp;IF(C429="","Vendor, ","")&amp;IF(D429="","Store, ","")&amp;IF(F429="","Product Type, ","")&amp;IF(G429="","Category, ","")&amp;IF(H429="","HSN Code, ","")&amp;IF(Q429="","Qty, ","")&amp;IF(R429="","Purchase Rate, ","")&amp;IF(S429="","MRP, ",""))&lt;&gt;"","Missing: "&amp;LEFT(IF(B429="","PO Ref, ","")&amp;IF(C429="","Vendor, ","")&amp;IF(D429="","Store, ","")&amp;IF(F429="","Product Type, ","")&amp;IF(G429="","Category, ","")&amp;IF(H429="","HSN Code, ","")&amp;IF(Q429="","Qty, ","")&amp;IF(R429="","Purchase Rate, ","")&amp;IF(S429="","MRP, ",""),LEN(IF(B429="","PO Ref, ","")&amp;IF(C429="","Vendor, ","")&amp;IF(D429="","Store, ","")&amp;IF(F429="","Product Type, ","")&amp;IF(G429="","Category, ","")&amp;IF(H429="","HSN Code, ","")&amp;IF(Q429="","Qty, ","")&amp;IF(R429="","Purchase Rate, ","")&amp;IF(S429="","MRP, ",""))-2),IF(COUNTIF(Vendors!$B$3:$B$202,C429)=0,"Add vendor "&amp;C429&amp;" on the Vendors sheet",IF(ISNA(MATCH(H429,Codes!$A$2:$A$13,0)),"Pick the HSN Code from the list",IF(AND(E429&lt;&gt;"",COUNTIFS($C$3:$C$1002,C429,$E$3:$E$1002,E429,$F$3:$F$1002,"&lt;&gt;"&amp;F429)+COUNTIFS($C$3:$C$1002,C429,$E$3:$E$1002,E429,$G$3:$G$1002,"&lt;&gt;"&amp;G429)&gt;0),"Design "&amp;E429&amp;" has another Product Type or Category on another row",IF(COUNTIFS($F$3:$F$1002,F429,$G$3:$G$1002,G429,$H$3:$H$1002,"&lt;&gt;"&amp;H429)&gt;0,F429&amp;" + "&amp;G429&amp;" has another HSN Code on another row",IF(AND(V429&lt;&gt;"",U429=""),"Received Qty needs the Vendor Invoice No",IF(AND(U429&lt;&gt;"",COUNTIFS(Bills!$B$3:$B$302,U429,Bills!$C$3:$C$302,C429)=0),"Add bill "&amp;U429&amp;" of "&amp;C429&amp;" on the Bills sheet",IF(S429&lt;R429,"MRP is below the Purchase Rate","OK")))))))))</f>
        <v/>
      </c>
      <c r="B429" s="29"/>
      <c r="C429" s="22"/>
      <c r="D429" s="22"/>
      <c r="E429" s="24"/>
      <c r="F429" s="22"/>
      <c r="G429" s="22"/>
      <c r="H429" s="22"/>
      <c r="I429" s="30" t="str">
        <f>IF(H429="","",IFERROR(INDEX(Codes!$B$2:$B$13,MATCH(H429,Codes!$A$2:$A$13,0)),""))</f>
        <v/>
      </c>
      <c r="J429" s="23"/>
      <c r="K429" s="23"/>
      <c r="L429" s="23"/>
      <c r="M429" s="23"/>
      <c r="N429" s="23"/>
      <c r="O429" s="23"/>
      <c r="P429" s="23"/>
      <c r="Q429" s="31"/>
      <c r="R429" s="32"/>
      <c r="S429" s="32"/>
      <c r="T429" s="33" t="str">
        <f t="shared" si="12"/>
        <v/>
      </c>
      <c r="U429" s="34"/>
      <c r="V429" s="35"/>
      <c r="W429" s="33" t="str">
        <f t="shared" si="13"/>
        <v/>
      </c>
    </row>
    <row r="430" spans="1:23" x14ac:dyDescent="0.35">
      <c r="A430" s="21" t="str">
        <f>IF(COUNTA(B430:H430,J430:S430,U430:V430)=0,"",IF((IF(B430="","PO Ref, ","")&amp;IF(C430="","Vendor, ","")&amp;IF(D430="","Store, ","")&amp;IF(F430="","Product Type, ","")&amp;IF(G430="","Category, ","")&amp;IF(H430="","HSN Code, ","")&amp;IF(Q430="","Qty, ","")&amp;IF(R430="","Purchase Rate, ","")&amp;IF(S430="","MRP, ",""))&lt;&gt;"","Missing: "&amp;LEFT(IF(B430="","PO Ref, ","")&amp;IF(C430="","Vendor, ","")&amp;IF(D430="","Store, ","")&amp;IF(F430="","Product Type, ","")&amp;IF(G430="","Category, ","")&amp;IF(H430="","HSN Code, ","")&amp;IF(Q430="","Qty, ","")&amp;IF(R430="","Purchase Rate, ","")&amp;IF(S430="","MRP, ",""),LEN(IF(B430="","PO Ref, ","")&amp;IF(C430="","Vendor, ","")&amp;IF(D430="","Store, ","")&amp;IF(F430="","Product Type, ","")&amp;IF(G430="","Category, ","")&amp;IF(H430="","HSN Code, ","")&amp;IF(Q430="","Qty, ","")&amp;IF(R430="","Purchase Rate, ","")&amp;IF(S430="","MRP, ",""))-2),IF(COUNTIF(Vendors!$B$3:$B$202,C430)=0,"Add vendor "&amp;C430&amp;" on the Vendors sheet",IF(ISNA(MATCH(H430,Codes!$A$2:$A$13,0)),"Pick the HSN Code from the list",IF(AND(E430&lt;&gt;"",COUNTIFS($C$3:$C$1002,C430,$E$3:$E$1002,E430,$F$3:$F$1002,"&lt;&gt;"&amp;F430)+COUNTIFS($C$3:$C$1002,C430,$E$3:$E$1002,E430,$G$3:$G$1002,"&lt;&gt;"&amp;G430)&gt;0),"Design "&amp;E430&amp;" has another Product Type or Category on another row",IF(COUNTIFS($F$3:$F$1002,F430,$G$3:$G$1002,G430,$H$3:$H$1002,"&lt;&gt;"&amp;H430)&gt;0,F430&amp;" + "&amp;G430&amp;" has another HSN Code on another row",IF(AND(V430&lt;&gt;"",U430=""),"Received Qty needs the Vendor Invoice No",IF(AND(U430&lt;&gt;"",COUNTIFS(Bills!$B$3:$B$302,U430,Bills!$C$3:$C$302,C430)=0),"Add bill "&amp;U430&amp;" of "&amp;C430&amp;" on the Bills sheet",IF(S430&lt;R430,"MRP is below the Purchase Rate","OK")))))))))</f>
        <v/>
      </c>
      <c r="B430" s="29"/>
      <c r="C430" s="22"/>
      <c r="D430" s="22"/>
      <c r="E430" s="24"/>
      <c r="F430" s="22"/>
      <c r="G430" s="22"/>
      <c r="H430" s="22"/>
      <c r="I430" s="30" t="str">
        <f>IF(H430="","",IFERROR(INDEX(Codes!$B$2:$B$13,MATCH(H430,Codes!$A$2:$A$13,0)),""))</f>
        <v/>
      </c>
      <c r="J430" s="23"/>
      <c r="K430" s="23"/>
      <c r="L430" s="23"/>
      <c r="M430" s="23"/>
      <c r="N430" s="23"/>
      <c r="O430" s="23"/>
      <c r="P430" s="23"/>
      <c r="Q430" s="31"/>
      <c r="R430" s="32"/>
      <c r="S430" s="32"/>
      <c r="T430" s="33" t="str">
        <f t="shared" si="12"/>
        <v/>
      </c>
      <c r="U430" s="34"/>
      <c r="V430" s="35"/>
      <c r="W430" s="33" t="str">
        <f t="shared" si="13"/>
        <v/>
      </c>
    </row>
    <row r="431" spans="1:23" x14ac:dyDescent="0.35">
      <c r="A431" s="21" t="str">
        <f>IF(COUNTA(B431:H431,J431:S431,U431:V431)=0,"",IF((IF(B431="","PO Ref, ","")&amp;IF(C431="","Vendor, ","")&amp;IF(D431="","Store, ","")&amp;IF(F431="","Product Type, ","")&amp;IF(G431="","Category, ","")&amp;IF(H431="","HSN Code, ","")&amp;IF(Q431="","Qty, ","")&amp;IF(R431="","Purchase Rate, ","")&amp;IF(S431="","MRP, ",""))&lt;&gt;"","Missing: "&amp;LEFT(IF(B431="","PO Ref, ","")&amp;IF(C431="","Vendor, ","")&amp;IF(D431="","Store, ","")&amp;IF(F431="","Product Type, ","")&amp;IF(G431="","Category, ","")&amp;IF(H431="","HSN Code, ","")&amp;IF(Q431="","Qty, ","")&amp;IF(R431="","Purchase Rate, ","")&amp;IF(S431="","MRP, ",""),LEN(IF(B431="","PO Ref, ","")&amp;IF(C431="","Vendor, ","")&amp;IF(D431="","Store, ","")&amp;IF(F431="","Product Type, ","")&amp;IF(G431="","Category, ","")&amp;IF(H431="","HSN Code, ","")&amp;IF(Q431="","Qty, ","")&amp;IF(R431="","Purchase Rate, ","")&amp;IF(S431="","MRP, ",""))-2),IF(COUNTIF(Vendors!$B$3:$B$202,C431)=0,"Add vendor "&amp;C431&amp;" on the Vendors sheet",IF(ISNA(MATCH(H431,Codes!$A$2:$A$13,0)),"Pick the HSN Code from the list",IF(AND(E431&lt;&gt;"",COUNTIFS($C$3:$C$1002,C431,$E$3:$E$1002,E431,$F$3:$F$1002,"&lt;&gt;"&amp;F431)+COUNTIFS($C$3:$C$1002,C431,$E$3:$E$1002,E431,$G$3:$G$1002,"&lt;&gt;"&amp;G431)&gt;0),"Design "&amp;E431&amp;" has another Product Type or Category on another row",IF(COUNTIFS($F$3:$F$1002,F431,$G$3:$G$1002,G431,$H$3:$H$1002,"&lt;&gt;"&amp;H431)&gt;0,F431&amp;" + "&amp;G431&amp;" has another HSN Code on another row",IF(AND(V431&lt;&gt;"",U431=""),"Received Qty needs the Vendor Invoice No",IF(AND(U431&lt;&gt;"",COUNTIFS(Bills!$B$3:$B$302,U431,Bills!$C$3:$C$302,C431)=0),"Add bill "&amp;U431&amp;" of "&amp;C431&amp;" on the Bills sheet",IF(S431&lt;R431,"MRP is below the Purchase Rate","OK")))))))))</f>
        <v/>
      </c>
      <c r="B431" s="29"/>
      <c r="C431" s="22"/>
      <c r="D431" s="22"/>
      <c r="E431" s="24"/>
      <c r="F431" s="22"/>
      <c r="G431" s="22"/>
      <c r="H431" s="22"/>
      <c r="I431" s="30" t="str">
        <f>IF(H431="","",IFERROR(INDEX(Codes!$B$2:$B$13,MATCH(H431,Codes!$A$2:$A$13,0)),""))</f>
        <v/>
      </c>
      <c r="J431" s="23"/>
      <c r="K431" s="23"/>
      <c r="L431" s="23"/>
      <c r="M431" s="23"/>
      <c r="N431" s="23"/>
      <c r="O431" s="23"/>
      <c r="P431" s="23"/>
      <c r="Q431" s="31"/>
      <c r="R431" s="32"/>
      <c r="S431" s="32"/>
      <c r="T431" s="33" t="str">
        <f t="shared" si="12"/>
        <v/>
      </c>
      <c r="U431" s="34"/>
      <c r="V431" s="35"/>
      <c r="W431" s="33" t="str">
        <f t="shared" si="13"/>
        <v/>
      </c>
    </row>
    <row r="432" spans="1:23" x14ac:dyDescent="0.35">
      <c r="A432" s="21" t="str">
        <f>IF(COUNTA(B432:H432,J432:S432,U432:V432)=0,"",IF((IF(B432="","PO Ref, ","")&amp;IF(C432="","Vendor, ","")&amp;IF(D432="","Store, ","")&amp;IF(F432="","Product Type, ","")&amp;IF(G432="","Category, ","")&amp;IF(H432="","HSN Code, ","")&amp;IF(Q432="","Qty, ","")&amp;IF(R432="","Purchase Rate, ","")&amp;IF(S432="","MRP, ",""))&lt;&gt;"","Missing: "&amp;LEFT(IF(B432="","PO Ref, ","")&amp;IF(C432="","Vendor, ","")&amp;IF(D432="","Store, ","")&amp;IF(F432="","Product Type, ","")&amp;IF(G432="","Category, ","")&amp;IF(H432="","HSN Code, ","")&amp;IF(Q432="","Qty, ","")&amp;IF(R432="","Purchase Rate, ","")&amp;IF(S432="","MRP, ",""),LEN(IF(B432="","PO Ref, ","")&amp;IF(C432="","Vendor, ","")&amp;IF(D432="","Store, ","")&amp;IF(F432="","Product Type, ","")&amp;IF(G432="","Category, ","")&amp;IF(H432="","HSN Code, ","")&amp;IF(Q432="","Qty, ","")&amp;IF(R432="","Purchase Rate, ","")&amp;IF(S432="","MRP, ",""))-2),IF(COUNTIF(Vendors!$B$3:$B$202,C432)=0,"Add vendor "&amp;C432&amp;" on the Vendors sheet",IF(ISNA(MATCH(H432,Codes!$A$2:$A$13,0)),"Pick the HSN Code from the list",IF(AND(E432&lt;&gt;"",COUNTIFS($C$3:$C$1002,C432,$E$3:$E$1002,E432,$F$3:$F$1002,"&lt;&gt;"&amp;F432)+COUNTIFS($C$3:$C$1002,C432,$E$3:$E$1002,E432,$G$3:$G$1002,"&lt;&gt;"&amp;G432)&gt;0),"Design "&amp;E432&amp;" has another Product Type or Category on another row",IF(COUNTIFS($F$3:$F$1002,F432,$G$3:$G$1002,G432,$H$3:$H$1002,"&lt;&gt;"&amp;H432)&gt;0,F432&amp;" + "&amp;G432&amp;" has another HSN Code on another row",IF(AND(V432&lt;&gt;"",U432=""),"Received Qty needs the Vendor Invoice No",IF(AND(U432&lt;&gt;"",COUNTIFS(Bills!$B$3:$B$302,U432,Bills!$C$3:$C$302,C432)=0),"Add bill "&amp;U432&amp;" of "&amp;C432&amp;" on the Bills sheet",IF(S432&lt;R432,"MRP is below the Purchase Rate","OK")))))))))</f>
        <v/>
      </c>
      <c r="B432" s="29"/>
      <c r="C432" s="22"/>
      <c r="D432" s="22"/>
      <c r="E432" s="24"/>
      <c r="F432" s="22"/>
      <c r="G432" s="22"/>
      <c r="H432" s="22"/>
      <c r="I432" s="30" t="str">
        <f>IF(H432="","",IFERROR(INDEX(Codes!$B$2:$B$13,MATCH(H432,Codes!$A$2:$A$13,0)),""))</f>
        <v/>
      </c>
      <c r="J432" s="23"/>
      <c r="K432" s="23"/>
      <c r="L432" s="23"/>
      <c r="M432" s="23"/>
      <c r="N432" s="23"/>
      <c r="O432" s="23"/>
      <c r="P432" s="23"/>
      <c r="Q432" s="31"/>
      <c r="R432" s="32"/>
      <c r="S432" s="32"/>
      <c r="T432" s="33" t="str">
        <f t="shared" si="12"/>
        <v/>
      </c>
      <c r="U432" s="34"/>
      <c r="V432" s="35"/>
      <c r="W432" s="33" t="str">
        <f t="shared" si="13"/>
        <v/>
      </c>
    </row>
    <row r="433" spans="1:23" x14ac:dyDescent="0.35">
      <c r="A433" s="21" t="str">
        <f>IF(COUNTA(B433:H433,J433:S433,U433:V433)=0,"",IF((IF(B433="","PO Ref, ","")&amp;IF(C433="","Vendor, ","")&amp;IF(D433="","Store, ","")&amp;IF(F433="","Product Type, ","")&amp;IF(G433="","Category, ","")&amp;IF(H433="","HSN Code, ","")&amp;IF(Q433="","Qty, ","")&amp;IF(R433="","Purchase Rate, ","")&amp;IF(S433="","MRP, ",""))&lt;&gt;"","Missing: "&amp;LEFT(IF(B433="","PO Ref, ","")&amp;IF(C433="","Vendor, ","")&amp;IF(D433="","Store, ","")&amp;IF(F433="","Product Type, ","")&amp;IF(G433="","Category, ","")&amp;IF(H433="","HSN Code, ","")&amp;IF(Q433="","Qty, ","")&amp;IF(R433="","Purchase Rate, ","")&amp;IF(S433="","MRP, ",""),LEN(IF(B433="","PO Ref, ","")&amp;IF(C433="","Vendor, ","")&amp;IF(D433="","Store, ","")&amp;IF(F433="","Product Type, ","")&amp;IF(G433="","Category, ","")&amp;IF(H433="","HSN Code, ","")&amp;IF(Q433="","Qty, ","")&amp;IF(R433="","Purchase Rate, ","")&amp;IF(S433="","MRP, ",""))-2),IF(COUNTIF(Vendors!$B$3:$B$202,C433)=0,"Add vendor "&amp;C433&amp;" on the Vendors sheet",IF(ISNA(MATCH(H433,Codes!$A$2:$A$13,0)),"Pick the HSN Code from the list",IF(AND(E433&lt;&gt;"",COUNTIFS($C$3:$C$1002,C433,$E$3:$E$1002,E433,$F$3:$F$1002,"&lt;&gt;"&amp;F433)+COUNTIFS($C$3:$C$1002,C433,$E$3:$E$1002,E433,$G$3:$G$1002,"&lt;&gt;"&amp;G433)&gt;0),"Design "&amp;E433&amp;" has another Product Type or Category on another row",IF(COUNTIFS($F$3:$F$1002,F433,$G$3:$G$1002,G433,$H$3:$H$1002,"&lt;&gt;"&amp;H433)&gt;0,F433&amp;" + "&amp;G433&amp;" has another HSN Code on another row",IF(AND(V433&lt;&gt;"",U433=""),"Received Qty needs the Vendor Invoice No",IF(AND(U433&lt;&gt;"",COUNTIFS(Bills!$B$3:$B$302,U433,Bills!$C$3:$C$302,C433)=0),"Add bill "&amp;U433&amp;" of "&amp;C433&amp;" on the Bills sheet",IF(S433&lt;R433,"MRP is below the Purchase Rate","OK")))))))))</f>
        <v/>
      </c>
      <c r="B433" s="29"/>
      <c r="C433" s="22"/>
      <c r="D433" s="22"/>
      <c r="E433" s="24"/>
      <c r="F433" s="22"/>
      <c r="G433" s="22"/>
      <c r="H433" s="22"/>
      <c r="I433" s="30" t="str">
        <f>IF(H433="","",IFERROR(INDEX(Codes!$B$2:$B$13,MATCH(H433,Codes!$A$2:$A$13,0)),""))</f>
        <v/>
      </c>
      <c r="J433" s="23"/>
      <c r="K433" s="23"/>
      <c r="L433" s="23"/>
      <c r="M433" s="23"/>
      <c r="N433" s="23"/>
      <c r="O433" s="23"/>
      <c r="P433" s="23"/>
      <c r="Q433" s="31"/>
      <c r="R433" s="32"/>
      <c r="S433" s="32"/>
      <c r="T433" s="33" t="str">
        <f t="shared" si="12"/>
        <v/>
      </c>
      <c r="U433" s="34"/>
      <c r="V433" s="35"/>
      <c r="W433" s="33" t="str">
        <f t="shared" si="13"/>
        <v/>
      </c>
    </row>
    <row r="434" spans="1:23" x14ac:dyDescent="0.35">
      <c r="A434" s="21" t="str">
        <f>IF(COUNTA(B434:H434,J434:S434,U434:V434)=0,"",IF((IF(B434="","PO Ref, ","")&amp;IF(C434="","Vendor, ","")&amp;IF(D434="","Store, ","")&amp;IF(F434="","Product Type, ","")&amp;IF(G434="","Category, ","")&amp;IF(H434="","HSN Code, ","")&amp;IF(Q434="","Qty, ","")&amp;IF(R434="","Purchase Rate, ","")&amp;IF(S434="","MRP, ",""))&lt;&gt;"","Missing: "&amp;LEFT(IF(B434="","PO Ref, ","")&amp;IF(C434="","Vendor, ","")&amp;IF(D434="","Store, ","")&amp;IF(F434="","Product Type, ","")&amp;IF(G434="","Category, ","")&amp;IF(H434="","HSN Code, ","")&amp;IF(Q434="","Qty, ","")&amp;IF(R434="","Purchase Rate, ","")&amp;IF(S434="","MRP, ",""),LEN(IF(B434="","PO Ref, ","")&amp;IF(C434="","Vendor, ","")&amp;IF(D434="","Store, ","")&amp;IF(F434="","Product Type, ","")&amp;IF(G434="","Category, ","")&amp;IF(H434="","HSN Code, ","")&amp;IF(Q434="","Qty, ","")&amp;IF(R434="","Purchase Rate, ","")&amp;IF(S434="","MRP, ",""))-2),IF(COUNTIF(Vendors!$B$3:$B$202,C434)=0,"Add vendor "&amp;C434&amp;" on the Vendors sheet",IF(ISNA(MATCH(H434,Codes!$A$2:$A$13,0)),"Pick the HSN Code from the list",IF(AND(E434&lt;&gt;"",COUNTIFS($C$3:$C$1002,C434,$E$3:$E$1002,E434,$F$3:$F$1002,"&lt;&gt;"&amp;F434)+COUNTIFS($C$3:$C$1002,C434,$E$3:$E$1002,E434,$G$3:$G$1002,"&lt;&gt;"&amp;G434)&gt;0),"Design "&amp;E434&amp;" has another Product Type or Category on another row",IF(COUNTIFS($F$3:$F$1002,F434,$G$3:$G$1002,G434,$H$3:$H$1002,"&lt;&gt;"&amp;H434)&gt;0,F434&amp;" + "&amp;G434&amp;" has another HSN Code on another row",IF(AND(V434&lt;&gt;"",U434=""),"Received Qty needs the Vendor Invoice No",IF(AND(U434&lt;&gt;"",COUNTIFS(Bills!$B$3:$B$302,U434,Bills!$C$3:$C$302,C434)=0),"Add bill "&amp;U434&amp;" of "&amp;C434&amp;" on the Bills sheet",IF(S434&lt;R434,"MRP is below the Purchase Rate","OK")))))))))</f>
        <v/>
      </c>
      <c r="B434" s="29"/>
      <c r="C434" s="22"/>
      <c r="D434" s="22"/>
      <c r="E434" s="24"/>
      <c r="F434" s="22"/>
      <c r="G434" s="22"/>
      <c r="H434" s="22"/>
      <c r="I434" s="30" t="str">
        <f>IF(H434="","",IFERROR(INDEX(Codes!$B$2:$B$13,MATCH(H434,Codes!$A$2:$A$13,0)),""))</f>
        <v/>
      </c>
      <c r="J434" s="23"/>
      <c r="K434" s="23"/>
      <c r="L434" s="23"/>
      <c r="M434" s="23"/>
      <c r="N434" s="23"/>
      <c r="O434" s="23"/>
      <c r="P434" s="23"/>
      <c r="Q434" s="31"/>
      <c r="R434" s="32"/>
      <c r="S434" s="32"/>
      <c r="T434" s="33" t="str">
        <f t="shared" si="12"/>
        <v/>
      </c>
      <c r="U434" s="34"/>
      <c r="V434" s="35"/>
      <c r="W434" s="33" t="str">
        <f t="shared" si="13"/>
        <v/>
      </c>
    </row>
    <row r="435" spans="1:23" x14ac:dyDescent="0.35">
      <c r="A435" s="21" t="str">
        <f>IF(COUNTA(B435:H435,J435:S435,U435:V435)=0,"",IF((IF(B435="","PO Ref, ","")&amp;IF(C435="","Vendor, ","")&amp;IF(D435="","Store, ","")&amp;IF(F435="","Product Type, ","")&amp;IF(G435="","Category, ","")&amp;IF(H435="","HSN Code, ","")&amp;IF(Q435="","Qty, ","")&amp;IF(R435="","Purchase Rate, ","")&amp;IF(S435="","MRP, ",""))&lt;&gt;"","Missing: "&amp;LEFT(IF(B435="","PO Ref, ","")&amp;IF(C435="","Vendor, ","")&amp;IF(D435="","Store, ","")&amp;IF(F435="","Product Type, ","")&amp;IF(G435="","Category, ","")&amp;IF(H435="","HSN Code, ","")&amp;IF(Q435="","Qty, ","")&amp;IF(R435="","Purchase Rate, ","")&amp;IF(S435="","MRP, ",""),LEN(IF(B435="","PO Ref, ","")&amp;IF(C435="","Vendor, ","")&amp;IF(D435="","Store, ","")&amp;IF(F435="","Product Type, ","")&amp;IF(G435="","Category, ","")&amp;IF(H435="","HSN Code, ","")&amp;IF(Q435="","Qty, ","")&amp;IF(R435="","Purchase Rate, ","")&amp;IF(S435="","MRP, ",""))-2),IF(COUNTIF(Vendors!$B$3:$B$202,C435)=0,"Add vendor "&amp;C435&amp;" on the Vendors sheet",IF(ISNA(MATCH(H435,Codes!$A$2:$A$13,0)),"Pick the HSN Code from the list",IF(AND(E435&lt;&gt;"",COUNTIFS($C$3:$C$1002,C435,$E$3:$E$1002,E435,$F$3:$F$1002,"&lt;&gt;"&amp;F435)+COUNTIFS($C$3:$C$1002,C435,$E$3:$E$1002,E435,$G$3:$G$1002,"&lt;&gt;"&amp;G435)&gt;0),"Design "&amp;E435&amp;" has another Product Type or Category on another row",IF(COUNTIFS($F$3:$F$1002,F435,$G$3:$G$1002,G435,$H$3:$H$1002,"&lt;&gt;"&amp;H435)&gt;0,F435&amp;" + "&amp;G435&amp;" has another HSN Code on another row",IF(AND(V435&lt;&gt;"",U435=""),"Received Qty needs the Vendor Invoice No",IF(AND(U435&lt;&gt;"",COUNTIFS(Bills!$B$3:$B$302,U435,Bills!$C$3:$C$302,C435)=0),"Add bill "&amp;U435&amp;" of "&amp;C435&amp;" on the Bills sheet",IF(S435&lt;R435,"MRP is below the Purchase Rate","OK")))))))))</f>
        <v/>
      </c>
      <c r="B435" s="29"/>
      <c r="C435" s="22"/>
      <c r="D435" s="22"/>
      <c r="E435" s="24"/>
      <c r="F435" s="22"/>
      <c r="G435" s="22"/>
      <c r="H435" s="22"/>
      <c r="I435" s="30" t="str">
        <f>IF(H435="","",IFERROR(INDEX(Codes!$B$2:$B$13,MATCH(H435,Codes!$A$2:$A$13,0)),""))</f>
        <v/>
      </c>
      <c r="J435" s="23"/>
      <c r="K435" s="23"/>
      <c r="L435" s="23"/>
      <c r="M435" s="23"/>
      <c r="N435" s="23"/>
      <c r="O435" s="23"/>
      <c r="P435" s="23"/>
      <c r="Q435" s="31"/>
      <c r="R435" s="32"/>
      <c r="S435" s="32"/>
      <c r="T435" s="33" t="str">
        <f t="shared" si="12"/>
        <v/>
      </c>
      <c r="U435" s="34"/>
      <c r="V435" s="35"/>
      <c r="W435" s="33" t="str">
        <f t="shared" si="13"/>
        <v/>
      </c>
    </row>
    <row r="436" spans="1:23" x14ac:dyDescent="0.35">
      <c r="A436" s="21" t="str">
        <f>IF(COUNTA(B436:H436,J436:S436,U436:V436)=0,"",IF((IF(B436="","PO Ref, ","")&amp;IF(C436="","Vendor, ","")&amp;IF(D436="","Store, ","")&amp;IF(F436="","Product Type, ","")&amp;IF(G436="","Category, ","")&amp;IF(H436="","HSN Code, ","")&amp;IF(Q436="","Qty, ","")&amp;IF(R436="","Purchase Rate, ","")&amp;IF(S436="","MRP, ",""))&lt;&gt;"","Missing: "&amp;LEFT(IF(B436="","PO Ref, ","")&amp;IF(C436="","Vendor, ","")&amp;IF(D436="","Store, ","")&amp;IF(F436="","Product Type, ","")&amp;IF(G436="","Category, ","")&amp;IF(H436="","HSN Code, ","")&amp;IF(Q436="","Qty, ","")&amp;IF(R436="","Purchase Rate, ","")&amp;IF(S436="","MRP, ",""),LEN(IF(B436="","PO Ref, ","")&amp;IF(C436="","Vendor, ","")&amp;IF(D436="","Store, ","")&amp;IF(F436="","Product Type, ","")&amp;IF(G436="","Category, ","")&amp;IF(H436="","HSN Code, ","")&amp;IF(Q436="","Qty, ","")&amp;IF(R436="","Purchase Rate, ","")&amp;IF(S436="","MRP, ",""))-2),IF(COUNTIF(Vendors!$B$3:$B$202,C436)=0,"Add vendor "&amp;C436&amp;" on the Vendors sheet",IF(ISNA(MATCH(H436,Codes!$A$2:$A$13,0)),"Pick the HSN Code from the list",IF(AND(E436&lt;&gt;"",COUNTIFS($C$3:$C$1002,C436,$E$3:$E$1002,E436,$F$3:$F$1002,"&lt;&gt;"&amp;F436)+COUNTIFS($C$3:$C$1002,C436,$E$3:$E$1002,E436,$G$3:$G$1002,"&lt;&gt;"&amp;G436)&gt;0),"Design "&amp;E436&amp;" has another Product Type or Category on another row",IF(COUNTIFS($F$3:$F$1002,F436,$G$3:$G$1002,G436,$H$3:$H$1002,"&lt;&gt;"&amp;H436)&gt;0,F436&amp;" + "&amp;G436&amp;" has another HSN Code on another row",IF(AND(V436&lt;&gt;"",U436=""),"Received Qty needs the Vendor Invoice No",IF(AND(U436&lt;&gt;"",COUNTIFS(Bills!$B$3:$B$302,U436,Bills!$C$3:$C$302,C436)=0),"Add bill "&amp;U436&amp;" of "&amp;C436&amp;" on the Bills sheet",IF(S436&lt;R436,"MRP is below the Purchase Rate","OK")))))))))</f>
        <v/>
      </c>
      <c r="B436" s="29"/>
      <c r="C436" s="22"/>
      <c r="D436" s="22"/>
      <c r="E436" s="24"/>
      <c r="F436" s="22"/>
      <c r="G436" s="22"/>
      <c r="H436" s="22"/>
      <c r="I436" s="30" t="str">
        <f>IF(H436="","",IFERROR(INDEX(Codes!$B$2:$B$13,MATCH(H436,Codes!$A$2:$A$13,0)),""))</f>
        <v/>
      </c>
      <c r="J436" s="23"/>
      <c r="K436" s="23"/>
      <c r="L436" s="23"/>
      <c r="M436" s="23"/>
      <c r="N436" s="23"/>
      <c r="O436" s="23"/>
      <c r="P436" s="23"/>
      <c r="Q436" s="31"/>
      <c r="R436" s="32"/>
      <c r="S436" s="32"/>
      <c r="T436" s="33" t="str">
        <f t="shared" si="12"/>
        <v/>
      </c>
      <c r="U436" s="34"/>
      <c r="V436" s="35"/>
      <c r="W436" s="33" t="str">
        <f t="shared" si="13"/>
        <v/>
      </c>
    </row>
    <row r="437" spans="1:23" x14ac:dyDescent="0.35">
      <c r="A437" s="21" t="str">
        <f>IF(COUNTA(B437:H437,J437:S437,U437:V437)=0,"",IF((IF(B437="","PO Ref, ","")&amp;IF(C437="","Vendor, ","")&amp;IF(D437="","Store, ","")&amp;IF(F437="","Product Type, ","")&amp;IF(G437="","Category, ","")&amp;IF(H437="","HSN Code, ","")&amp;IF(Q437="","Qty, ","")&amp;IF(R437="","Purchase Rate, ","")&amp;IF(S437="","MRP, ",""))&lt;&gt;"","Missing: "&amp;LEFT(IF(B437="","PO Ref, ","")&amp;IF(C437="","Vendor, ","")&amp;IF(D437="","Store, ","")&amp;IF(F437="","Product Type, ","")&amp;IF(G437="","Category, ","")&amp;IF(H437="","HSN Code, ","")&amp;IF(Q437="","Qty, ","")&amp;IF(R437="","Purchase Rate, ","")&amp;IF(S437="","MRP, ",""),LEN(IF(B437="","PO Ref, ","")&amp;IF(C437="","Vendor, ","")&amp;IF(D437="","Store, ","")&amp;IF(F437="","Product Type, ","")&amp;IF(G437="","Category, ","")&amp;IF(H437="","HSN Code, ","")&amp;IF(Q437="","Qty, ","")&amp;IF(R437="","Purchase Rate, ","")&amp;IF(S437="","MRP, ",""))-2),IF(COUNTIF(Vendors!$B$3:$B$202,C437)=0,"Add vendor "&amp;C437&amp;" on the Vendors sheet",IF(ISNA(MATCH(H437,Codes!$A$2:$A$13,0)),"Pick the HSN Code from the list",IF(AND(E437&lt;&gt;"",COUNTIFS($C$3:$C$1002,C437,$E$3:$E$1002,E437,$F$3:$F$1002,"&lt;&gt;"&amp;F437)+COUNTIFS($C$3:$C$1002,C437,$E$3:$E$1002,E437,$G$3:$G$1002,"&lt;&gt;"&amp;G437)&gt;0),"Design "&amp;E437&amp;" has another Product Type or Category on another row",IF(COUNTIFS($F$3:$F$1002,F437,$G$3:$G$1002,G437,$H$3:$H$1002,"&lt;&gt;"&amp;H437)&gt;0,F437&amp;" + "&amp;G437&amp;" has another HSN Code on another row",IF(AND(V437&lt;&gt;"",U437=""),"Received Qty needs the Vendor Invoice No",IF(AND(U437&lt;&gt;"",COUNTIFS(Bills!$B$3:$B$302,U437,Bills!$C$3:$C$302,C437)=0),"Add bill "&amp;U437&amp;" of "&amp;C437&amp;" on the Bills sheet",IF(S437&lt;R437,"MRP is below the Purchase Rate","OK")))))))))</f>
        <v/>
      </c>
      <c r="B437" s="29"/>
      <c r="C437" s="22"/>
      <c r="D437" s="22"/>
      <c r="E437" s="24"/>
      <c r="F437" s="22"/>
      <c r="G437" s="22"/>
      <c r="H437" s="22"/>
      <c r="I437" s="30" t="str">
        <f>IF(H437="","",IFERROR(INDEX(Codes!$B$2:$B$13,MATCH(H437,Codes!$A$2:$A$13,0)),""))</f>
        <v/>
      </c>
      <c r="J437" s="23"/>
      <c r="K437" s="23"/>
      <c r="L437" s="23"/>
      <c r="M437" s="23"/>
      <c r="N437" s="23"/>
      <c r="O437" s="23"/>
      <c r="P437" s="23"/>
      <c r="Q437" s="31"/>
      <c r="R437" s="32"/>
      <c r="S437" s="32"/>
      <c r="T437" s="33" t="str">
        <f t="shared" si="12"/>
        <v/>
      </c>
      <c r="U437" s="34"/>
      <c r="V437" s="35"/>
      <c r="W437" s="33" t="str">
        <f t="shared" si="13"/>
        <v/>
      </c>
    </row>
    <row r="438" spans="1:23" x14ac:dyDescent="0.35">
      <c r="A438" s="21" t="str">
        <f>IF(COUNTA(B438:H438,J438:S438,U438:V438)=0,"",IF((IF(B438="","PO Ref, ","")&amp;IF(C438="","Vendor, ","")&amp;IF(D438="","Store, ","")&amp;IF(F438="","Product Type, ","")&amp;IF(G438="","Category, ","")&amp;IF(H438="","HSN Code, ","")&amp;IF(Q438="","Qty, ","")&amp;IF(R438="","Purchase Rate, ","")&amp;IF(S438="","MRP, ",""))&lt;&gt;"","Missing: "&amp;LEFT(IF(B438="","PO Ref, ","")&amp;IF(C438="","Vendor, ","")&amp;IF(D438="","Store, ","")&amp;IF(F438="","Product Type, ","")&amp;IF(G438="","Category, ","")&amp;IF(H438="","HSN Code, ","")&amp;IF(Q438="","Qty, ","")&amp;IF(R438="","Purchase Rate, ","")&amp;IF(S438="","MRP, ",""),LEN(IF(B438="","PO Ref, ","")&amp;IF(C438="","Vendor, ","")&amp;IF(D438="","Store, ","")&amp;IF(F438="","Product Type, ","")&amp;IF(G438="","Category, ","")&amp;IF(H438="","HSN Code, ","")&amp;IF(Q438="","Qty, ","")&amp;IF(R438="","Purchase Rate, ","")&amp;IF(S438="","MRP, ",""))-2),IF(COUNTIF(Vendors!$B$3:$B$202,C438)=0,"Add vendor "&amp;C438&amp;" on the Vendors sheet",IF(ISNA(MATCH(H438,Codes!$A$2:$A$13,0)),"Pick the HSN Code from the list",IF(AND(E438&lt;&gt;"",COUNTIFS($C$3:$C$1002,C438,$E$3:$E$1002,E438,$F$3:$F$1002,"&lt;&gt;"&amp;F438)+COUNTIFS($C$3:$C$1002,C438,$E$3:$E$1002,E438,$G$3:$G$1002,"&lt;&gt;"&amp;G438)&gt;0),"Design "&amp;E438&amp;" has another Product Type or Category on another row",IF(COUNTIFS($F$3:$F$1002,F438,$G$3:$G$1002,G438,$H$3:$H$1002,"&lt;&gt;"&amp;H438)&gt;0,F438&amp;" + "&amp;G438&amp;" has another HSN Code on another row",IF(AND(V438&lt;&gt;"",U438=""),"Received Qty needs the Vendor Invoice No",IF(AND(U438&lt;&gt;"",COUNTIFS(Bills!$B$3:$B$302,U438,Bills!$C$3:$C$302,C438)=0),"Add bill "&amp;U438&amp;" of "&amp;C438&amp;" on the Bills sheet",IF(S438&lt;R438,"MRP is below the Purchase Rate","OK")))))))))</f>
        <v/>
      </c>
      <c r="B438" s="29"/>
      <c r="C438" s="22"/>
      <c r="D438" s="22"/>
      <c r="E438" s="24"/>
      <c r="F438" s="22"/>
      <c r="G438" s="22"/>
      <c r="H438" s="22"/>
      <c r="I438" s="30" t="str">
        <f>IF(H438="","",IFERROR(INDEX(Codes!$B$2:$B$13,MATCH(H438,Codes!$A$2:$A$13,0)),""))</f>
        <v/>
      </c>
      <c r="J438" s="23"/>
      <c r="K438" s="23"/>
      <c r="L438" s="23"/>
      <c r="M438" s="23"/>
      <c r="N438" s="23"/>
      <c r="O438" s="23"/>
      <c r="P438" s="23"/>
      <c r="Q438" s="31"/>
      <c r="R438" s="32"/>
      <c r="S438" s="32"/>
      <c r="T438" s="33" t="str">
        <f t="shared" si="12"/>
        <v/>
      </c>
      <c r="U438" s="34"/>
      <c r="V438" s="35"/>
      <c r="W438" s="33" t="str">
        <f t="shared" si="13"/>
        <v/>
      </c>
    </row>
    <row r="439" spans="1:23" x14ac:dyDescent="0.35">
      <c r="A439" s="21" t="str">
        <f>IF(COUNTA(B439:H439,J439:S439,U439:V439)=0,"",IF((IF(B439="","PO Ref, ","")&amp;IF(C439="","Vendor, ","")&amp;IF(D439="","Store, ","")&amp;IF(F439="","Product Type, ","")&amp;IF(G439="","Category, ","")&amp;IF(H439="","HSN Code, ","")&amp;IF(Q439="","Qty, ","")&amp;IF(R439="","Purchase Rate, ","")&amp;IF(S439="","MRP, ",""))&lt;&gt;"","Missing: "&amp;LEFT(IF(B439="","PO Ref, ","")&amp;IF(C439="","Vendor, ","")&amp;IF(D439="","Store, ","")&amp;IF(F439="","Product Type, ","")&amp;IF(G439="","Category, ","")&amp;IF(H439="","HSN Code, ","")&amp;IF(Q439="","Qty, ","")&amp;IF(R439="","Purchase Rate, ","")&amp;IF(S439="","MRP, ",""),LEN(IF(B439="","PO Ref, ","")&amp;IF(C439="","Vendor, ","")&amp;IF(D439="","Store, ","")&amp;IF(F439="","Product Type, ","")&amp;IF(G439="","Category, ","")&amp;IF(H439="","HSN Code, ","")&amp;IF(Q439="","Qty, ","")&amp;IF(R439="","Purchase Rate, ","")&amp;IF(S439="","MRP, ",""))-2),IF(COUNTIF(Vendors!$B$3:$B$202,C439)=0,"Add vendor "&amp;C439&amp;" on the Vendors sheet",IF(ISNA(MATCH(H439,Codes!$A$2:$A$13,0)),"Pick the HSN Code from the list",IF(AND(E439&lt;&gt;"",COUNTIFS($C$3:$C$1002,C439,$E$3:$E$1002,E439,$F$3:$F$1002,"&lt;&gt;"&amp;F439)+COUNTIFS($C$3:$C$1002,C439,$E$3:$E$1002,E439,$G$3:$G$1002,"&lt;&gt;"&amp;G439)&gt;0),"Design "&amp;E439&amp;" has another Product Type or Category on another row",IF(COUNTIFS($F$3:$F$1002,F439,$G$3:$G$1002,G439,$H$3:$H$1002,"&lt;&gt;"&amp;H439)&gt;0,F439&amp;" + "&amp;G439&amp;" has another HSN Code on another row",IF(AND(V439&lt;&gt;"",U439=""),"Received Qty needs the Vendor Invoice No",IF(AND(U439&lt;&gt;"",COUNTIFS(Bills!$B$3:$B$302,U439,Bills!$C$3:$C$302,C439)=0),"Add bill "&amp;U439&amp;" of "&amp;C439&amp;" on the Bills sheet",IF(S439&lt;R439,"MRP is below the Purchase Rate","OK")))))))))</f>
        <v/>
      </c>
      <c r="B439" s="29"/>
      <c r="C439" s="22"/>
      <c r="D439" s="22"/>
      <c r="E439" s="24"/>
      <c r="F439" s="22"/>
      <c r="G439" s="22"/>
      <c r="H439" s="22"/>
      <c r="I439" s="30" t="str">
        <f>IF(H439="","",IFERROR(INDEX(Codes!$B$2:$B$13,MATCH(H439,Codes!$A$2:$A$13,0)),""))</f>
        <v/>
      </c>
      <c r="J439" s="23"/>
      <c r="K439" s="23"/>
      <c r="L439" s="23"/>
      <c r="M439" s="23"/>
      <c r="N439" s="23"/>
      <c r="O439" s="23"/>
      <c r="P439" s="23"/>
      <c r="Q439" s="31"/>
      <c r="R439" s="32"/>
      <c r="S439" s="32"/>
      <c r="T439" s="33" t="str">
        <f t="shared" si="12"/>
        <v/>
      </c>
      <c r="U439" s="34"/>
      <c r="V439" s="35"/>
      <c r="W439" s="33" t="str">
        <f t="shared" si="13"/>
        <v/>
      </c>
    </row>
    <row r="440" spans="1:23" x14ac:dyDescent="0.35">
      <c r="A440" s="21" t="str">
        <f>IF(COUNTA(B440:H440,J440:S440,U440:V440)=0,"",IF((IF(B440="","PO Ref, ","")&amp;IF(C440="","Vendor, ","")&amp;IF(D440="","Store, ","")&amp;IF(F440="","Product Type, ","")&amp;IF(G440="","Category, ","")&amp;IF(H440="","HSN Code, ","")&amp;IF(Q440="","Qty, ","")&amp;IF(R440="","Purchase Rate, ","")&amp;IF(S440="","MRP, ",""))&lt;&gt;"","Missing: "&amp;LEFT(IF(B440="","PO Ref, ","")&amp;IF(C440="","Vendor, ","")&amp;IF(D440="","Store, ","")&amp;IF(F440="","Product Type, ","")&amp;IF(G440="","Category, ","")&amp;IF(H440="","HSN Code, ","")&amp;IF(Q440="","Qty, ","")&amp;IF(R440="","Purchase Rate, ","")&amp;IF(S440="","MRP, ",""),LEN(IF(B440="","PO Ref, ","")&amp;IF(C440="","Vendor, ","")&amp;IF(D440="","Store, ","")&amp;IF(F440="","Product Type, ","")&amp;IF(G440="","Category, ","")&amp;IF(H440="","HSN Code, ","")&amp;IF(Q440="","Qty, ","")&amp;IF(R440="","Purchase Rate, ","")&amp;IF(S440="","MRP, ",""))-2),IF(COUNTIF(Vendors!$B$3:$B$202,C440)=0,"Add vendor "&amp;C440&amp;" on the Vendors sheet",IF(ISNA(MATCH(H440,Codes!$A$2:$A$13,0)),"Pick the HSN Code from the list",IF(AND(E440&lt;&gt;"",COUNTIFS($C$3:$C$1002,C440,$E$3:$E$1002,E440,$F$3:$F$1002,"&lt;&gt;"&amp;F440)+COUNTIFS($C$3:$C$1002,C440,$E$3:$E$1002,E440,$G$3:$G$1002,"&lt;&gt;"&amp;G440)&gt;0),"Design "&amp;E440&amp;" has another Product Type or Category on another row",IF(COUNTIFS($F$3:$F$1002,F440,$G$3:$G$1002,G440,$H$3:$H$1002,"&lt;&gt;"&amp;H440)&gt;0,F440&amp;" + "&amp;G440&amp;" has another HSN Code on another row",IF(AND(V440&lt;&gt;"",U440=""),"Received Qty needs the Vendor Invoice No",IF(AND(U440&lt;&gt;"",COUNTIFS(Bills!$B$3:$B$302,U440,Bills!$C$3:$C$302,C440)=0),"Add bill "&amp;U440&amp;" of "&amp;C440&amp;" on the Bills sheet",IF(S440&lt;R440,"MRP is below the Purchase Rate","OK")))))))))</f>
        <v/>
      </c>
      <c r="B440" s="29"/>
      <c r="C440" s="22"/>
      <c r="D440" s="22"/>
      <c r="E440" s="24"/>
      <c r="F440" s="22"/>
      <c r="G440" s="22"/>
      <c r="H440" s="22"/>
      <c r="I440" s="30" t="str">
        <f>IF(H440="","",IFERROR(INDEX(Codes!$B$2:$B$13,MATCH(H440,Codes!$A$2:$A$13,0)),""))</f>
        <v/>
      </c>
      <c r="J440" s="23"/>
      <c r="K440" s="23"/>
      <c r="L440" s="23"/>
      <c r="M440" s="23"/>
      <c r="N440" s="23"/>
      <c r="O440" s="23"/>
      <c r="P440" s="23"/>
      <c r="Q440" s="31"/>
      <c r="R440" s="32"/>
      <c r="S440" s="32"/>
      <c r="T440" s="33" t="str">
        <f t="shared" si="12"/>
        <v/>
      </c>
      <c r="U440" s="34"/>
      <c r="V440" s="35"/>
      <c r="W440" s="33" t="str">
        <f t="shared" si="13"/>
        <v/>
      </c>
    </row>
    <row r="441" spans="1:23" x14ac:dyDescent="0.35">
      <c r="A441" s="21" t="str">
        <f>IF(COUNTA(B441:H441,J441:S441,U441:V441)=0,"",IF((IF(B441="","PO Ref, ","")&amp;IF(C441="","Vendor, ","")&amp;IF(D441="","Store, ","")&amp;IF(F441="","Product Type, ","")&amp;IF(G441="","Category, ","")&amp;IF(H441="","HSN Code, ","")&amp;IF(Q441="","Qty, ","")&amp;IF(R441="","Purchase Rate, ","")&amp;IF(S441="","MRP, ",""))&lt;&gt;"","Missing: "&amp;LEFT(IF(B441="","PO Ref, ","")&amp;IF(C441="","Vendor, ","")&amp;IF(D441="","Store, ","")&amp;IF(F441="","Product Type, ","")&amp;IF(G441="","Category, ","")&amp;IF(H441="","HSN Code, ","")&amp;IF(Q441="","Qty, ","")&amp;IF(R441="","Purchase Rate, ","")&amp;IF(S441="","MRP, ",""),LEN(IF(B441="","PO Ref, ","")&amp;IF(C441="","Vendor, ","")&amp;IF(D441="","Store, ","")&amp;IF(F441="","Product Type, ","")&amp;IF(G441="","Category, ","")&amp;IF(H441="","HSN Code, ","")&amp;IF(Q441="","Qty, ","")&amp;IF(R441="","Purchase Rate, ","")&amp;IF(S441="","MRP, ",""))-2),IF(COUNTIF(Vendors!$B$3:$B$202,C441)=0,"Add vendor "&amp;C441&amp;" on the Vendors sheet",IF(ISNA(MATCH(H441,Codes!$A$2:$A$13,0)),"Pick the HSN Code from the list",IF(AND(E441&lt;&gt;"",COUNTIFS($C$3:$C$1002,C441,$E$3:$E$1002,E441,$F$3:$F$1002,"&lt;&gt;"&amp;F441)+COUNTIFS($C$3:$C$1002,C441,$E$3:$E$1002,E441,$G$3:$G$1002,"&lt;&gt;"&amp;G441)&gt;0),"Design "&amp;E441&amp;" has another Product Type or Category on another row",IF(COUNTIFS($F$3:$F$1002,F441,$G$3:$G$1002,G441,$H$3:$H$1002,"&lt;&gt;"&amp;H441)&gt;0,F441&amp;" + "&amp;G441&amp;" has another HSN Code on another row",IF(AND(V441&lt;&gt;"",U441=""),"Received Qty needs the Vendor Invoice No",IF(AND(U441&lt;&gt;"",COUNTIFS(Bills!$B$3:$B$302,U441,Bills!$C$3:$C$302,C441)=0),"Add bill "&amp;U441&amp;" of "&amp;C441&amp;" on the Bills sheet",IF(S441&lt;R441,"MRP is below the Purchase Rate","OK")))))))))</f>
        <v/>
      </c>
      <c r="B441" s="29"/>
      <c r="C441" s="22"/>
      <c r="D441" s="22"/>
      <c r="E441" s="24"/>
      <c r="F441" s="22"/>
      <c r="G441" s="22"/>
      <c r="H441" s="22"/>
      <c r="I441" s="30" t="str">
        <f>IF(H441="","",IFERROR(INDEX(Codes!$B$2:$B$13,MATCH(H441,Codes!$A$2:$A$13,0)),""))</f>
        <v/>
      </c>
      <c r="J441" s="23"/>
      <c r="K441" s="23"/>
      <c r="L441" s="23"/>
      <c r="M441" s="23"/>
      <c r="N441" s="23"/>
      <c r="O441" s="23"/>
      <c r="P441" s="23"/>
      <c r="Q441" s="31"/>
      <c r="R441" s="32"/>
      <c r="S441" s="32"/>
      <c r="T441" s="33" t="str">
        <f t="shared" si="12"/>
        <v/>
      </c>
      <c r="U441" s="34"/>
      <c r="V441" s="35"/>
      <c r="W441" s="33" t="str">
        <f t="shared" si="13"/>
        <v/>
      </c>
    </row>
    <row r="442" spans="1:23" x14ac:dyDescent="0.35">
      <c r="A442" s="21" t="str">
        <f>IF(COUNTA(B442:H442,J442:S442,U442:V442)=0,"",IF((IF(B442="","PO Ref, ","")&amp;IF(C442="","Vendor, ","")&amp;IF(D442="","Store, ","")&amp;IF(F442="","Product Type, ","")&amp;IF(G442="","Category, ","")&amp;IF(H442="","HSN Code, ","")&amp;IF(Q442="","Qty, ","")&amp;IF(R442="","Purchase Rate, ","")&amp;IF(S442="","MRP, ",""))&lt;&gt;"","Missing: "&amp;LEFT(IF(B442="","PO Ref, ","")&amp;IF(C442="","Vendor, ","")&amp;IF(D442="","Store, ","")&amp;IF(F442="","Product Type, ","")&amp;IF(G442="","Category, ","")&amp;IF(H442="","HSN Code, ","")&amp;IF(Q442="","Qty, ","")&amp;IF(R442="","Purchase Rate, ","")&amp;IF(S442="","MRP, ",""),LEN(IF(B442="","PO Ref, ","")&amp;IF(C442="","Vendor, ","")&amp;IF(D442="","Store, ","")&amp;IF(F442="","Product Type, ","")&amp;IF(G442="","Category, ","")&amp;IF(H442="","HSN Code, ","")&amp;IF(Q442="","Qty, ","")&amp;IF(R442="","Purchase Rate, ","")&amp;IF(S442="","MRP, ",""))-2),IF(COUNTIF(Vendors!$B$3:$B$202,C442)=0,"Add vendor "&amp;C442&amp;" on the Vendors sheet",IF(ISNA(MATCH(H442,Codes!$A$2:$A$13,0)),"Pick the HSN Code from the list",IF(AND(E442&lt;&gt;"",COUNTIFS($C$3:$C$1002,C442,$E$3:$E$1002,E442,$F$3:$F$1002,"&lt;&gt;"&amp;F442)+COUNTIFS($C$3:$C$1002,C442,$E$3:$E$1002,E442,$G$3:$G$1002,"&lt;&gt;"&amp;G442)&gt;0),"Design "&amp;E442&amp;" has another Product Type or Category on another row",IF(COUNTIFS($F$3:$F$1002,F442,$G$3:$G$1002,G442,$H$3:$H$1002,"&lt;&gt;"&amp;H442)&gt;0,F442&amp;" + "&amp;G442&amp;" has another HSN Code on another row",IF(AND(V442&lt;&gt;"",U442=""),"Received Qty needs the Vendor Invoice No",IF(AND(U442&lt;&gt;"",COUNTIFS(Bills!$B$3:$B$302,U442,Bills!$C$3:$C$302,C442)=0),"Add bill "&amp;U442&amp;" of "&amp;C442&amp;" on the Bills sheet",IF(S442&lt;R442,"MRP is below the Purchase Rate","OK")))))))))</f>
        <v/>
      </c>
      <c r="B442" s="29"/>
      <c r="C442" s="22"/>
      <c r="D442" s="22"/>
      <c r="E442" s="24"/>
      <c r="F442" s="22"/>
      <c r="G442" s="22"/>
      <c r="H442" s="22"/>
      <c r="I442" s="30" t="str">
        <f>IF(H442="","",IFERROR(INDEX(Codes!$B$2:$B$13,MATCH(H442,Codes!$A$2:$A$13,0)),""))</f>
        <v/>
      </c>
      <c r="J442" s="23"/>
      <c r="K442" s="23"/>
      <c r="L442" s="23"/>
      <c r="M442" s="23"/>
      <c r="N442" s="23"/>
      <c r="O442" s="23"/>
      <c r="P442" s="23"/>
      <c r="Q442" s="31"/>
      <c r="R442" s="32"/>
      <c r="S442" s="32"/>
      <c r="T442" s="33" t="str">
        <f t="shared" si="12"/>
        <v/>
      </c>
      <c r="U442" s="34"/>
      <c r="V442" s="35"/>
      <c r="W442" s="33" t="str">
        <f t="shared" si="13"/>
        <v/>
      </c>
    </row>
    <row r="443" spans="1:23" x14ac:dyDescent="0.35">
      <c r="A443" s="21" t="str">
        <f>IF(COUNTA(B443:H443,J443:S443,U443:V443)=0,"",IF((IF(B443="","PO Ref, ","")&amp;IF(C443="","Vendor, ","")&amp;IF(D443="","Store, ","")&amp;IF(F443="","Product Type, ","")&amp;IF(G443="","Category, ","")&amp;IF(H443="","HSN Code, ","")&amp;IF(Q443="","Qty, ","")&amp;IF(R443="","Purchase Rate, ","")&amp;IF(S443="","MRP, ",""))&lt;&gt;"","Missing: "&amp;LEFT(IF(B443="","PO Ref, ","")&amp;IF(C443="","Vendor, ","")&amp;IF(D443="","Store, ","")&amp;IF(F443="","Product Type, ","")&amp;IF(G443="","Category, ","")&amp;IF(H443="","HSN Code, ","")&amp;IF(Q443="","Qty, ","")&amp;IF(R443="","Purchase Rate, ","")&amp;IF(S443="","MRP, ",""),LEN(IF(B443="","PO Ref, ","")&amp;IF(C443="","Vendor, ","")&amp;IF(D443="","Store, ","")&amp;IF(F443="","Product Type, ","")&amp;IF(G443="","Category, ","")&amp;IF(H443="","HSN Code, ","")&amp;IF(Q443="","Qty, ","")&amp;IF(R443="","Purchase Rate, ","")&amp;IF(S443="","MRP, ",""))-2),IF(COUNTIF(Vendors!$B$3:$B$202,C443)=0,"Add vendor "&amp;C443&amp;" on the Vendors sheet",IF(ISNA(MATCH(H443,Codes!$A$2:$A$13,0)),"Pick the HSN Code from the list",IF(AND(E443&lt;&gt;"",COUNTIFS($C$3:$C$1002,C443,$E$3:$E$1002,E443,$F$3:$F$1002,"&lt;&gt;"&amp;F443)+COUNTIFS($C$3:$C$1002,C443,$E$3:$E$1002,E443,$G$3:$G$1002,"&lt;&gt;"&amp;G443)&gt;0),"Design "&amp;E443&amp;" has another Product Type or Category on another row",IF(COUNTIFS($F$3:$F$1002,F443,$G$3:$G$1002,G443,$H$3:$H$1002,"&lt;&gt;"&amp;H443)&gt;0,F443&amp;" + "&amp;G443&amp;" has another HSN Code on another row",IF(AND(V443&lt;&gt;"",U443=""),"Received Qty needs the Vendor Invoice No",IF(AND(U443&lt;&gt;"",COUNTIFS(Bills!$B$3:$B$302,U443,Bills!$C$3:$C$302,C443)=0),"Add bill "&amp;U443&amp;" of "&amp;C443&amp;" on the Bills sheet",IF(S443&lt;R443,"MRP is below the Purchase Rate","OK")))))))))</f>
        <v/>
      </c>
      <c r="B443" s="29"/>
      <c r="C443" s="22"/>
      <c r="D443" s="22"/>
      <c r="E443" s="24"/>
      <c r="F443" s="22"/>
      <c r="G443" s="22"/>
      <c r="H443" s="22"/>
      <c r="I443" s="30" t="str">
        <f>IF(H443="","",IFERROR(INDEX(Codes!$B$2:$B$13,MATCH(H443,Codes!$A$2:$A$13,0)),""))</f>
        <v/>
      </c>
      <c r="J443" s="23"/>
      <c r="K443" s="23"/>
      <c r="L443" s="23"/>
      <c r="M443" s="23"/>
      <c r="N443" s="23"/>
      <c r="O443" s="23"/>
      <c r="P443" s="23"/>
      <c r="Q443" s="31"/>
      <c r="R443" s="32"/>
      <c r="S443" s="32"/>
      <c r="T443" s="33" t="str">
        <f t="shared" si="12"/>
        <v/>
      </c>
      <c r="U443" s="34"/>
      <c r="V443" s="35"/>
      <c r="W443" s="33" t="str">
        <f t="shared" si="13"/>
        <v/>
      </c>
    </row>
    <row r="444" spans="1:23" x14ac:dyDescent="0.35">
      <c r="A444" s="21" t="str">
        <f>IF(COUNTA(B444:H444,J444:S444,U444:V444)=0,"",IF((IF(B444="","PO Ref, ","")&amp;IF(C444="","Vendor, ","")&amp;IF(D444="","Store, ","")&amp;IF(F444="","Product Type, ","")&amp;IF(G444="","Category, ","")&amp;IF(H444="","HSN Code, ","")&amp;IF(Q444="","Qty, ","")&amp;IF(R444="","Purchase Rate, ","")&amp;IF(S444="","MRP, ",""))&lt;&gt;"","Missing: "&amp;LEFT(IF(B444="","PO Ref, ","")&amp;IF(C444="","Vendor, ","")&amp;IF(D444="","Store, ","")&amp;IF(F444="","Product Type, ","")&amp;IF(G444="","Category, ","")&amp;IF(H444="","HSN Code, ","")&amp;IF(Q444="","Qty, ","")&amp;IF(R444="","Purchase Rate, ","")&amp;IF(S444="","MRP, ",""),LEN(IF(B444="","PO Ref, ","")&amp;IF(C444="","Vendor, ","")&amp;IF(D444="","Store, ","")&amp;IF(F444="","Product Type, ","")&amp;IF(G444="","Category, ","")&amp;IF(H444="","HSN Code, ","")&amp;IF(Q444="","Qty, ","")&amp;IF(R444="","Purchase Rate, ","")&amp;IF(S444="","MRP, ",""))-2),IF(COUNTIF(Vendors!$B$3:$B$202,C444)=0,"Add vendor "&amp;C444&amp;" on the Vendors sheet",IF(ISNA(MATCH(H444,Codes!$A$2:$A$13,0)),"Pick the HSN Code from the list",IF(AND(E444&lt;&gt;"",COUNTIFS($C$3:$C$1002,C444,$E$3:$E$1002,E444,$F$3:$F$1002,"&lt;&gt;"&amp;F444)+COUNTIFS($C$3:$C$1002,C444,$E$3:$E$1002,E444,$G$3:$G$1002,"&lt;&gt;"&amp;G444)&gt;0),"Design "&amp;E444&amp;" has another Product Type or Category on another row",IF(COUNTIFS($F$3:$F$1002,F444,$G$3:$G$1002,G444,$H$3:$H$1002,"&lt;&gt;"&amp;H444)&gt;0,F444&amp;" + "&amp;G444&amp;" has another HSN Code on another row",IF(AND(V444&lt;&gt;"",U444=""),"Received Qty needs the Vendor Invoice No",IF(AND(U444&lt;&gt;"",COUNTIFS(Bills!$B$3:$B$302,U444,Bills!$C$3:$C$302,C444)=0),"Add bill "&amp;U444&amp;" of "&amp;C444&amp;" on the Bills sheet",IF(S444&lt;R444,"MRP is below the Purchase Rate","OK")))))))))</f>
        <v/>
      </c>
      <c r="B444" s="29"/>
      <c r="C444" s="22"/>
      <c r="D444" s="22"/>
      <c r="E444" s="24"/>
      <c r="F444" s="22"/>
      <c r="G444" s="22"/>
      <c r="H444" s="22"/>
      <c r="I444" s="30" t="str">
        <f>IF(H444="","",IFERROR(INDEX(Codes!$B$2:$B$13,MATCH(H444,Codes!$A$2:$A$13,0)),""))</f>
        <v/>
      </c>
      <c r="J444" s="23"/>
      <c r="K444" s="23"/>
      <c r="L444" s="23"/>
      <c r="M444" s="23"/>
      <c r="N444" s="23"/>
      <c r="O444" s="23"/>
      <c r="P444" s="23"/>
      <c r="Q444" s="31"/>
      <c r="R444" s="32"/>
      <c r="S444" s="32"/>
      <c r="T444" s="33" t="str">
        <f t="shared" si="12"/>
        <v/>
      </c>
      <c r="U444" s="34"/>
      <c r="V444" s="35"/>
      <c r="W444" s="33" t="str">
        <f t="shared" si="13"/>
        <v/>
      </c>
    </row>
    <row r="445" spans="1:23" x14ac:dyDescent="0.35">
      <c r="A445" s="21" t="str">
        <f>IF(COUNTA(B445:H445,J445:S445,U445:V445)=0,"",IF((IF(B445="","PO Ref, ","")&amp;IF(C445="","Vendor, ","")&amp;IF(D445="","Store, ","")&amp;IF(F445="","Product Type, ","")&amp;IF(G445="","Category, ","")&amp;IF(H445="","HSN Code, ","")&amp;IF(Q445="","Qty, ","")&amp;IF(R445="","Purchase Rate, ","")&amp;IF(S445="","MRP, ",""))&lt;&gt;"","Missing: "&amp;LEFT(IF(B445="","PO Ref, ","")&amp;IF(C445="","Vendor, ","")&amp;IF(D445="","Store, ","")&amp;IF(F445="","Product Type, ","")&amp;IF(G445="","Category, ","")&amp;IF(H445="","HSN Code, ","")&amp;IF(Q445="","Qty, ","")&amp;IF(R445="","Purchase Rate, ","")&amp;IF(S445="","MRP, ",""),LEN(IF(B445="","PO Ref, ","")&amp;IF(C445="","Vendor, ","")&amp;IF(D445="","Store, ","")&amp;IF(F445="","Product Type, ","")&amp;IF(G445="","Category, ","")&amp;IF(H445="","HSN Code, ","")&amp;IF(Q445="","Qty, ","")&amp;IF(R445="","Purchase Rate, ","")&amp;IF(S445="","MRP, ",""))-2),IF(COUNTIF(Vendors!$B$3:$B$202,C445)=0,"Add vendor "&amp;C445&amp;" on the Vendors sheet",IF(ISNA(MATCH(H445,Codes!$A$2:$A$13,0)),"Pick the HSN Code from the list",IF(AND(E445&lt;&gt;"",COUNTIFS($C$3:$C$1002,C445,$E$3:$E$1002,E445,$F$3:$F$1002,"&lt;&gt;"&amp;F445)+COUNTIFS($C$3:$C$1002,C445,$E$3:$E$1002,E445,$G$3:$G$1002,"&lt;&gt;"&amp;G445)&gt;0),"Design "&amp;E445&amp;" has another Product Type or Category on another row",IF(COUNTIFS($F$3:$F$1002,F445,$G$3:$G$1002,G445,$H$3:$H$1002,"&lt;&gt;"&amp;H445)&gt;0,F445&amp;" + "&amp;G445&amp;" has another HSN Code on another row",IF(AND(V445&lt;&gt;"",U445=""),"Received Qty needs the Vendor Invoice No",IF(AND(U445&lt;&gt;"",COUNTIFS(Bills!$B$3:$B$302,U445,Bills!$C$3:$C$302,C445)=0),"Add bill "&amp;U445&amp;" of "&amp;C445&amp;" on the Bills sheet",IF(S445&lt;R445,"MRP is below the Purchase Rate","OK")))))))))</f>
        <v/>
      </c>
      <c r="B445" s="29"/>
      <c r="C445" s="22"/>
      <c r="D445" s="22"/>
      <c r="E445" s="24"/>
      <c r="F445" s="22"/>
      <c r="G445" s="22"/>
      <c r="H445" s="22"/>
      <c r="I445" s="30" t="str">
        <f>IF(H445="","",IFERROR(INDEX(Codes!$B$2:$B$13,MATCH(H445,Codes!$A$2:$A$13,0)),""))</f>
        <v/>
      </c>
      <c r="J445" s="23"/>
      <c r="K445" s="23"/>
      <c r="L445" s="23"/>
      <c r="M445" s="23"/>
      <c r="N445" s="23"/>
      <c r="O445" s="23"/>
      <c r="P445" s="23"/>
      <c r="Q445" s="31"/>
      <c r="R445" s="32"/>
      <c r="S445" s="32"/>
      <c r="T445" s="33" t="str">
        <f t="shared" si="12"/>
        <v/>
      </c>
      <c r="U445" s="34"/>
      <c r="V445" s="35"/>
      <c r="W445" s="33" t="str">
        <f t="shared" si="13"/>
        <v/>
      </c>
    </row>
    <row r="446" spans="1:23" x14ac:dyDescent="0.35">
      <c r="A446" s="21" t="str">
        <f>IF(COUNTA(B446:H446,J446:S446,U446:V446)=0,"",IF((IF(B446="","PO Ref, ","")&amp;IF(C446="","Vendor, ","")&amp;IF(D446="","Store, ","")&amp;IF(F446="","Product Type, ","")&amp;IF(G446="","Category, ","")&amp;IF(H446="","HSN Code, ","")&amp;IF(Q446="","Qty, ","")&amp;IF(R446="","Purchase Rate, ","")&amp;IF(S446="","MRP, ",""))&lt;&gt;"","Missing: "&amp;LEFT(IF(B446="","PO Ref, ","")&amp;IF(C446="","Vendor, ","")&amp;IF(D446="","Store, ","")&amp;IF(F446="","Product Type, ","")&amp;IF(G446="","Category, ","")&amp;IF(H446="","HSN Code, ","")&amp;IF(Q446="","Qty, ","")&amp;IF(R446="","Purchase Rate, ","")&amp;IF(S446="","MRP, ",""),LEN(IF(B446="","PO Ref, ","")&amp;IF(C446="","Vendor, ","")&amp;IF(D446="","Store, ","")&amp;IF(F446="","Product Type, ","")&amp;IF(G446="","Category, ","")&amp;IF(H446="","HSN Code, ","")&amp;IF(Q446="","Qty, ","")&amp;IF(R446="","Purchase Rate, ","")&amp;IF(S446="","MRP, ",""))-2),IF(COUNTIF(Vendors!$B$3:$B$202,C446)=0,"Add vendor "&amp;C446&amp;" on the Vendors sheet",IF(ISNA(MATCH(H446,Codes!$A$2:$A$13,0)),"Pick the HSN Code from the list",IF(AND(E446&lt;&gt;"",COUNTIFS($C$3:$C$1002,C446,$E$3:$E$1002,E446,$F$3:$F$1002,"&lt;&gt;"&amp;F446)+COUNTIFS($C$3:$C$1002,C446,$E$3:$E$1002,E446,$G$3:$G$1002,"&lt;&gt;"&amp;G446)&gt;0),"Design "&amp;E446&amp;" has another Product Type or Category on another row",IF(COUNTIFS($F$3:$F$1002,F446,$G$3:$G$1002,G446,$H$3:$H$1002,"&lt;&gt;"&amp;H446)&gt;0,F446&amp;" + "&amp;G446&amp;" has another HSN Code on another row",IF(AND(V446&lt;&gt;"",U446=""),"Received Qty needs the Vendor Invoice No",IF(AND(U446&lt;&gt;"",COUNTIFS(Bills!$B$3:$B$302,U446,Bills!$C$3:$C$302,C446)=0),"Add bill "&amp;U446&amp;" of "&amp;C446&amp;" on the Bills sheet",IF(S446&lt;R446,"MRP is below the Purchase Rate","OK")))))))))</f>
        <v/>
      </c>
      <c r="B446" s="29"/>
      <c r="C446" s="22"/>
      <c r="D446" s="22"/>
      <c r="E446" s="24"/>
      <c r="F446" s="22"/>
      <c r="G446" s="22"/>
      <c r="H446" s="22"/>
      <c r="I446" s="30" t="str">
        <f>IF(H446="","",IFERROR(INDEX(Codes!$B$2:$B$13,MATCH(H446,Codes!$A$2:$A$13,0)),""))</f>
        <v/>
      </c>
      <c r="J446" s="23"/>
      <c r="K446" s="23"/>
      <c r="L446" s="23"/>
      <c r="M446" s="23"/>
      <c r="N446" s="23"/>
      <c r="O446" s="23"/>
      <c r="P446" s="23"/>
      <c r="Q446" s="31"/>
      <c r="R446" s="32"/>
      <c r="S446" s="32"/>
      <c r="T446" s="33" t="str">
        <f t="shared" si="12"/>
        <v/>
      </c>
      <c r="U446" s="34"/>
      <c r="V446" s="35"/>
      <c r="W446" s="33" t="str">
        <f t="shared" si="13"/>
        <v/>
      </c>
    </row>
    <row r="447" spans="1:23" x14ac:dyDescent="0.35">
      <c r="A447" s="21" t="str">
        <f>IF(COUNTA(B447:H447,J447:S447,U447:V447)=0,"",IF((IF(B447="","PO Ref, ","")&amp;IF(C447="","Vendor, ","")&amp;IF(D447="","Store, ","")&amp;IF(F447="","Product Type, ","")&amp;IF(G447="","Category, ","")&amp;IF(H447="","HSN Code, ","")&amp;IF(Q447="","Qty, ","")&amp;IF(R447="","Purchase Rate, ","")&amp;IF(S447="","MRP, ",""))&lt;&gt;"","Missing: "&amp;LEFT(IF(B447="","PO Ref, ","")&amp;IF(C447="","Vendor, ","")&amp;IF(D447="","Store, ","")&amp;IF(F447="","Product Type, ","")&amp;IF(G447="","Category, ","")&amp;IF(H447="","HSN Code, ","")&amp;IF(Q447="","Qty, ","")&amp;IF(R447="","Purchase Rate, ","")&amp;IF(S447="","MRP, ",""),LEN(IF(B447="","PO Ref, ","")&amp;IF(C447="","Vendor, ","")&amp;IF(D447="","Store, ","")&amp;IF(F447="","Product Type, ","")&amp;IF(G447="","Category, ","")&amp;IF(H447="","HSN Code, ","")&amp;IF(Q447="","Qty, ","")&amp;IF(R447="","Purchase Rate, ","")&amp;IF(S447="","MRP, ",""))-2),IF(COUNTIF(Vendors!$B$3:$B$202,C447)=0,"Add vendor "&amp;C447&amp;" on the Vendors sheet",IF(ISNA(MATCH(H447,Codes!$A$2:$A$13,0)),"Pick the HSN Code from the list",IF(AND(E447&lt;&gt;"",COUNTIFS($C$3:$C$1002,C447,$E$3:$E$1002,E447,$F$3:$F$1002,"&lt;&gt;"&amp;F447)+COUNTIFS($C$3:$C$1002,C447,$E$3:$E$1002,E447,$G$3:$G$1002,"&lt;&gt;"&amp;G447)&gt;0),"Design "&amp;E447&amp;" has another Product Type or Category on another row",IF(COUNTIFS($F$3:$F$1002,F447,$G$3:$G$1002,G447,$H$3:$H$1002,"&lt;&gt;"&amp;H447)&gt;0,F447&amp;" + "&amp;G447&amp;" has another HSN Code on another row",IF(AND(V447&lt;&gt;"",U447=""),"Received Qty needs the Vendor Invoice No",IF(AND(U447&lt;&gt;"",COUNTIFS(Bills!$B$3:$B$302,U447,Bills!$C$3:$C$302,C447)=0),"Add bill "&amp;U447&amp;" of "&amp;C447&amp;" on the Bills sheet",IF(S447&lt;R447,"MRP is below the Purchase Rate","OK")))))))))</f>
        <v/>
      </c>
      <c r="B447" s="29"/>
      <c r="C447" s="22"/>
      <c r="D447" s="22"/>
      <c r="E447" s="24"/>
      <c r="F447" s="22"/>
      <c r="G447" s="22"/>
      <c r="H447" s="22"/>
      <c r="I447" s="30" t="str">
        <f>IF(H447="","",IFERROR(INDEX(Codes!$B$2:$B$13,MATCH(H447,Codes!$A$2:$A$13,0)),""))</f>
        <v/>
      </c>
      <c r="J447" s="23"/>
      <c r="K447" s="23"/>
      <c r="L447" s="23"/>
      <c r="M447" s="23"/>
      <c r="N447" s="23"/>
      <c r="O447" s="23"/>
      <c r="P447" s="23"/>
      <c r="Q447" s="31"/>
      <c r="R447" s="32"/>
      <c r="S447" s="32"/>
      <c r="T447" s="33" t="str">
        <f t="shared" si="12"/>
        <v/>
      </c>
      <c r="U447" s="34"/>
      <c r="V447" s="35"/>
      <c r="W447" s="33" t="str">
        <f t="shared" si="13"/>
        <v/>
      </c>
    </row>
    <row r="448" spans="1:23" x14ac:dyDescent="0.35">
      <c r="A448" s="21" t="str">
        <f>IF(COUNTA(B448:H448,J448:S448,U448:V448)=0,"",IF((IF(B448="","PO Ref, ","")&amp;IF(C448="","Vendor, ","")&amp;IF(D448="","Store, ","")&amp;IF(F448="","Product Type, ","")&amp;IF(G448="","Category, ","")&amp;IF(H448="","HSN Code, ","")&amp;IF(Q448="","Qty, ","")&amp;IF(R448="","Purchase Rate, ","")&amp;IF(S448="","MRP, ",""))&lt;&gt;"","Missing: "&amp;LEFT(IF(B448="","PO Ref, ","")&amp;IF(C448="","Vendor, ","")&amp;IF(D448="","Store, ","")&amp;IF(F448="","Product Type, ","")&amp;IF(G448="","Category, ","")&amp;IF(H448="","HSN Code, ","")&amp;IF(Q448="","Qty, ","")&amp;IF(R448="","Purchase Rate, ","")&amp;IF(S448="","MRP, ",""),LEN(IF(B448="","PO Ref, ","")&amp;IF(C448="","Vendor, ","")&amp;IF(D448="","Store, ","")&amp;IF(F448="","Product Type, ","")&amp;IF(G448="","Category, ","")&amp;IF(H448="","HSN Code, ","")&amp;IF(Q448="","Qty, ","")&amp;IF(R448="","Purchase Rate, ","")&amp;IF(S448="","MRP, ",""))-2),IF(COUNTIF(Vendors!$B$3:$B$202,C448)=0,"Add vendor "&amp;C448&amp;" on the Vendors sheet",IF(ISNA(MATCH(H448,Codes!$A$2:$A$13,0)),"Pick the HSN Code from the list",IF(AND(E448&lt;&gt;"",COUNTIFS($C$3:$C$1002,C448,$E$3:$E$1002,E448,$F$3:$F$1002,"&lt;&gt;"&amp;F448)+COUNTIFS($C$3:$C$1002,C448,$E$3:$E$1002,E448,$G$3:$G$1002,"&lt;&gt;"&amp;G448)&gt;0),"Design "&amp;E448&amp;" has another Product Type or Category on another row",IF(COUNTIFS($F$3:$F$1002,F448,$G$3:$G$1002,G448,$H$3:$H$1002,"&lt;&gt;"&amp;H448)&gt;0,F448&amp;" + "&amp;G448&amp;" has another HSN Code on another row",IF(AND(V448&lt;&gt;"",U448=""),"Received Qty needs the Vendor Invoice No",IF(AND(U448&lt;&gt;"",COUNTIFS(Bills!$B$3:$B$302,U448,Bills!$C$3:$C$302,C448)=0),"Add bill "&amp;U448&amp;" of "&amp;C448&amp;" on the Bills sheet",IF(S448&lt;R448,"MRP is below the Purchase Rate","OK")))))))))</f>
        <v/>
      </c>
      <c r="B448" s="29"/>
      <c r="C448" s="22"/>
      <c r="D448" s="22"/>
      <c r="E448" s="24"/>
      <c r="F448" s="22"/>
      <c r="G448" s="22"/>
      <c r="H448" s="22"/>
      <c r="I448" s="30" t="str">
        <f>IF(H448="","",IFERROR(INDEX(Codes!$B$2:$B$13,MATCH(H448,Codes!$A$2:$A$13,0)),""))</f>
        <v/>
      </c>
      <c r="J448" s="23"/>
      <c r="K448" s="23"/>
      <c r="L448" s="23"/>
      <c r="M448" s="23"/>
      <c r="N448" s="23"/>
      <c r="O448" s="23"/>
      <c r="P448" s="23"/>
      <c r="Q448" s="31"/>
      <c r="R448" s="32"/>
      <c r="S448" s="32"/>
      <c r="T448" s="33" t="str">
        <f t="shared" si="12"/>
        <v/>
      </c>
      <c r="U448" s="34"/>
      <c r="V448" s="35"/>
      <c r="W448" s="33" t="str">
        <f t="shared" si="13"/>
        <v/>
      </c>
    </row>
    <row r="449" spans="1:23" x14ac:dyDescent="0.35">
      <c r="A449" s="21" t="str">
        <f>IF(COUNTA(B449:H449,J449:S449,U449:V449)=0,"",IF((IF(B449="","PO Ref, ","")&amp;IF(C449="","Vendor, ","")&amp;IF(D449="","Store, ","")&amp;IF(F449="","Product Type, ","")&amp;IF(G449="","Category, ","")&amp;IF(H449="","HSN Code, ","")&amp;IF(Q449="","Qty, ","")&amp;IF(R449="","Purchase Rate, ","")&amp;IF(S449="","MRP, ",""))&lt;&gt;"","Missing: "&amp;LEFT(IF(B449="","PO Ref, ","")&amp;IF(C449="","Vendor, ","")&amp;IF(D449="","Store, ","")&amp;IF(F449="","Product Type, ","")&amp;IF(G449="","Category, ","")&amp;IF(H449="","HSN Code, ","")&amp;IF(Q449="","Qty, ","")&amp;IF(R449="","Purchase Rate, ","")&amp;IF(S449="","MRP, ",""),LEN(IF(B449="","PO Ref, ","")&amp;IF(C449="","Vendor, ","")&amp;IF(D449="","Store, ","")&amp;IF(F449="","Product Type, ","")&amp;IF(G449="","Category, ","")&amp;IF(H449="","HSN Code, ","")&amp;IF(Q449="","Qty, ","")&amp;IF(R449="","Purchase Rate, ","")&amp;IF(S449="","MRP, ",""))-2),IF(COUNTIF(Vendors!$B$3:$B$202,C449)=0,"Add vendor "&amp;C449&amp;" on the Vendors sheet",IF(ISNA(MATCH(H449,Codes!$A$2:$A$13,0)),"Pick the HSN Code from the list",IF(AND(E449&lt;&gt;"",COUNTIFS($C$3:$C$1002,C449,$E$3:$E$1002,E449,$F$3:$F$1002,"&lt;&gt;"&amp;F449)+COUNTIFS($C$3:$C$1002,C449,$E$3:$E$1002,E449,$G$3:$G$1002,"&lt;&gt;"&amp;G449)&gt;0),"Design "&amp;E449&amp;" has another Product Type or Category on another row",IF(COUNTIFS($F$3:$F$1002,F449,$G$3:$G$1002,G449,$H$3:$H$1002,"&lt;&gt;"&amp;H449)&gt;0,F449&amp;" + "&amp;G449&amp;" has another HSN Code on another row",IF(AND(V449&lt;&gt;"",U449=""),"Received Qty needs the Vendor Invoice No",IF(AND(U449&lt;&gt;"",COUNTIFS(Bills!$B$3:$B$302,U449,Bills!$C$3:$C$302,C449)=0),"Add bill "&amp;U449&amp;" of "&amp;C449&amp;" on the Bills sheet",IF(S449&lt;R449,"MRP is below the Purchase Rate","OK")))))))))</f>
        <v/>
      </c>
      <c r="B449" s="29"/>
      <c r="C449" s="22"/>
      <c r="D449" s="22"/>
      <c r="E449" s="24"/>
      <c r="F449" s="22"/>
      <c r="G449" s="22"/>
      <c r="H449" s="22"/>
      <c r="I449" s="30" t="str">
        <f>IF(H449="","",IFERROR(INDEX(Codes!$B$2:$B$13,MATCH(H449,Codes!$A$2:$A$13,0)),""))</f>
        <v/>
      </c>
      <c r="J449" s="23"/>
      <c r="K449" s="23"/>
      <c r="L449" s="23"/>
      <c r="M449" s="23"/>
      <c r="N449" s="23"/>
      <c r="O449" s="23"/>
      <c r="P449" s="23"/>
      <c r="Q449" s="31"/>
      <c r="R449" s="32"/>
      <c r="S449" s="32"/>
      <c r="T449" s="33" t="str">
        <f t="shared" si="12"/>
        <v/>
      </c>
      <c r="U449" s="34"/>
      <c r="V449" s="35"/>
      <c r="W449" s="33" t="str">
        <f t="shared" si="13"/>
        <v/>
      </c>
    </row>
    <row r="450" spans="1:23" x14ac:dyDescent="0.35">
      <c r="A450" s="21" t="str">
        <f>IF(COUNTA(B450:H450,J450:S450,U450:V450)=0,"",IF((IF(B450="","PO Ref, ","")&amp;IF(C450="","Vendor, ","")&amp;IF(D450="","Store, ","")&amp;IF(F450="","Product Type, ","")&amp;IF(G450="","Category, ","")&amp;IF(H450="","HSN Code, ","")&amp;IF(Q450="","Qty, ","")&amp;IF(R450="","Purchase Rate, ","")&amp;IF(S450="","MRP, ",""))&lt;&gt;"","Missing: "&amp;LEFT(IF(B450="","PO Ref, ","")&amp;IF(C450="","Vendor, ","")&amp;IF(D450="","Store, ","")&amp;IF(F450="","Product Type, ","")&amp;IF(G450="","Category, ","")&amp;IF(H450="","HSN Code, ","")&amp;IF(Q450="","Qty, ","")&amp;IF(R450="","Purchase Rate, ","")&amp;IF(S450="","MRP, ",""),LEN(IF(B450="","PO Ref, ","")&amp;IF(C450="","Vendor, ","")&amp;IF(D450="","Store, ","")&amp;IF(F450="","Product Type, ","")&amp;IF(G450="","Category, ","")&amp;IF(H450="","HSN Code, ","")&amp;IF(Q450="","Qty, ","")&amp;IF(R450="","Purchase Rate, ","")&amp;IF(S450="","MRP, ",""))-2),IF(COUNTIF(Vendors!$B$3:$B$202,C450)=0,"Add vendor "&amp;C450&amp;" on the Vendors sheet",IF(ISNA(MATCH(H450,Codes!$A$2:$A$13,0)),"Pick the HSN Code from the list",IF(AND(E450&lt;&gt;"",COUNTIFS($C$3:$C$1002,C450,$E$3:$E$1002,E450,$F$3:$F$1002,"&lt;&gt;"&amp;F450)+COUNTIFS($C$3:$C$1002,C450,$E$3:$E$1002,E450,$G$3:$G$1002,"&lt;&gt;"&amp;G450)&gt;0),"Design "&amp;E450&amp;" has another Product Type or Category on another row",IF(COUNTIFS($F$3:$F$1002,F450,$G$3:$G$1002,G450,$H$3:$H$1002,"&lt;&gt;"&amp;H450)&gt;0,F450&amp;" + "&amp;G450&amp;" has another HSN Code on another row",IF(AND(V450&lt;&gt;"",U450=""),"Received Qty needs the Vendor Invoice No",IF(AND(U450&lt;&gt;"",COUNTIFS(Bills!$B$3:$B$302,U450,Bills!$C$3:$C$302,C450)=0),"Add bill "&amp;U450&amp;" of "&amp;C450&amp;" on the Bills sheet",IF(S450&lt;R450,"MRP is below the Purchase Rate","OK")))))))))</f>
        <v/>
      </c>
      <c r="B450" s="29"/>
      <c r="C450" s="22"/>
      <c r="D450" s="22"/>
      <c r="E450" s="24"/>
      <c r="F450" s="22"/>
      <c r="G450" s="22"/>
      <c r="H450" s="22"/>
      <c r="I450" s="30" t="str">
        <f>IF(H450="","",IFERROR(INDEX(Codes!$B$2:$B$13,MATCH(H450,Codes!$A$2:$A$13,0)),""))</f>
        <v/>
      </c>
      <c r="J450" s="23"/>
      <c r="K450" s="23"/>
      <c r="L450" s="23"/>
      <c r="M450" s="23"/>
      <c r="N450" s="23"/>
      <c r="O450" s="23"/>
      <c r="P450" s="23"/>
      <c r="Q450" s="31"/>
      <c r="R450" s="32"/>
      <c r="S450" s="32"/>
      <c r="T450" s="33" t="str">
        <f t="shared" si="12"/>
        <v/>
      </c>
      <c r="U450" s="34"/>
      <c r="V450" s="35"/>
      <c r="W450" s="33" t="str">
        <f t="shared" si="13"/>
        <v/>
      </c>
    </row>
    <row r="451" spans="1:23" x14ac:dyDescent="0.35">
      <c r="A451" s="21" t="str">
        <f>IF(COUNTA(B451:H451,J451:S451,U451:V451)=0,"",IF((IF(B451="","PO Ref, ","")&amp;IF(C451="","Vendor, ","")&amp;IF(D451="","Store, ","")&amp;IF(F451="","Product Type, ","")&amp;IF(G451="","Category, ","")&amp;IF(H451="","HSN Code, ","")&amp;IF(Q451="","Qty, ","")&amp;IF(R451="","Purchase Rate, ","")&amp;IF(S451="","MRP, ",""))&lt;&gt;"","Missing: "&amp;LEFT(IF(B451="","PO Ref, ","")&amp;IF(C451="","Vendor, ","")&amp;IF(D451="","Store, ","")&amp;IF(F451="","Product Type, ","")&amp;IF(G451="","Category, ","")&amp;IF(H451="","HSN Code, ","")&amp;IF(Q451="","Qty, ","")&amp;IF(R451="","Purchase Rate, ","")&amp;IF(S451="","MRP, ",""),LEN(IF(B451="","PO Ref, ","")&amp;IF(C451="","Vendor, ","")&amp;IF(D451="","Store, ","")&amp;IF(F451="","Product Type, ","")&amp;IF(G451="","Category, ","")&amp;IF(H451="","HSN Code, ","")&amp;IF(Q451="","Qty, ","")&amp;IF(R451="","Purchase Rate, ","")&amp;IF(S451="","MRP, ",""))-2),IF(COUNTIF(Vendors!$B$3:$B$202,C451)=0,"Add vendor "&amp;C451&amp;" on the Vendors sheet",IF(ISNA(MATCH(H451,Codes!$A$2:$A$13,0)),"Pick the HSN Code from the list",IF(AND(E451&lt;&gt;"",COUNTIFS($C$3:$C$1002,C451,$E$3:$E$1002,E451,$F$3:$F$1002,"&lt;&gt;"&amp;F451)+COUNTIFS($C$3:$C$1002,C451,$E$3:$E$1002,E451,$G$3:$G$1002,"&lt;&gt;"&amp;G451)&gt;0),"Design "&amp;E451&amp;" has another Product Type or Category on another row",IF(COUNTIFS($F$3:$F$1002,F451,$G$3:$G$1002,G451,$H$3:$H$1002,"&lt;&gt;"&amp;H451)&gt;0,F451&amp;" + "&amp;G451&amp;" has another HSN Code on another row",IF(AND(V451&lt;&gt;"",U451=""),"Received Qty needs the Vendor Invoice No",IF(AND(U451&lt;&gt;"",COUNTIFS(Bills!$B$3:$B$302,U451,Bills!$C$3:$C$302,C451)=0),"Add bill "&amp;U451&amp;" of "&amp;C451&amp;" on the Bills sheet",IF(S451&lt;R451,"MRP is below the Purchase Rate","OK")))))))))</f>
        <v/>
      </c>
      <c r="B451" s="29"/>
      <c r="C451" s="22"/>
      <c r="D451" s="22"/>
      <c r="E451" s="24"/>
      <c r="F451" s="22"/>
      <c r="G451" s="22"/>
      <c r="H451" s="22"/>
      <c r="I451" s="30" t="str">
        <f>IF(H451="","",IFERROR(INDEX(Codes!$B$2:$B$13,MATCH(H451,Codes!$A$2:$A$13,0)),""))</f>
        <v/>
      </c>
      <c r="J451" s="23"/>
      <c r="K451" s="23"/>
      <c r="L451" s="23"/>
      <c r="M451" s="23"/>
      <c r="N451" s="23"/>
      <c r="O451" s="23"/>
      <c r="P451" s="23"/>
      <c r="Q451" s="31"/>
      <c r="R451" s="32"/>
      <c r="S451" s="32"/>
      <c r="T451" s="33" t="str">
        <f t="shared" ref="T451:T514" si="14">IF(OR(Q451="",R451=""),"",Q451*R451)</f>
        <v/>
      </c>
      <c r="U451" s="34"/>
      <c r="V451" s="35"/>
      <c r="W451" s="33" t="str">
        <f t="shared" ref="W451:W514" si="15">IF(OR(U451="",R451=""),"",IF(V451="",Q451,V451)*R451)</f>
        <v/>
      </c>
    </row>
    <row r="452" spans="1:23" x14ac:dyDescent="0.35">
      <c r="A452" s="21" t="str">
        <f>IF(COUNTA(B452:H452,J452:S452,U452:V452)=0,"",IF((IF(B452="","PO Ref, ","")&amp;IF(C452="","Vendor, ","")&amp;IF(D452="","Store, ","")&amp;IF(F452="","Product Type, ","")&amp;IF(G452="","Category, ","")&amp;IF(H452="","HSN Code, ","")&amp;IF(Q452="","Qty, ","")&amp;IF(R452="","Purchase Rate, ","")&amp;IF(S452="","MRP, ",""))&lt;&gt;"","Missing: "&amp;LEFT(IF(B452="","PO Ref, ","")&amp;IF(C452="","Vendor, ","")&amp;IF(D452="","Store, ","")&amp;IF(F452="","Product Type, ","")&amp;IF(G452="","Category, ","")&amp;IF(H452="","HSN Code, ","")&amp;IF(Q452="","Qty, ","")&amp;IF(R452="","Purchase Rate, ","")&amp;IF(S452="","MRP, ",""),LEN(IF(B452="","PO Ref, ","")&amp;IF(C452="","Vendor, ","")&amp;IF(D452="","Store, ","")&amp;IF(F452="","Product Type, ","")&amp;IF(G452="","Category, ","")&amp;IF(H452="","HSN Code, ","")&amp;IF(Q452="","Qty, ","")&amp;IF(R452="","Purchase Rate, ","")&amp;IF(S452="","MRP, ",""))-2),IF(COUNTIF(Vendors!$B$3:$B$202,C452)=0,"Add vendor "&amp;C452&amp;" on the Vendors sheet",IF(ISNA(MATCH(H452,Codes!$A$2:$A$13,0)),"Pick the HSN Code from the list",IF(AND(E452&lt;&gt;"",COUNTIFS($C$3:$C$1002,C452,$E$3:$E$1002,E452,$F$3:$F$1002,"&lt;&gt;"&amp;F452)+COUNTIFS($C$3:$C$1002,C452,$E$3:$E$1002,E452,$G$3:$G$1002,"&lt;&gt;"&amp;G452)&gt;0),"Design "&amp;E452&amp;" has another Product Type or Category on another row",IF(COUNTIFS($F$3:$F$1002,F452,$G$3:$G$1002,G452,$H$3:$H$1002,"&lt;&gt;"&amp;H452)&gt;0,F452&amp;" + "&amp;G452&amp;" has another HSN Code on another row",IF(AND(V452&lt;&gt;"",U452=""),"Received Qty needs the Vendor Invoice No",IF(AND(U452&lt;&gt;"",COUNTIFS(Bills!$B$3:$B$302,U452,Bills!$C$3:$C$302,C452)=0),"Add bill "&amp;U452&amp;" of "&amp;C452&amp;" on the Bills sheet",IF(S452&lt;R452,"MRP is below the Purchase Rate","OK")))))))))</f>
        <v/>
      </c>
      <c r="B452" s="29"/>
      <c r="C452" s="22"/>
      <c r="D452" s="22"/>
      <c r="E452" s="24"/>
      <c r="F452" s="22"/>
      <c r="G452" s="22"/>
      <c r="H452" s="22"/>
      <c r="I452" s="30" t="str">
        <f>IF(H452="","",IFERROR(INDEX(Codes!$B$2:$B$13,MATCH(H452,Codes!$A$2:$A$13,0)),""))</f>
        <v/>
      </c>
      <c r="J452" s="23"/>
      <c r="K452" s="23"/>
      <c r="L452" s="23"/>
      <c r="M452" s="23"/>
      <c r="N452" s="23"/>
      <c r="O452" s="23"/>
      <c r="P452" s="23"/>
      <c r="Q452" s="31"/>
      <c r="R452" s="32"/>
      <c r="S452" s="32"/>
      <c r="T452" s="33" t="str">
        <f t="shared" si="14"/>
        <v/>
      </c>
      <c r="U452" s="34"/>
      <c r="V452" s="35"/>
      <c r="W452" s="33" t="str">
        <f t="shared" si="15"/>
        <v/>
      </c>
    </row>
    <row r="453" spans="1:23" x14ac:dyDescent="0.35">
      <c r="A453" s="21" t="str">
        <f>IF(COUNTA(B453:H453,J453:S453,U453:V453)=0,"",IF((IF(B453="","PO Ref, ","")&amp;IF(C453="","Vendor, ","")&amp;IF(D453="","Store, ","")&amp;IF(F453="","Product Type, ","")&amp;IF(G453="","Category, ","")&amp;IF(H453="","HSN Code, ","")&amp;IF(Q453="","Qty, ","")&amp;IF(R453="","Purchase Rate, ","")&amp;IF(S453="","MRP, ",""))&lt;&gt;"","Missing: "&amp;LEFT(IF(B453="","PO Ref, ","")&amp;IF(C453="","Vendor, ","")&amp;IF(D453="","Store, ","")&amp;IF(F453="","Product Type, ","")&amp;IF(G453="","Category, ","")&amp;IF(H453="","HSN Code, ","")&amp;IF(Q453="","Qty, ","")&amp;IF(R453="","Purchase Rate, ","")&amp;IF(S453="","MRP, ",""),LEN(IF(B453="","PO Ref, ","")&amp;IF(C453="","Vendor, ","")&amp;IF(D453="","Store, ","")&amp;IF(F453="","Product Type, ","")&amp;IF(G453="","Category, ","")&amp;IF(H453="","HSN Code, ","")&amp;IF(Q453="","Qty, ","")&amp;IF(R453="","Purchase Rate, ","")&amp;IF(S453="","MRP, ",""))-2),IF(COUNTIF(Vendors!$B$3:$B$202,C453)=0,"Add vendor "&amp;C453&amp;" on the Vendors sheet",IF(ISNA(MATCH(H453,Codes!$A$2:$A$13,0)),"Pick the HSN Code from the list",IF(AND(E453&lt;&gt;"",COUNTIFS($C$3:$C$1002,C453,$E$3:$E$1002,E453,$F$3:$F$1002,"&lt;&gt;"&amp;F453)+COUNTIFS($C$3:$C$1002,C453,$E$3:$E$1002,E453,$G$3:$G$1002,"&lt;&gt;"&amp;G453)&gt;0),"Design "&amp;E453&amp;" has another Product Type or Category on another row",IF(COUNTIFS($F$3:$F$1002,F453,$G$3:$G$1002,G453,$H$3:$H$1002,"&lt;&gt;"&amp;H453)&gt;0,F453&amp;" + "&amp;G453&amp;" has another HSN Code on another row",IF(AND(V453&lt;&gt;"",U453=""),"Received Qty needs the Vendor Invoice No",IF(AND(U453&lt;&gt;"",COUNTIFS(Bills!$B$3:$B$302,U453,Bills!$C$3:$C$302,C453)=0),"Add bill "&amp;U453&amp;" of "&amp;C453&amp;" on the Bills sheet",IF(S453&lt;R453,"MRP is below the Purchase Rate","OK")))))))))</f>
        <v/>
      </c>
      <c r="B453" s="29"/>
      <c r="C453" s="22"/>
      <c r="D453" s="22"/>
      <c r="E453" s="24"/>
      <c r="F453" s="22"/>
      <c r="G453" s="22"/>
      <c r="H453" s="22"/>
      <c r="I453" s="30" t="str">
        <f>IF(H453="","",IFERROR(INDEX(Codes!$B$2:$B$13,MATCH(H453,Codes!$A$2:$A$13,0)),""))</f>
        <v/>
      </c>
      <c r="J453" s="23"/>
      <c r="K453" s="23"/>
      <c r="L453" s="23"/>
      <c r="M453" s="23"/>
      <c r="N453" s="23"/>
      <c r="O453" s="23"/>
      <c r="P453" s="23"/>
      <c r="Q453" s="31"/>
      <c r="R453" s="32"/>
      <c r="S453" s="32"/>
      <c r="T453" s="33" t="str">
        <f t="shared" si="14"/>
        <v/>
      </c>
      <c r="U453" s="34"/>
      <c r="V453" s="35"/>
      <c r="W453" s="33" t="str">
        <f t="shared" si="15"/>
        <v/>
      </c>
    </row>
    <row r="454" spans="1:23" x14ac:dyDescent="0.35">
      <c r="A454" s="21" t="str">
        <f>IF(COUNTA(B454:H454,J454:S454,U454:V454)=0,"",IF((IF(B454="","PO Ref, ","")&amp;IF(C454="","Vendor, ","")&amp;IF(D454="","Store, ","")&amp;IF(F454="","Product Type, ","")&amp;IF(G454="","Category, ","")&amp;IF(H454="","HSN Code, ","")&amp;IF(Q454="","Qty, ","")&amp;IF(R454="","Purchase Rate, ","")&amp;IF(S454="","MRP, ",""))&lt;&gt;"","Missing: "&amp;LEFT(IF(B454="","PO Ref, ","")&amp;IF(C454="","Vendor, ","")&amp;IF(D454="","Store, ","")&amp;IF(F454="","Product Type, ","")&amp;IF(G454="","Category, ","")&amp;IF(H454="","HSN Code, ","")&amp;IF(Q454="","Qty, ","")&amp;IF(R454="","Purchase Rate, ","")&amp;IF(S454="","MRP, ",""),LEN(IF(B454="","PO Ref, ","")&amp;IF(C454="","Vendor, ","")&amp;IF(D454="","Store, ","")&amp;IF(F454="","Product Type, ","")&amp;IF(G454="","Category, ","")&amp;IF(H454="","HSN Code, ","")&amp;IF(Q454="","Qty, ","")&amp;IF(R454="","Purchase Rate, ","")&amp;IF(S454="","MRP, ",""))-2),IF(COUNTIF(Vendors!$B$3:$B$202,C454)=0,"Add vendor "&amp;C454&amp;" on the Vendors sheet",IF(ISNA(MATCH(H454,Codes!$A$2:$A$13,0)),"Pick the HSN Code from the list",IF(AND(E454&lt;&gt;"",COUNTIFS($C$3:$C$1002,C454,$E$3:$E$1002,E454,$F$3:$F$1002,"&lt;&gt;"&amp;F454)+COUNTIFS($C$3:$C$1002,C454,$E$3:$E$1002,E454,$G$3:$G$1002,"&lt;&gt;"&amp;G454)&gt;0),"Design "&amp;E454&amp;" has another Product Type or Category on another row",IF(COUNTIFS($F$3:$F$1002,F454,$G$3:$G$1002,G454,$H$3:$H$1002,"&lt;&gt;"&amp;H454)&gt;0,F454&amp;" + "&amp;G454&amp;" has another HSN Code on another row",IF(AND(V454&lt;&gt;"",U454=""),"Received Qty needs the Vendor Invoice No",IF(AND(U454&lt;&gt;"",COUNTIFS(Bills!$B$3:$B$302,U454,Bills!$C$3:$C$302,C454)=0),"Add bill "&amp;U454&amp;" of "&amp;C454&amp;" on the Bills sheet",IF(S454&lt;R454,"MRP is below the Purchase Rate","OK")))))))))</f>
        <v/>
      </c>
      <c r="B454" s="29"/>
      <c r="C454" s="22"/>
      <c r="D454" s="22"/>
      <c r="E454" s="24"/>
      <c r="F454" s="22"/>
      <c r="G454" s="22"/>
      <c r="H454" s="22"/>
      <c r="I454" s="30" t="str">
        <f>IF(H454="","",IFERROR(INDEX(Codes!$B$2:$B$13,MATCH(H454,Codes!$A$2:$A$13,0)),""))</f>
        <v/>
      </c>
      <c r="J454" s="23"/>
      <c r="K454" s="23"/>
      <c r="L454" s="23"/>
      <c r="M454" s="23"/>
      <c r="N454" s="23"/>
      <c r="O454" s="23"/>
      <c r="P454" s="23"/>
      <c r="Q454" s="31"/>
      <c r="R454" s="32"/>
      <c r="S454" s="32"/>
      <c r="T454" s="33" t="str">
        <f t="shared" si="14"/>
        <v/>
      </c>
      <c r="U454" s="34"/>
      <c r="V454" s="35"/>
      <c r="W454" s="33" t="str">
        <f t="shared" si="15"/>
        <v/>
      </c>
    </row>
    <row r="455" spans="1:23" x14ac:dyDescent="0.35">
      <c r="A455" s="21" t="str">
        <f>IF(COUNTA(B455:H455,J455:S455,U455:V455)=0,"",IF((IF(B455="","PO Ref, ","")&amp;IF(C455="","Vendor, ","")&amp;IF(D455="","Store, ","")&amp;IF(F455="","Product Type, ","")&amp;IF(G455="","Category, ","")&amp;IF(H455="","HSN Code, ","")&amp;IF(Q455="","Qty, ","")&amp;IF(R455="","Purchase Rate, ","")&amp;IF(S455="","MRP, ",""))&lt;&gt;"","Missing: "&amp;LEFT(IF(B455="","PO Ref, ","")&amp;IF(C455="","Vendor, ","")&amp;IF(D455="","Store, ","")&amp;IF(F455="","Product Type, ","")&amp;IF(G455="","Category, ","")&amp;IF(H455="","HSN Code, ","")&amp;IF(Q455="","Qty, ","")&amp;IF(R455="","Purchase Rate, ","")&amp;IF(S455="","MRP, ",""),LEN(IF(B455="","PO Ref, ","")&amp;IF(C455="","Vendor, ","")&amp;IF(D455="","Store, ","")&amp;IF(F455="","Product Type, ","")&amp;IF(G455="","Category, ","")&amp;IF(H455="","HSN Code, ","")&amp;IF(Q455="","Qty, ","")&amp;IF(R455="","Purchase Rate, ","")&amp;IF(S455="","MRP, ",""))-2),IF(COUNTIF(Vendors!$B$3:$B$202,C455)=0,"Add vendor "&amp;C455&amp;" on the Vendors sheet",IF(ISNA(MATCH(H455,Codes!$A$2:$A$13,0)),"Pick the HSN Code from the list",IF(AND(E455&lt;&gt;"",COUNTIFS($C$3:$C$1002,C455,$E$3:$E$1002,E455,$F$3:$F$1002,"&lt;&gt;"&amp;F455)+COUNTIFS($C$3:$C$1002,C455,$E$3:$E$1002,E455,$G$3:$G$1002,"&lt;&gt;"&amp;G455)&gt;0),"Design "&amp;E455&amp;" has another Product Type or Category on another row",IF(COUNTIFS($F$3:$F$1002,F455,$G$3:$G$1002,G455,$H$3:$H$1002,"&lt;&gt;"&amp;H455)&gt;0,F455&amp;" + "&amp;G455&amp;" has another HSN Code on another row",IF(AND(V455&lt;&gt;"",U455=""),"Received Qty needs the Vendor Invoice No",IF(AND(U455&lt;&gt;"",COUNTIFS(Bills!$B$3:$B$302,U455,Bills!$C$3:$C$302,C455)=0),"Add bill "&amp;U455&amp;" of "&amp;C455&amp;" on the Bills sheet",IF(S455&lt;R455,"MRP is below the Purchase Rate","OK")))))))))</f>
        <v/>
      </c>
      <c r="B455" s="29"/>
      <c r="C455" s="22"/>
      <c r="D455" s="22"/>
      <c r="E455" s="24"/>
      <c r="F455" s="22"/>
      <c r="G455" s="22"/>
      <c r="H455" s="22"/>
      <c r="I455" s="30" t="str">
        <f>IF(H455="","",IFERROR(INDEX(Codes!$B$2:$B$13,MATCH(H455,Codes!$A$2:$A$13,0)),""))</f>
        <v/>
      </c>
      <c r="J455" s="23"/>
      <c r="K455" s="23"/>
      <c r="L455" s="23"/>
      <c r="M455" s="23"/>
      <c r="N455" s="23"/>
      <c r="O455" s="23"/>
      <c r="P455" s="23"/>
      <c r="Q455" s="31"/>
      <c r="R455" s="32"/>
      <c r="S455" s="32"/>
      <c r="T455" s="33" t="str">
        <f t="shared" si="14"/>
        <v/>
      </c>
      <c r="U455" s="34"/>
      <c r="V455" s="35"/>
      <c r="W455" s="33" t="str">
        <f t="shared" si="15"/>
        <v/>
      </c>
    </row>
    <row r="456" spans="1:23" x14ac:dyDescent="0.35">
      <c r="A456" s="21" t="str">
        <f>IF(COUNTA(B456:H456,J456:S456,U456:V456)=0,"",IF((IF(B456="","PO Ref, ","")&amp;IF(C456="","Vendor, ","")&amp;IF(D456="","Store, ","")&amp;IF(F456="","Product Type, ","")&amp;IF(G456="","Category, ","")&amp;IF(H456="","HSN Code, ","")&amp;IF(Q456="","Qty, ","")&amp;IF(R456="","Purchase Rate, ","")&amp;IF(S456="","MRP, ",""))&lt;&gt;"","Missing: "&amp;LEFT(IF(B456="","PO Ref, ","")&amp;IF(C456="","Vendor, ","")&amp;IF(D456="","Store, ","")&amp;IF(F456="","Product Type, ","")&amp;IF(G456="","Category, ","")&amp;IF(H456="","HSN Code, ","")&amp;IF(Q456="","Qty, ","")&amp;IF(R456="","Purchase Rate, ","")&amp;IF(S456="","MRP, ",""),LEN(IF(B456="","PO Ref, ","")&amp;IF(C456="","Vendor, ","")&amp;IF(D456="","Store, ","")&amp;IF(F456="","Product Type, ","")&amp;IF(G456="","Category, ","")&amp;IF(H456="","HSN Code, ","")&amp;IF(Q456="","Qty, ","")&amp;IF(R456="","Purchase Rate, ","")&amp;IF(S456="","MRP, ",""))-2),IF(COUNTIF(Vendors!$B$3:$B$202,C456)=0,"Add vendor "&amp;C456&amp;" on the Vendors sheet",IF(ISNA(MATCH(H456,Codes!$A$2:$A$13,0)),"Pick the HSN Code from the list",IF(AND(E456&lt;&gt;"",COUNTIFS($C$3:$C$1002,C456,$E$3:$E$1002,E456,$F$3:$F$1002,"&lt;&gt;"&amp;F456)+COUNTIFS($C$3:$C$1002,C456,$E$3:$E$1002,E456,$G$3:$G$1002,"&lt;&gt;"&amp;G456)&gt;0),"Design "&amp;E456&amp;" has another Product Type or Category on another row",IF(COUNTIFS($F$3:$F$1002,F456,$G$3:$G$1002,G456,$H$3:$H$1002,"&lt;&gt;"&amp;H456)&gt;0,F456&amp;" + "&amp;G456&amp;" has another HSN Code on another row",IF(AND(V456&lt;&gt;"",U456=""),"Received Qty needs the Vendor Invoice No",IF(AND(U456&lt;&gt;"",COUNTIFS(Bills!$B$3:$B$302,U456,Bills!$C$3:$C$302,C456)=0),"Add bill "&amp;U456&amp;" of "&amp;C456&amp;" on the Bills sheet",IF(S456&lt;R456,"MRP is below the Purchase Rate","OK")))))))))</f>
        <v/>
      </c>
      <c r="B456" s="29"/>
      <c r="C456" s="22"/>
      <c r="D456" s="22"/>
      <c r="E456" s="24"/>
      <c r="F456" s="22"/>
      <c r="G456" s="22"/>
      <c r="H456" s="22"/>
      <c r="I456" s="30" t="str">
        <f>IF(H456="","",IFERROR(INDEX(Codes!$B$2:$B$13,MATCH(H456,Codes!$A$2:$A$13,0)),""))</f>
        <v/>
      </c>
      <c r="J456" s="23"/>
      <c r="K456" s="23"/>
      <c r="L456" s="23"/>
      <c r="M456" s="23"/>
      <c r="N456" s="23"/>
      <c r="O456" s="23"/>
      <c r="P456" s="23"/>
      <c r="Q456" s="31"/>
      <c r="R456" s="32"/>
      <c r="S456" s="32"/>
      <c r="T456" s="33" t="str">
        <f t="shared" si="14"/>
        <v/>
      </c>
      <c r="U456" s="34"/>
      <c r="V456" s="35"/>
      <c r="W456" s="33" t="str">
        <f t="shared" si="15"/>
        <v/>
      </c>
    </row>
    <row r="457" spans="1:23" x14ac:dyDescent="0.35">
      <c r="A457" s="21" t="str">
        <f>IF(COUNTA(B457:H457,J457:S457,U457:V457)=0,"",IF((IF(B457="","PO Ref, ","")&amp;IF(C457="","Vendor, ","")&amp;IF(D457="","Store, ","")&amp;IF(F457="","Product Type, ","")&amp;IF(G457="","Category, ","")&amp;IF(H457="","HSN Code, ","")&amp;IF(Q457="","Qty, ","")&amp;IF(R457="","Purchase Rate, ","")&amp;IF(S457="","MRP, ",""))&lt;&gt;"","Missing: "&amp;LEFT(IF(B457="","PO Ref, ","")&amp;IF(C457="","Vendor, ","")&amp;IF(D457="","Store, ","")&amp;IF(F457="","Product Type, ","")&amp;IF(G457="","Category, ","")&amp;IF(H457="","HSN Code, ","")&amp;IF(Q457="","Qty, ","")&amp;IF(R457="","Purchase Rate, ","")&amp;IF(S457="","MRP, ",""),LEN(IF(B457="","PO Ref, ","")&amp;IF(C457="","Vendor, ","")&amp;IF(D457="","Store, ","")&amp;IF(F457="","Product Type, ","")&amp;IF(G457="","Category, ","")&amp;IF(H457="","HSN Code, ","")&amp;IF(Q457="","Qty, ","")&amp;IF(R457="","Purchase Rate, ","")&amp;IF(S457="","MRP, ",""))-2),IF(COUNTIF(Vendors!$B$3:$B$202,C457)=0,"Add vendor "&amp;C457&amp;" on the Vendors sheet",IF(ISNA(MATCH(H457,Codes!$A$2:$A$13,0)),"Pick the HSN Code from the list",IF(AND(E457&lt;&gt;"",COUNTIFS($C$3:$C$1002,C457,$E$3:$E$1002,E457,$F$3:$F$1002,"&lt;&gt;"&amp;F457)+COUNTIFS($C$3:$C$1002,C457,$E$3:$E$1002,E457,$G$3:$G$1002,"&lt;&gt;"&amp;G457)&gt;0),"Design "&amp;E457&amp;" has another Product Type or Category on another row",IF(COUNTIFS($F$3:$F$1002,F457,$G$3:$G$1002,G457,$H$3:$H$1002,"&lt;&gt;"&amp;H457)&gt;0,F457&amp;" + "&amp;G457&amp;" has another HSN Code on another row",IF(AND(V457&lt;&gt;"",U457=""),"Received Qty needs the Vendor Invoice No",IF(AND(U457&lt;&gt;"",COUNTIFS(Bills!$B$3:$B$302,U457,Bills!$C$3:$C$302,C457)=0),"Add bill "&amp;U457&amp;" of "&amp;C457&amp;" on the Bills sheet",IF(S457&lt;R457,"MRP is below the Purchase Rate","OK")))))))))</f>
        <v/>
      </c>
      <c r="B457" s="29"/>
      <c r="C457" s="22"/>
      <c r="D457" s="22"/>
      <c r="E457" s="24"/>
      <c r="F457" s="22"/>
      <c r="G457" s="22"/>
      <c r="H457" s="22"/>
      <c r="I457" s="30" t="str">
        <f>IF(H457="","",IFERROR(INDEX(Codes!$B$2:$B$13,MATCH(H457,Codes!$A$2:$A$13,0)),""))</f>
        <v/>
      </c>
      <c r="J457" s="23"/>
      <c r="K457" s="23"/>
      <c r="L457" s="23"/>
      <c r="M457" s="23"/>
      <c r="N457" s="23"/>
      <c r="O457" s="23"/>
      <c r="P457" s="23"/>
      <c r="Q457" s="31"/>
      <c r="R457" s="32"/>
      <c r="S457" s="32"/>
      <c r="T457" s="33" t="str">
        <f t="shared" si="14"/>
        <v/>
      </c>
      <c r="U457" s="34"/>
      <c r="V457" s="35"/>
      <c r="W457" s="33" t="str">
        <f t="shared" si="15"/>
        <v/>
      </c>
    </row>
    <row r="458" spans="1:23" x14ac:dyDescent="0.35">
      <c r="A458" s="21" t="str">
        <f>IF(COUNTA(B458:H458,J458:S458,U458:V458)=0,"",IF((IF(B458="","PO Ref, ","")&amp;IF(C458="","Vendor, ","")&amp;IF(D458="","Store, ","")&amp;IF(F458="","Product Type, ","")&amp;IF(G458="","Category, ","")&amp;IF(H458="","HSN Code, ","")&amp;IF(Q458="","Qty, ","")&amp;IF(R458="","Purchase Rate, ","")&amp;IF(S458="","MRP, ",""))&lt;&gt;"","Missing: "&amp;LEFT(IF(B458="","PO Ref, ","")&amp;IF(C458="","Vendor, ","")&amp;IF(D458="","Store, ","")&amp;IF(F458="","Product Type, ","")&amp;IF(G458="","Category, ","")&amp;IF(H458="","HSN Code, ","")&amp;IF(Q458="","Qty, ","")&amp;IF(R458="","Purchase Rate, ","")&amp;IF(S458="","MRP, ",""),LEN(IF(B458="","PO Ref, ","")&amp;IF(C458="","Vendor, ","")&amp;IF(D458="","Store, ","")&amp;IF(F458="","Product Type, ","")&amp;IF(G458="","Category, ","")&amp;IF(H458="","HSN Code, ","")&amp;IF(Q458="","Qty, ","")&amp;IF(R458="","Purchase Rate, ","")&amp;IF(S458="","MRP, ",""))-2),IF(COUNTIF(Vendors!$B$3:$B$202,C458)=0,"Add vendor "&amp;C458&amp;" on the Vendors sheet",IF(ISNA(MATCH(H458,Codes!$A$2:$A$13,0)),"Pick the HSN Code from the list",IF(AND(E458&lt;&gt;"",COUNTIFS($C$3:$C$1002,C458,$E$3:$E$1002,E458,$F$3:$F$1002,"&lt;&gt;"&amp;F458)+COUNTIFS($C$3:$C$1002,C458,$E$3:$E$1002,E458,$G$3:$G$1002,"&lt;&gt;"&amp;G458)&gt;0),"Design "&amp;E458&amp;" has another Product Type or Category on another row",IF(COUNTIFS($F$3:$F$1002,F458,$G$3:$G$1002,G458,$H$3:$H$1002,"&lt;&gt;"&amp;H458)&gt;0,F458&amp;" + "&amp;G458&amp;" has another HSN Code on another row",IF(AND(V458&lt;&gt;"",U458=""),"Received Qty needs the Vendor Invoice No",IF(AND(U458&lt;&gt;"",COUNTIFS(Bills!$B$3:$B$302,U458,Bills!$C$3:$C$302,C458)=0),"Add bill "&amp;U458&amp;" of "&amp;C458&amp;" on the Bills sheet",IF(S458&lt;R458,"MRP is below the Purchase Rate","OK")))))))))</f>
        <v/>
      </c>
      <c r="B458" s="29"/>
      <c r="C458" s="22"/>
      <c r="D458" s="22"/>
      <c r="E458" s="24"/>
      <c r="F458" s="22"/>
      <c r="G458" s="22"/>
      <c r="H458" s="22"/>
      <c r="I458" s="30" t="str">
        <f>IF(H458="","",IFERROR(INDEX(Codes!$B$2:$B$13,MATCH(H458,Codes!$A$2:$A$13,0)),""))</f>
        <v/>
      </c>
      <c r="J458" s="23"/>
      <c r="K458" s="23"/>
      <c r="L458" s="23"/>
      <c r="M458" s="23"/>
      <c r="N458" s="23"/>
      <c r="O458" s="23"/>
      <c r="P458" s="23"/>
      <c r="Q458" s="31"/>
      <c r="R458" s="32"/>
      <c r="S458" s="32"/>
      <c r="T458" s="33" t="str">
        <f t="shared" si="14"/>
        <v/>
      </c>
      <c r="U458" s="34"/>
      <c r="V458" s="35"/>
      <c r="W458" s="33" t="str">
        <f t="shared" si="15"/>
        <v/>
      </c>
    </row>
    <row r="459" spans="1:23" x14ac:dyDescent="0.35">
      <c r="A459" s="21" t="str">
        <f>IF(COUNTA(B459:H459,J459:S459,U459:V459)=0,"",IF((IF(B459="","PO Ref, ","")&amp;IF(C459="","Vendor, ","")&amp;IF(D459="","Store, ","")&amp;IF(F459="","Product Type, ","")&amp;IF(G459="","Category, ","")&amp;IF(H459="","HSN Code, ","")&amp;IF(Q459="","Qty, ","")&amp;IF(R459="","Purchase Rate, ","")&amp;IF(S459="","MRP, ",""))&lt;&gt;"","Missing: "&amp;LEFT(IF(B459="","PO Ref, ","")&amp;IF(C459="","Vendor, ","")&amp;IF(D459="","Store, ","")&amp;IF(F459="","Product Type, ","")&amp;IF(G459="","Category, ","")&amp;IF(H459="","HSN Code, ","")&amp;IF(Q459="","Qty, ","")&amp;IF(R459="","Purchase Rate, ","")&amp;IF(S459="","MRP, ",""),LEN(IF(B459="","PO Ref, ","")&amp;IF(C459="","Vendor, ","")&amp;IF(D459="","Store, ","")&amp;IF(F459="","Product Type, ","")&amp;IF(G459="","Category, ","")&amp;IF(H459="","HSN Code, ","")&amp;IF(Q459="","Qty, ","")&amp;IF(R459="","Purchase Rate, ","")&amp;IF(S459="","MRP, ",""))-2),IF(COUNTIF(Vendors!$B$3:$B$202,C459)=0,"Add vendor "&amp;C459&amp;" on the Vendors sheet",IF(ISNA(MATCH(H459,Codes!$A$2:$A$13,0)),"Pick the HSN Code from the list",IF(AND(E459&lt;&gt;"",COUNTIFS($C$3:$C$1002,C459,$E$3:$E$1002,E459,$F$3:$F$1002,"&lt;&gt;"&amp;F459)+COUNTIFS($C$3:$C$1002,C459,$E$3:$E$1002,E459,$G$3:$G$1002,"&lt;&gt;"&amp;G459)&gt;0),"Design "&amp;E459&amp;" has another Product Type or Category on another row",IF(COUNTIFS($F$3:$F$1002,F459,$G$3:$G$1002,G459,$H$3:$H$1002,"&lt;&gt;"&amp;H459)&gt;0,F459&amp;" + "&amp;G459&amp;" has another HSN Code on another row",IF(AND(V459&lt;&gt;"",U459=""),"Received Qty needs the Vendor Invoice No",IF(AND(U459&lt;&gt;"",COUNTIFS(Bills!$B$3:$B$302,U459,Bills!$C$3:$C$302,C459)=0),"Add bill "&amp;U459&amp;" of "&amp;C459&amp;" on the Bills sheet",IF(S459&lt;R459,"MRP is below the Purchase Rate","OK")))))))))</f>
        <v/>
      </c>
      <c r="B459" s="29"/>
      <c r="C459" s="22"/>
      <c r="D459" s="22"/>
      <c r="E459" s="24"/>
      <c r="F459" s="22"/>
      <c r="G459" s="22"/>
      <c r="H459" s="22"/>
      <c r="I459" s="30" t="str">
        <f>IF(H459="","",IFERROR(INDEX(Codes!$B$2:$B$13,MATCH(H459,Codes!$A$2:$A$13,0)),""))</f>
        <v/>
      </c>
      <c r="J459" s="23"/>
      <c r="K459" s="23"/>
      <c r="L459" s="23"/>
      <c r="M459" s="23"/>
      <c r="N459" s="23"/>
      <c r="O459" s="23"/>
      <c r="P459" s="23"/>
      <c r="Q459" s="31"/>
      <c r="R459" s="32"/>
      <c r="S459" s="32"/>
      <c r="T459" s="33" t="str">
        <f t="shared" si="14"/>
        <v/>
      </c>
      <c r="U459" s="34"/>
      <c r="V459" s="35"/>
      <c r="W459" s="33" t="str">
        <f t="shared" si="15"/>
        <v/>
      </c>
    </row>
    <row r="460" spans="1:23" x14ac:dyDescent="0.35">
      <c r="A460" s="21" t="str">
        <f>IF(COUNTA(B460:H460,J460:S460,U460:V460)=0,"",IF((IF(B460="","PO Ref, ","")&amp;IF(C460="","Vendor, ","")&amp;IF(D460="","Store, ","")&amp;IF(F460="","Product Type, ","")&amp;IF(G460="","Category, ","")&amp;IF(H460="","HSN Code, ","")&amp;IF(Q460="","Qty, ","")&amp;IF(R460="","Purchase Rate, ","")&amp;IF(S460="","MRP, ",""))&lt;&gt;"","Missing: "&amp;LEFT(IF(B460="","PO Ref, ","")&amp;IF(C460="","Vendor, ","")&amp;IF(D460="","Store, ","")&amp;IF(F460="","Product Type, ","")&amp;IF(G460="","Category, ","")&amp;IF(H460="","HSN Code, ","")&amp;IF(Q460="","Qty, ","")&amp;IF(R460="","Purchase Rate, ","")&amp;IF(S460="","MRP, ",""),LEN(IF(B460="","PO Ref, ","")&amp;IF(C460="","Vendor, ","")&amp;IF(D460="","Store, ","")&amp;IF(F460="","Product Type, ","")&amp;IF(G460="","Category, ","")&amp;IF(H460="","HSN Code, ","")&amp;IF(Q460="","Qty, ","")&amp;IF(R460="","Purchase Rate, ","")&amp;IF(S460="","MRP, ",""))-2),IF(COUNTIF(Vendors!$B$3:$B$202,C460)=0,"Add vendor "&amp;C460&amp;" on the Vendors sheet",IF(ISNA(MATCH(H460,Codes!$A$2:$A$13,0)),"Pick the HSN Code from the list",IF(AND(E460&lt;&gt;"",COUNTIFS($C$3:$C$1002,C460,$E$3:$E$1002,E460,$F$3:$F$1002,"&lt;&gt;"&amp;F460)+COUNTIFS($C$3:$C$1002,C460,$E$3:$E$1002,E460,$G$3:$G$1002,"&lt;&gt;"&amp;G460)&gt;0),"Design "&amp;E460&amp;" has another Product Type or Category on another row",IF(COUNTIFS($F$3:$F$1002,F460,$G$3:$G$1002,G460,$H$3:$H$1002,"&lt;&gt;"&amp;H460)&gt;0,F460&amp;" + "&amp;G460&amp;" has another HSN Code on another row",IF(AND(V460&lt;&gt;"",U460=""),"Received Qty needs the Vendor Invoice No",IF(AND(U460&lt;&gt;"",COUNTIFS(Bills!$B$3:$B$302,U460,Bills!$C$3:$C$302,C460)=0),"Add bill "&amp;U460&amp;" of "&amp;C460&amp;" on the Bills sheet",IF(S460&lt;R460,"MRP is below the Purchase Rate","OK")))))))))</f>
        <v/>
      </c>
      <c r="B460" s="29"/>
      <c r="C460" s="22"/>
      <c r="D460" s="22"/>
      <c r="E460" s="24"/>
      <c r="F460" s="22"/>
      <c r="G460" s="22"/>
      <c r="H460" s="22"/>
      <c r="I460" s="30" t="str">
        <f>IF(H460="","",IFERROR(INDEX(Codes!$B$2:$B$13,MATCH(H460,Codes!$A$2:$A$13,0)),""))</f>
        <v/>
      </c>
      <c r="J460" s="23"/>
      <c r="K460" s="23"/>
      <c r="L460" s="23"/>
      <c r="M460" s="23"/>
      <c r="N460" s="23"/>
      <c r="O460" s="23"/>
      <c r="P460" s="23"/>
      <c r="Q460" s="31"/>
      <c r="R460" s="32"/>
      <c r="S460" s="32"/>
      <c r="T460" s="33" t="str">
        <f t="shared" si="14"/>
        <v/>
      </c>
      <c r="U460" s="34"/>
      <c r="V460" s="35"/>
      <c r="W460" s="33" t="str">
        <f t="shared" si="15"/>
        <v/>
      </c>
    </row>
    <row r="461" spans="1:23" x14ac:dyDescent="0.35">
      <c r="A461" s="21" t="str">
        <f>IF(COUNTA(B461:H461,J461:S461,U461:V461)=0,"",IF((IF(B461="","PO Ref, ","")&amp;IF(C461="","Vendor, ","")&amp;IF(D461="","Store, ","")&amp;IF(F461="","Product Type, ","")&amp;IF(G461="","Category, ","")&amp;IF(H461="","HSN Code, ","")&amp;IF(Q461="","Qty, ","")&amp;IF(R461="","Purchase Rate, ","")&amp;IF(S461="","MRP, ",""))&lt;&gt;"","Missing: "&amp;LEFT(IF(B461="","PO Ref, ","")&amp;IF(C461="","Vendor, ","")&amp;IF(D461="","Store, ","")&amp;IF(F461="","Product Type, ","")&amp;IF(G461="","Category, ","")&amp;IF(H461="","HSN Code, ","")&amp;IF(Q461="","Qty, ","")&amp;IF(R461="","Purchase Rate, ","")&amp;IF(S461="","MRP, ",""),LEN(IF(B461="","PO Ref, ","")&amp;IF(C461="","Vendor, ","")&amp;IF(D461="","Store, ","")&amp;IF(F461="","Product Type, ","")&amp;IF(G461="","Category, ","")&amp;IF(H461="","HSN Code, ","")&amp;IF(Q461="","Qty, ","")&amp;IF(R461="","Purchase Rate, ","")&amp;IF(S461="","MRP, ",""))-2),IF(COUNTIF(Vendors!$B$3:$B$202,C461)=0,"Add vendor "&amp;C461&amp;" on the Vendors sheet",IF(ISNA(MATCH(H461,Codes!$A$2:$A$13,0)),"Pick the HSN Code from the list",IF(AND(E461&lt;&gt;"",COUNTIFS($C$3:$C$1002,C461,$E$3:$E$1002,E461,$F$3:$F$1002,"&lt;&gt;"&amp;F461)+COUNTIFS($C$3:$C$1002,C461,$E$3:$E$1002,E461,$G$3:$G$1002,"&lt;&gt;"&amp;G461)&gt;0),"Design "&amp;E461&amp;" has another Product Type or Category on another row",IF(COUNTIFS($F$3:$F$1002,F461,$G$3:$G$1002,G461,$H$3:$H$1002,"&lt;&gt;"&amp;H461)&gt;0,F461&amp;" + "&amp;G461&amp;" has another HSN Code on another row",IF(AND(V461&lt;&gt;"",U461=""),"Received Qty needs the Vendor Invoice No",IF(AND(U461&lt;&gt;"",COUNTIFS(Bills!$B$3:$B$302,U461,Bills!$C$3:$C$302,C461)=0),"Add bill "&amp;U461&amp;" of "&amp;C461&amp;" on the Bills sheet",IF(S461&lt;R461,"MRP is below the Purchase Rate","OK")))))))))</f>
        <v/>
      </c>
      <c r="B461" s="29"/>
      <c r="C461" s="22"/>
      <c r="D461" s="22"/>
      <c r="E461" s="24"/>
      <c r="F461" s="22"/>
      <c r="G461" s="22"/>
      <c r="H461" s="22"/>
      <c r="I461" s="30" t="str">
        <f>IF(H461="","",IFERROR(INDEX(Codes!$B$2:$B$13,MATCH(H461,Codes!$A$2:$A$13,0)),""))</f>
        <v/>
      </c>
      <c r="J461" s="23"/>
      <c r="K461" s="23"/>
      <c r="L461" s="23"/>
      <c r="M461" s="23"/>
      <c r="N461" s="23"/>
      <c r="O461" s="23"/>
      <c r="P461" s="23"/>
      <c r="Q461" s="31"/>
      <c r="R461" s="32"/>
      <c r="S461" s="32"/>
      <c r="T461" s="33" t="str">
        <f t="shared" si="14"/>
        <v/>
      </c>
      <c r="U461" s="34"/>
      <c r="V461" s="35"/>
      <c r="W461" s="33" t="str">
        <f t="shared" si="15"/>
        <v/>
      </c>
    </row>
    <row r="462" spans="1:23" x14ac:dyDescent="0.35">
      <c r="A462" s="21" t="str">
        <f>IF(COUNTA(B462:H462,J462:S462,U462:V462)=0,"",IF((IF(B462="","PO Ref, ","")&amp;IF(C462="","Vendor, ","")&amp;IF(D462="","Store, ","")&amp;IF(F462="","Product Type, ","")&amp;IF(G462="","Category, ","")&amp;IF(H462="","HSN Code, ","")&amp;IF(Q462="","Qty, ","")&amp;IF(R462="","Purchase Rate, ","")&amp;IF(S462="","MRP, ",""))&lt;&gt;"","Missing: "&amp;LEFT(IF(B462="","PO Ref, ","")&amp;IF(C462="","Vendor, ","")&amp;IF(D462="","Store, ","")&amp;IF(F462="","Product Type, ","")&amp;IF(G462="","Category, ","")&amp;IF(H462="","HSN Code, ","")&amp;IF(Q462="","Qty, ","")&amp;IF(R462="","Purchase Rate, ","")&amp;IF(S462="","MRP, ",""),LEN(IF(B462="","PO Ref, ","")&amp;IF(C462="","Vendor, ","")&amp;IF(D462="","Store, ","")&amp;IF(F462="","Product Type, ","")&amp;IF(G462="","Category, ","")&amp;IF(H462="","HSN Code, ","")&amp;IF(Q462="","Qty, ","")&amp;IF(R462="","Purchase Rate, ","")&amp;IF(S462="","MRP, ",""))-2),IF(COUNTIF(Vendors!$B$3:$B$202,C462)=0,"Add vendor "&amp;C462&amp;" on the Vendors sheet",IF(ISNA(MATCH(H462,Codes!$A$2:$A$13,0)),"Pick the HSN Code from the list",IF(AND(E462&lt;&gt;"",COUNTIFS($C$3:$C$1002,C462,$E$3:$E$1002,E462,$F$3:$F$1002,"&lt;&gt;"&amp;F462)+COUNTIFS($C$3:$C$1002,C462,$E$3:$E$1002,E462,$G$3:$G$1002,"&lt;&gt;"&amp;G462)&gt;0),"Design "&amp;E462&amp;" has another Product Type or Category on another row",IF(COUNTIFS($F$3:$F$1002,F462,$G$3:$G$1002,G462,$H$3:$H$1002,"&lt;&gt;"&amp;H462)&gt;0,F462&amp;" + "&amp;G462&amp;" has another HSN Code on another row",IF(AND(V462&lt;&gt;"",U462=""),"Received Qty needs the Vendor Invoice No",IF(AND(U462&lt;&gt;"",COUNTIFS(Bills!$B$3:$B$302,U462,Bills!$C$3:$C$302,C462)=0),"Add bill "&amp;U462&amp;" of "&amp;C462&amp;" on the Bills sheet",IF(S462&lt;R462,"MRP is below the Purchase Rate","OK")))))))))</f>
        <v/>
      </c>
      <c r="B462" s="29"/>
      <c r="C462" s="22"/>
      <c r="D462" s="22"/>
      <c r="E462" s="24"/>
      <c r="F462" s="22"/>
      <c r="G462" s="22"/>
      <c r="H462" s="22"/>
      <c r="I462" s="30" t="str">
        <f>IF(H462="","",IFERROR(INDEX(Codes!$B$2:$B$13,MATCH(H462,Codes!$A$2:$A$13,0)),""))</f>
        <v/>
      </c>
      <c r="J462" s="23"/>
      <c r="K462" s="23"/>
      <c r="L462" s="23"/>
      <c r="M462" s="23"/>
      <c r="N462" s="23"/>
      <c r="O462" s="23"/>
      <c r="P462" s="23"/>
      <c r="Q462" s="31"/>
      <c r="R462" s="32"/>
      <c r="S462" s="32"/>
      <c r="T462" s="33" t="str">
        <f t="shared" si="14"/>
        <v/>
      </c>
      <c r="U462" s="34"/>
      <c r="V462" s="35"/>
      <c r="W462" s="33" t="str">
        <f t="shared" si="15"/>
        <v/>
      </c>
    </row>
    <row r="463" spans="1:23" x14ac:dyDescent="0.35">
      <c r="A463" s="21" t="str">
        <f>IF(COUNTA(B463:H463,J463:S463,U463:V463)=0,"",IF((IF(B463="","PO Ref, ","")&amp;IF(C463="","Vendor, ","")&amp;IF(D463="","Store, ","")&amp;IF(F463="","Product Type, ","")&amp;IF(G463="","Category, ","")&amp;IF(H463="","HSN Code, ","")&amp;IF(Q463="","Qty, ","")&amp;IF(R463="","Purchase Rate, ","")&amp;IF(S463="","MRP, ",""))&lt;&gt;"","Missing: "&amp;LEFT(IF(B463="","PO Ref, ","")&amp;IF(C463="","Vendor, ","")&amp;IF(D463="","Store, ","")&amp;IF(F463="","Product Type, ","")&amp;IF(G463="","Category, ","")&amp;IF(H463="","HSN Code, ","")&amp;IF(Q463="","Qty, ","")&amp;IF(R463="","Purchase Rate, ","")&amp;IF(S463="","MRP, ",""),LEN(IF(B463="","PO Ref, ","")&amp;IF(C463="","Vendor, ","")&amp;IF(D463="","Store, ","")&amp;IF(F463="","Product Type, ","")&amp;IF(G463="","Category, ","")&amp;IF(H463="","HSN Code, ","")&amp;IF(Q463="","Qty, ","")&amp;IF(R463="","Purchase Rate, ","")&amp;IF(S463="","MRP, ",""))-2),IF(COUNTIF(Vendors!$B$3:$B$202,C463)=0,"Add vendor "&amp;C463&amp;" on the Vendors sheet",IF(ISNA(MATCH(H463,Codes!$A$2:$A$13,0)),"Pick the HSN Code from the list",IF(AND(E463&lt;&gt;"",COUNTIFS($C$3:$C$1002,C463,$E$3:$E$1002,E463,$F$3:$F$1002,"&lt;&gt;"&amp;F463)+COUNTIFS($C$3:$C$1002,C463,$E$3:$E$1002,E463,$G$3:$G$1002,"&lt;&gt;"&amp;G463)&gt;0),"Design "&amp;E463&amp;" has another Product Type or Category on another row",IF(COUNTIFS($F$3:$F$1002,F463,$G$3:$G$1002,G463,$H$3:$H$1002,"&lt;&gt;"&amp;H463)&gt;0,F463&amp;" + "&amp;G463&amp;" has another HSN Code on another row",IF(AND(V463&lt;&gt;"",U463=""),"Received Qty needs the Vendor Invoice No",IF(AND(U463&lt;&gt;"",COUNTIFS(Bills!$B$3:$B$302,U463,Bills!$C$3:$C$302,C463)=0),"Add bill "&amp;U463&amp;" of "&amp;C463&amp;" on the Bills sheet",IF(S463&lt;R463,"MRP is below the Purchase Rate","OK")))))))))</f>
        <v/>
      </c>
      <c r="B463" s="29"/>
      <c r="C463" s="22"/>
      <c r="D463" s="22"/>
      <c r="E463" s="24"/>
      <c r="F463" s="22"/>
      <c r="G463" s="22"/>
      <c r="H463" s="22"/>
      <c r="I463" s="30" t="str">
        <f>IF(H463="","",IFERROR(INDEX(Codes!$B$2:$B$13,MATCH(H463,Codes!$A$2:$A$13,0)),""))</f>
        <v/>
      </c>
      <c r="J463" s="23"/>
      <c r="K463" s="23"/>
      <c r="L463" s="23"/>
      <c r="M463" s="23"/>
      <c r="N463" s="23"/>
      <c r="O463" s="23"/>
      <c r="P463" s="23"/>
      <c r="Q463" s="31"/>
      <c r="R463" s="32"/>
      <c r="S463" s="32"/>
      <c r="T463" s="33" t="str">
        <f t="shared" si="14"/>
        <v/>
      </c>
      <c r="U463" s="34"/>
      <c r="V463" s="35"/>
      <c r="W463" s="33" t="str">
        <f t="shared" si="15"/>
        <v/>
      </c>
    </row>
    <row r="464" spans="1:23" x14ac:dyDescent="0.35">
      <c r="A464" s="21" t="str">
        <f>IF(COUNTA(B464:H464,J464:S464,U464:V464)=0,"",IF((IF(B464="","PO Ref, ","")&amp;IF(C464="","Vendor, ","")&amp;IF(D464="","Store, ","")&amp;IF(F464="","Product Type, ","")&amp;IF(G464="","Category, ","")&amp;IF(H464="","HSN Code, ","")&amp;IF(Q464="","Qty, ","")&amp;IF(R464="","Purchase Rate, ","")&amp;IF(S464="","MRP, ",""))&lt;&gt;"","Missing: "&amp;LEFT(IF(B464="","PO Ref, ","")&amp;IF(C464="","Vendor, ","")&amp;IF(D464="","Store, ","")&amp;IF(F464="","Product Type, ","")&amp;IF(G464="","Category, ","")&amp;IF(H464="","HSN Code, ","")&amp;IF(Q464="","Qty, ","")&amp;IF(R464="","Purchase Rate, ","")&amp;IF(S464="","MRP, ",""),LEN(IF(B464="","PO Ref, ","")&amp;IF(C464="","Vendor, ","")&amp;IF(D464="","Store, ","")&amp;IF(F464="","Product Type, ","")&amp;IF(G464="","Category, ","")&amp;IF(H464="","HSN Code, ","")&amp;IF(Q464="","Qty, ","")&amp;IF(R464="","Purchase Rate, ","")&amp;IF(S464="","MRP, ",""))-2),IF(COUNTIF(Vendors!$B$3:$B$202,C464)=0,"Add vendor "&amp;C464&amp;" on the Vendors sheet",IF(ISNA(MATCH(H464,Codes!$A$2:$A$13,0)),"Pick the HSN Code from the list",IF(AND(E464&lt;&gt;"",COUNTIFS($C$3:$C$1002,C464,$E$3:$E$1002,E464,$F$3:$F$1002,"&lt;&gt;"&amp;F464)+COUNTIFS($C$3:$C$1002,C464,$E$3:$E$1002,E464,$G$3:$G$1002,"&lt;&gt;"&amp;G464)&gt;0),"Design "&amp;E464&amp;" has another Product Type or Category on another row",IF(COUNTIFS($F$3:$F$1002,F464,$G$3:$G$1002,G464,$H$3:$H$1002,"&lt;&gt;"&amp;H464)&gt;0,F464&amp;" + "&amp;G464&amp;" has another HSN Code on another row",IF(AND(V464&lt;&gt;"",U464=""),"Received Qty needs the Vendor Invoice No",IF(AND(U464&lt;&gt;"",COUNTIFS(Bills!$B$3:$B$302,U464,Bills!$C$3:$C$302,C464)=0),"Add bill "&amp;U464&amp;" of "&amp;C464&amp;" on the Bills sheet",IF(S464&lt;R464,"MRP is below the Purchase Rate","OK")))))))))</f>
        <v/>
      </c>
      <c r="B464" s="29"/>
      <c r="C464" s="22"/>
      <c r="D464" s="22"/>
      <c r="E464" s="24"/>
      <c r="F464" s="22"/>
      <c r="G464" s="22"/>
      <c r="H464" s="22"/>
      <c r="I464" s="30" t="str">
        <f>IF(H464="","",IFERROR(INDEX(Codes!$B$2:$B$13,MATCH(H464,Codes!$A$2:$A$13,0)),""))</f>
        <v/>
      </c>
      <c r="J464" s="23"/>
      <c r="K464" s="23"/>
      <c r="L464" s="23"/>
      <c r="M464" s="23"/>
      <c r="N464" s="23"/>
      <c r="O464" s="23"/>
      <c r="P464" s="23"/>
      <c r="Q464" s="31"/>
      <c r="R464" s="32"/>
      <c r="S464" s="32"/>
      <c r="T464" s="33" t="str">
        <f t="shared" si="14"/>
        <v/>
      </c>
      <c r="U464" s="34"/>
      <c r="V464" s="35"/>
      <c r="W464" s="33" t="str">
        <f t="shared" si="15"/>
        <v/>
      </c>
    </row>
    <row r="465" spans="1:23" x14ac:dyDescent="0.35">
      <c r="A465" s="21" t="str">
        <f>IF(COUNTA(B465:H465,J465:S465,U465:V465)=0,"",IF((IF(B465="","PO Ref, ","")&amp;IF(C465="","Vendor, ","")&amp;IF(D465="","Store, ","")&amp;IF(F465="","Product Type, ","")&amp;IF(G465="","Category, ","")&amp;IF(H465="","HSN Code, ","")&amp;IF(Q465="","Qty, ","")&amp;IF(R465="","Purchase Rate, ","")&amp;IF(S465="","MRP, ",""))&lt;&gt;"","Missing: "&amp;LEFT(IF(B465="","PO Ref, ","")&amp;IF(C465="","Vendor, ","")&amp;IF(D465="","Store, ","")&amp;IF(F465="","Product Type, ","")&amp;IF(G465="","Category, ","")&amp;IF(H465="","HSN Code, ","")&amp;IF(Q465="","Qty, ","")&amp;IF(R465="","Purchase Rate, ","")&amp;IF(S465="","MRP, ",""),LEN(IF(B465="","PO Ref, ","")&amp;IF(C465="","Vendor, ","")&amp;IF(D465="","Store, ","")&amp;IF(F465="","Product Type, ","")&amp;IF(G465="","Category, ","")&amp;IF(H465="","HSN Code, ","")&amp;IF(Q465="","Qty, ","")&amp;IF(R465="","Purchase Rate, ","")&amp;IF(S465="","MRP, ",""))-2),IF(COUNTIF(Vendors!$B$3:$B$202,C465)=0,"Add vendor "&amp;C465&amp;" on the Vendors sheet",IF(ISNA(MATCH(H465,Codes!$A$2:$A$13,0)),"Pick the HSN Code from the list",IF(AND(E465&lt;&gt;"",COUNTIFS($C$3:$C$1002,C465,$E$3:$E$1002,E465,$F$3:$F$1002,"&lt;&gt;"&amp;F465)+COUNTIFS($C$3:$C$1002,C465,$E$3:$E$1002,E465,$G$3:$G$1002,"&lt;&gt;"&amp;G465)&gt;0),"Design "&amp;E465&amp;" has another Product Type or Category on another row",IF(COUNTIFS($F$3:$F$1002,F465,$G$3:$G$1002,G465,$H$3:$H$1002,"&lt;&gt;"&amp;H465)&gt;0,F465&amp;" + "&amp;G465&amp;" has another HSN Code on another row",IF(AND(V465&lt;&gt;"",U465=""),"Received Qty needs the Vendor Invoice No",IF(AND(U465&lt;&gt;"",COUNTIFS(Bills!$B$3:$B$302,U465,Bills!$C$3:$C$302,C465)=0),"Add bill "&amp;U465&amp;" of "&amp;C465&amp;" on the Bills sheet",IF(S465&lt;R465,"MRP is below the Purchase Rate","OK")))))))))</f>
        <v/>
      </c>
      <c r="B465" s="29"/>
      <c r="C465" s="22"/>
      <c r="D465" s="22"/>
      <c r="E465" s="24"/>
      <c r="F465" s="22"/>
      <c r="G465" s="22"/>
      <c r="H465" s="22"/>
      <c r="I465" s="30" t="str">
        <f>IF(H465="","",IFERROR(INDEX(Codes!$B$2:$B$13,MATCH(H465,Codes!$A$2:$A$13,0)),""))</f>
        <v/>
      </c>
      <c r="J465" s="23"/>
      <c r="K465" s="23"/>
      <c r="L465" s="23"/>
      <c r="M465" s="23"/>
      <c r="N465" s="23"/>
      <c r="O465" s="23"/>
      <c r="P465" s="23"/>
      <c r="Q465" s="31"/>
      <c r="R465" s="32"/>
      <c r="S465" s="32"/>
      <c r="T465" s="33" t="str">
        <f t="shared" si="14"/>
        <v/>
      </c>
      <c r="U465" s="34"/>
      <c r="V465" s="35"/>
      <c r="W465" s="33" t="str">
        <f t="shared" si="15"/>
        <v/>
      </c>
    </row>
    <row r="466" spans="1:23" x14ac:dyDescent="0.35">
      <c r="A466" s="21" t="str">
        <f>IF(COUNTA(B466:H466,J466:S466,U466:V466)=0,"",IF((IF(B466="","PO Ref, ","")&amp;IF(C466="","Vendor, ","")&amp;IF(D466="","Store, ","")&amp;IF(F466="","Product Type, ","")&amp;IF(G466="","Category, ","")&amp;IF(H466="","HSN Code, ","")&amp;IF(Q466="","Qty, ","")&amp;IF(R466="","Purchase Rate, ","")&amp;IF(S466="","MRP, ",""))&lt;&gt;"","Missing: "&amp;LEFT(IF(B466="","PO Ref, ","")&amp;IF(C466="","Vendor, ","")&amp;IF(D466="","Store, ","")&amp;IF(F466="","Product Type, ","")&amp;IF(G466="","Category, ","")&amp;IF(H466="","HSN Code, ","")&amp;IF(Q466="","Qty, ","")&amp;IF(R466="","Purchase Rate, ","")&amp;IF(S466="","MRP, ",""),LEN(IF(B466="","PO Ref, ","")&amp;IF(C466="","Vendor, ","")&amp;IF(D466="","Store, ","")&amp;IF(F466="","Product Type, ","")&amp;IF(G466="","Category, ","")&amp;IF(H466="","HSN Code, ","")&amp;IF(Q466="","Qty, ","")&amp;IF(R466="","Purchase Rate, ","")&amp;IF(S466="","MRP, ",""))-2),IF(COUNTIF(Vendors!$B$3:$B$202,C466)=0,"Add vendor "&amp;C466&amp;" on the Vendors sheet",IF(ISNA(MATCH(H466,Codes!$A$2:$A$13,0)),"Pick the HSN Code from the list",IF(AND(E466&lt;&gt;"",COUNTIFS($C$3:$C$1002,C466,$E$3:$E$1002,E466,$F$3:$F$1002,"&lt;&gt;"&amp;F466)+COUNTIFS($C$3:$C$1002,C466,$E$3:$E$1002,E466,$G$3:$G$1002,"&lt;&gt;"&amp;G466)&gt;0),"Design "&amp;E466&amp;" has another Product Type or Category on another row",IF(COUNTIFS($F$3:$F$1002,F466,$G$3:$G$1002,G466,$H$3:$H$1002,"&lt;&gt;"&amp;H466)&gt;0,F466&amp;" + "&amp;G466&amp;" has another HSN Code on another row",IF(AND(V466&lt;&gt;"",U466=""),"Received Qty needs the Vendor Invoice No",IF(AND(U466&lt;&gt;"",COUNTIFS(Bills!$B$3:$B$302,U466,Bills!$C$3:$C$302,C466)=0),"Add bill "&amp;U466&amp;" of "&amp;C466&amp;" on the Bills sheet",IF(S466&lt;R466,"MRP is below the Purchase Rate","OK")))))))))</f>
        <v/>
      </c>
      <c r="B466" s="29"/>
      <c r="C466" s="22"/>
      <c r="D466" s="22"/>
      <c r="E466" s="24"/>
      <c r="F466" s="22"/>
      <c r="G466" s="22"/>
      <c r="H466" s="22"/>
      <c r="I466" s="30" t="str">
        <f>IF(H466="","",IFERROR(INDEX(Codes!$B$2:$B$13,MATCH(H466,Codes!$A$2:$A$13,0)),""))</f>
        <v/>
      </c>
      <c r="J466" s="23"/>
      <c r="K466" s="23"/>
      <c r="L466" s="23"/>
      <c r="M466" s="23"/>
      <c r="N466" s="23"/>
      <c r="O466" s="23"/>
      <c r="P466" s="23"/>
      <c r="Q466" s="31"/>
      <c r="R466" s="32"/>
      <c r="S466" s="32"/>
      <c r="T466" s="33" t="str">
        <f t="shared" si="14"/>
        <v/>
      </c>
      <c r="U466" s="34"/>
      <c r="V466" s="35"/>
      <c r="W466" s="33" t="str">
        <f t="shared" si="15"/>
        <v/>
      </c>
    </row>
    <row r="467" spans="1:23" x14ac:dyDescent="0.35">
      <c r="A467" s="21" t="str">
        <f>IF(COUNTA(B467:H467,J467:S467,U467:V467)=0,"",IF((IF(B467="","PO Ref, ","")&amp;IF(C467="","Vendor, ","")&amp;IF(D467="","Store, ","")&amp;IF(F467="","Product Type, ","")&amp;IF(G467="","Category, ","")&amp;IF(H467="","HSN Code, ","")&amp;IF(Q467="","Qty, ","")&amp;IF(R467="","Purchase Rate, ","")&amp;IF(S467="","MRP, ",""))&lt;&gt;"","Missing: "&amp;LEFT(IF(B467="","PO Ref, ","")&amp;IF(C467="","Vendor, ","")&amp;IF(D467="","Store, ","")&amp;IF(F467="","Product Type, ","")&amp;IF(G467="","Category, ","")&amp;IF(H467="","HSN Code, ","")&amp;IF(Q467="","Qty, ","")&amp;IF(R467="","Purchase Rate, ","")&amp;IF(S467="","MRP, ",""),LEN(IF(B467="","PO Ref, ","")&amp;IF(C467="","Vendor, ","")&amp;IF(D467="","Store, ","")&amp;IF(F467="","Product Type, ","")&amp;IF(G467="","Category, ","")&amp;IF(H467="","HSN Code, ","")&amp;IF(Q467="","Qty, ","")&amp;IF(R467="","Purchase Rate, ","")&amp;IF(S467="","MRP, ",""))-2),IF(COUNTIF(Vendors!$B$3:$B$202,C467)=0,"Add vendor "&amp;C467&amp;" on the Vendors sheet",IF(ISNA(MATCH(H467,Codes!$A$2:$A$13,0)),"Pick the HSN Code from the list",IF(AND(E467&lt;&gt;"",COUNTIFS($C$3:$C$1002,C467,$E$3:$E$1002,E467,$F$3:$F$1002,"&lt;&gt;"&amp;F467)+COUNTIFS($C$3:$C$1002,C467,$E$3:$E$1002,E467,$G$3:$G$1002,"&lt;&gt;"&amp;G467)&gt;0),"Design "&amp;E467&amp;" has another Product Type or Category on another row",IF(COUNTIFS($F$3:$F$1002,F467,$G$3:$G$1002,G467,$H$3:$H$1002,"&lt;&gt;"&amp;H467)&gt;0,F467&amp;" + "&amp;G467&amp;" has another HSN Code on another row",IF(AND(V467&lt;&gt;"",U467=""),"Received Qty needs the Vendor Invoice No",IF(AND(U467&lt;&gt;"",COUNTIFS(Bills!$B$3:$B$302,U467,Bills!$C$3:$C$302,C467)=0),"Add bill "&amp;U467&amp;" of "&amp;C467&amp;" on the Bills sheet",IF(S467&lt;R467,"MRP is below the Purchase Rate","OK")))))))))</f>
        <v/>
      </c>
      <c r="B467" s="29"/>
      <c r="C467" s="22"/>
      <c r="D467" s="22"/>
      <c r="E467" s="24"/>
      <c r="F467" s="22"/>
      <c r="G467" s="22"/>
      <c r="H467" s="22"/>
      <c r="I467" s="30" t="str">
        <f>IF(H467="","",IFERROR(INDEX(Codes!$B$2:$B$13,MATCH(H467,Codes!$A$2:$A$13,0)),""))</f>
        <v/>
      </c>
      <c r="J467" s="23"/>
      <c r="K467" s="23"/>
      <c r="L467" s="23"/>
      <c r="M467" s="23"/>
      <c r="N467" s="23"/>
      <c r="O467" s="23"/>
      <c r="P467" s="23"/>
      <c r="Q467" s="31"/>
      <c r="R467" s="32"/>
      <c r="S467" s="32"/>
      <c r="T467" s="33" t="str">
        <f t="shared" si="14"/>
        <v/>
      </c>
      <c r="U467" s="34"/>
      <c r="V467" s="35"/>
      <c r="W467" s="33" t="str">
        <f t="shared" si="15"/>
        <v/>
      </c>
    </row>
    <row r="468" spans="1:23" x14ac:dyDescent="0.35">
      <c r="A468" s="21" t="str">
        <f>IF(COUNTA(B468:H468,J468:S468,U468:V468)=0,"",IF((IF(B468="","PO Ref, ","")&amp;IF(C468="","Vendor, ","")&amp;IF(D468="","Store, ","")&amp;IF(F468="","Product Type, ","")&amp;IF(G468="","Category, ","")&amp;IF(H468="","HSN Code, ","")&amp;IF(Q468="","Qty, ","")&amp;IF(R468="","Purchase Rate, ","")&amp;IF(S468="","MRP, ",""))&lt;&gt;"","Missing: "&amp;LEFT(IF(B468="","PO Ref, ","")&amp;IF(C468="","Vendor, ","")&amp;IF(D468="","Store, ","")&amp;IF(F468="","Product Type, ","")&amp;IF(G468="","Category, ","")&amp;IF(H468="","HSN Code, ","")&amp;IF(Q468="","Qty, ","")&amp;IF(R468="","Purchase Rate, ","")&amp;IF(S468="","MRP, ",""),LEN(IF(B468="","PO Ref, ","")&amp;IF(C468="","Vendor, ","")&amp;IF(D468="","Store, ","")&amp;IF(F468="","Product Type, ","")&amp;IF(G468="","Category, ","")&amp;IF(H468="","HSN Code, ","")&amp;IF(Q468="","Qty, ","")&amp;IF(R468="","Purchase Rate, ","")&amp;IF(S468="","MRP, ",""))-2),IF(COUNTIF(Vendors!$B$3:$B$202,C468)=0,"Add vendor "&amp;C468&amp;" on the Vendors sheet",IF(ISNA(MATCH(H468,Codes!$A$2:$A$13,0)),"Pick the HSN Code from the list",IF(AND(E468&lt;&gt;"",COUNTIFS($C$3:$C$1002,C468,$E$3:$E$1002,E468,$F$3:$F$1002,"&lt;&gt;"&amp;F468)+COUNTIFS($C$3:$C$1002,C468,$E$3:$E$1002,E468,$G$3:$G$1002,"&lt;&gt;"&amp;G468)&gt;0),"Design "&amp;E468&amp;" has another Product Type or Category on another row",IF(COUNTIFS($F$3:$F$1002,F468,$G$3:$G$1002,G468,$H$3:$H$1002,"&lt;&gt;"&amp;H468)&gt;0,F468&amp;" + "&amp;G468&amp;" has another HSN Code on another row",IF(AND(V468&lt;&gt;"",U468=""),"Received Qty needs the Vendor Invoice No",IF(AND(U468&lt;&gt;"",COUNTIFS(Bills!$B$3:$B$302,U468,Bills!$C$3:$C$302,C468)=0),"Add bill "&amp;U468&amp;" of "&amp;C468&amp;" on the Bills sheet",IF(S468&lt;R468,"MRP is below the Purchase Rate","OK")))))))))</f>
        <v/>
      </c>
      <c r="B468" s="29"/>
      <c r="C468" s="22"/>
      <c r="D468" s="22"/>
      <c r="E468" s="24"/>
      <c r="F468" s="22"/>
      <c r="G468" s="22"/>
      <c r="H468" s="22"/>
      <c r="I468" s="30" t="str">
        <f>IF(H468="","",IFERROR(INDEX(Codes!$B$2:$B$13,MATCH(H468,Codes!$A$2:$A$13,0)),""))</f>
        <v/>
      </c>
      <c r="J468" s="23"/>
      <c r="K468" s="23"/>
      <c r="L468" s="23"/>
      <c r="M468" s="23"/>
      <c r="N468" s="23"/>
      <c r="O468" s="23"/>
      <c r="P468" s="23"/>
      <c r="Q468" s="31"/>
      <c r="R468" s="32"/>
      <c r="S468" s="32"/>
      <c r="T468" s="33" t="str">
        <f t="shared" si="14"/>
        <v/>
      </c>
      <c r="U468" s="34"/>
      <c r="V468" s="35"/>
      <c r="W468" s="33" t="str">
        <f t="shared" si="15"/>
        <v/>
      </c>
    </row>
    <row r="469" spans="1:23" x14ac:dyDescent="0.35">
      <c r="A469" s="21" t="str">
        <f>IF(COUNTA(B469:H469,J469:S469,U469:V469)=0,"",IF((IF(B469="","PO Ref, ","")&amp;IF(C469="","Vendor, ","")&amp;IF(D469="","Store, ","")&amp;IF(F469="","Product Type, ","")&amp;IF(G469="","Category, ","")&amp;IF(H469="","HSN Code, ","")&amp;IF(Q469="","Qty, ","")&amp;IF(R469="","Purchase Rate, ","")&amp;IF(S469="","MRP, ",""))&lt;&gt;"","Missing: "&amp;LEFT(IF(B469="","PO Ref, ","")&amp;IF(C469="","Vendor, ","")&amp;IF(D469="","Store, ","")&amp;IF(F469="","Product Type, ","")&amp;IF(G469="","Category, ","")&amp;IF(H469="","HSN Code, ","")&amp;IF(Q469="","Qty, ","")&amp;IF(R469="","Purchase Rate, ","")&amp;IF(S469="","MRP, ",""),LEN(IF(B469="","PO Ref, ","")&amp;IF(C469="","Vendor, ","")&amp;IF(D469="","Store, ","")&amp;IF(F469="","Product Type, ","")&amp;IF(G469="","Category, ","")&amp;IF(H469="","HSN Code, ","")&amp;IF(Q469="","Qty, ","")&amp;IF(R469="","Purchase Rate, ","")&amp;IF(S469="","MRP, ",""))-2),IF(COUNTIF(Vendors!$B$3:$B$202,C469)=0,"Add vendor "&amp;C469&amp;" on the Vendors sheet",IF(ISNA(MATCH(H469,Codes!$A$2:$A$13,0)),"Pick the HSN Code from the list",IF(AND(E469&lt;&gt;"",COUNTIFS($C$3:$C$1002,C469,$E$3:$E$1002,E469,$F$3:$F$1002,"&lt;&gt;"&amp;F469)+COUNTIFS($C$3:$C$1002,C469,$E$3:$E$1002,E469,$G$3:$G$1002,"&lt;&gt;"&amp;G469)&gt;0),"Design "&amp;E469&amp;" has another Product Type or Category on another row",IF(COUNTIFS($F$3:$F$1002,F469,$G$3:$G$1002,G469,$H$3:$H$1002,"&lt;&gt;"&amp;H469)&gt;0,F469&amp;" + "&amp;G469&amp;" has another HSN Code on another row",IF(AND(V469&lt;&gt;"",U469=""),"Received Qty needs the Vendor Invoice No",IF(AND(U469&lt;&gt;"",COUNTIFS(Bills!$B$3:$B$302,U469,Bills!$C$3:$C$302,C469)=0),"Add bill "&amp;U469&amp;" of "&amp;C469&amp;" on the Bills sheet",IF(S469&lt;R469,"MRP is below the Purchase Rate","OK")))))))))</f>
        <v/>
      </c>
      <c r="B469" s="29"/>
      <c r="C469" s="22"/>
      <c r="D469" s="22"/>
      <c r="E469" s="24"/>
      <c r="F469" s="22"/>
      <c r="G469" s="22"/>
      <c r="H469" s="22"/>
      <c r="I469" s="30" t="str">
        <f>IF(H469="","",IFERROR(INDEX(Codes!$B$2:$B$13,MATCH(H469,Codes!$A$2:$A$13,0)),""))</f>
        <v/>
      </c>
      <c r="J469" s="23"/>
      <c r="K469" s="23"/>
      <c r="L469" s="23"/>
      <c r="M469" s="23"/>
      <c r="N469" s="23"/>
      <c r="O469" s="23"/>
      <c r="P469" s="23"/>
      <c r="Q469" s="31"/>
      <c r="R469" s="32"/>
      <c r="S469" s="32"/>
      <c r="T469" s="33" t="str">
        <f t="shared" si="14"/>
        <v/>
      </c>
      <c r="U469" s="34"/>
      <c r="V469" s="35"/>
      <c r="W469" s="33" t="str">
        <f t="shared" si="15"/>
        <v/>
      </c>
    </row>
    <row r="470" spans="1:23" x14ac:dyDescent="0.35">
      <c r="A470" s="21" t="str">
        <f>IF(COUNTA(B470:H470,J470:S470,U470:V470)=0,"",IF((IF(B470="","PO Ref, ","")&amp;IF(C470="","Vendor, ","")&amp;IF(D470="","Store, ","")&amp;IF(F470="","Product Type, ","")&amp;IF(G470="","Category, ","")&amp;IF(H470="","HSN Code, ","")&amp;IF(Q470="","Qty, ","")&amp;IF(R470="","Purchase Rate, ","")&amp;IF(S470="","MRP, ",""))&lt;&gt;"","Missing: "&amp;LEFT(IF(B470="","PO Ref, ","")&amp;IF(C470="","Vendor, ","")&amp;IF(D470="","Store, ","")&amp;IF(F470="","Product Type, ","")&amp;IF(G470="","Category, ","")&amp;IF(H470="","HSN Code, ","")&amp;IF(Q470="","Qty, ","")&amp;IF(R470="","Purchase Rate, ","")&amp;IF(S470="","MRP, ",""),LEN(IF(B470="","PO Ref, ","")&amp;IF(C470="","Vendor, ","")&amp;IF(D470="","Store, ","")&amp;IF(F470="","Product Type, ","")&amp;IF(G470="","Category, ","")&amp;IF(H470="","HSN Code, ","")&amp;IF(Q470="","Qty, ","")&amp;IF(R470="","Purchase Rate, ","")&amp;IF(S470="","MRP, ",""))-2),IF(COUNTIF(Vendors!$B$3:$B$202,C470)=0,"Add vendor "&amp;C470&amp;" on the Vendors sheet",IF(ISNA(MATCH(H470,Codes!$A$2:$A$13,0)),"Pick the HSN Code from the list",IF(AND(E470&lt;&gt;"",COUNTIFS($C$3:$C$1002,C470,$E$3:$E$1002,E470,$F$3:$F$1002,"&lt;&gt;"&amp;F470)+COUNTIFS($C$3:$C$1002,C470,$E$3:$E$1002,E470,$G$3:$G$1002,"&lt;&gt;"&amp;G470)&gt;0),"Design "&amp;E470&amp;" has another Product Type or Category on another row",IF(COUNTIFS($F$3:$F$1002,F470,$G$3:$G$1002,G470,$H$3:$H$1002,"&lt;&gt;"&amp;H470)&gt;0,F470&amp;" + "&amp;G470&amp;" has another HSN Code on another row",IF(AND(V470&lt;&gt;"",U470=""),"Received Qty needs the Vendor Invoice No",IF(AND(U470&lt;&gt;"",COUNTIFS(Bills!$B$3:$B$302,U470,Bills!$C$3:$C$302,C470)=0),"Add bill "&amp;U470&amp;" of "&amp;C470&amp;" on the Bills sheet",IF(S470&lt;R470,"MRP is below the Purchase Rate","OK")))))))))</f>
        <v/>
      </c>
      <c r="B470" s="29"/>
      <c r="C470" s="22"/>
      <c r="D470" s="22"/>
      <c r="E470" s="24"/>
      <c r="F470" s="22"/>
      <c r="G470" s="22"/>
      <c r="H470" s="22"/>
      <c r="I470" s="30" t="str">
        <f>IF(H470="","",IFERROR(INDEX(Codes!$B$2:$B$13,MATCH(H470,Codes!$A$2:$A$13,0)),""))</f>
        <v/>
      </c>
      <c r="J470" s="23"/>
      <c r="K470" s="23"/>
      <c r="L470" s="23"/>
      <c r="M470" s="23"/>
      <c r="N470" s="23"/>
      <c r="O470" s="23"/>
      <c r="P470" s="23"/>
      <c r="Q470" s="31"/>
      <c r="R470" s="32"/>
      <c r="S470" s="32"/>
      <c r="T470" s="33" t="str">
        <f t="shared" si="14"/>
        <v/>
      </c>
      <c r="U470" s="34"/>
      <c r="V470" s="35"/>
      <c r="W470" s="33" t="str">
        <f t="shared" si="15"/>
        <v/>
      </c>
    </row>
    <row r="471" spans="1:23" x14ac:dyDescent="0.35">
      <c r="A471" s="21" t="str">
        <f>IF(COUNTA(B471:H471,J471:S471,U471:V471)=0,"",IF((IF(B471="","PO Ref, ","")&amp;IF(C471="","Vendor, ","")&amp;IF(D471="","Store, ","")&amp;IF(F471="","Product Type, ","")&amp;IF(G471="","Category, ","")&amp;IF(H471="","HSN Code, ","")&amp;IF(Q471="","Qty, ","")&amp;IF(R471="","Purchase Rate, ","")&amp;IF(S471="","MRP, ",""))&lt;&gt;"","Missing: "&amp;LEFT(IF(B471="","PO Ref, ","")&amp;IF(C471="","Vendor, ","")&amp;IF(D471="","Store, ","")&amp;IF(F471="","Product Type, ","")&amp;IF(G471="","Category, ","")&amp;IF(H471="","HSN Code, ","")&amp;IF(Q471="","Qty, ","")&amp;IF(R471="","Purchase Rate, ","")&amp;IF(S471="","MRP, ",""),LEN(IF(B471="","PO Ref, ","")&amp;IF(C471="","Vendor, ","")&amp;IF(D471="","Store, ","")&amp;IF(F471="","Product Type, ","")&amp;IF(G471="","Category, ","")&amp;IF(H471="","HSN Code, ","")&amp;IF(Q471="","Qty, ","")&amp;IF(R471="","Purchase Rate, ","")&amp;IF(S471="","MRP, ",""))-2),IF(COUNTIF(Vendors!$B$3:$B$202,C471)=0,"Add vendor "&amp;C471&amp;" on the Vendors sheet",IF(ISNA(MATCH(H471,Codes!$A$2:$A$13,0)),"Pick the HSN Code from the list",IF(AND(E471&lt;&gt;"",COUNTIFS($C$3:$C$1002,C471,$E$3:$E$1002,E471,$F$3:$F$1002,"&lt;&gt;"&amp;F471)+COUNTIFS($C$3:$C$1002,C471,$E$3:$E$1002,E471,$G$3:$G$1002,"&lt;&gt;"&amp;G471)&gt;0),"Design "&amp;E471&amp;" has another Product Type or Category on another row",IF(COUNTIFS($F$3:$F$1002,F471,$G$3:$G$1002,G471,$H$3:$H$1002,"&lt;&gt;"&amp;H471)&gt;0,F471&amp;" + "&amp;G471&amp;" has another HSN Code on another row",IF(AND(V471&lt;&gt;"",U471=""),"Received Qty needs the Vendor Invoice No",IF(AND(U471&lt;&gt;"",COUNTIFS(Bills!$B$3:$B$302,U471,Bills!$C$3:$C$302,C471)=0),"Add bill "&amp;U471&amp;" of "&amp;C471&amp;" on the Bills sheet",IF(S471&lt;R471,"MRP is below the Purchase Rate","OK")))))))))</f>
        <v/>
      </c>
      <c r="B471" s="29"/>
      <c r="C471" s="22"/>
      <c r="D471" s="22"/>
      <c r="E471" s="24"/>
      <c r="F471" s="22"/>
      <c r="G471" s="22"/>
      <c r="H471" s="22"/>
      <c r="I471" s="30" t="str">
        <f>IF(H471="","",IFERROR(INDEX(Codes!$B$2:$B$13,MATCH(H471,Codes!$A$2:$A$13,0)),""))</f>
        <v/>
      </c>
      <c r="J471" s="23"/>
      <c r="K471" s="23"/>
      <c r="L471" s="23"/>
      <c r="M471" s="23"/>
      <c r="N471" s="23"/>
      <c r="O471" s="23"/>
      <c r="P471" s="23"/>
      <c r="Q471" s="31"/>
      <c r="R471" s="32"/>
      <c r="S471" s="32"/>
      <c r="T471" s="33" t="str">
        <f t="shared" si="14"/>
        <v/>
      </c>
      <c r="U471" s="34"/>
      <c r="V471" s="35"/>
      <c r="W471" s="33" t="str">
        <f t="shared" si="15"/>
        <v/>
      </c>
    </row>
    <row r="472" spans="1:23" x14ac:dyDescent="0.35">
      <c r="A472" s="21" t="str">
        <f>IF(COUNTA(B472:H472,J472:S472,U472:V472)=0,"",IF((IF(B472="","PO Ref, ","")&amp;IF(C472="","Vendor, ","")&amp;IF(D472="","Store, ","")&amp;IF(F472="","Product Type, ","")&amp;IF(G472="","Category, ","")&amp;IF(H472="","HSN Code, ","")&amp;IF(Q472="","Qty, ","")&amp;IF(R472="","Purchase Rate, ","")&amp;IF(S472="","MRP, ",""))&lt;&gt;"","Missing: "&amp;LEFT(IF(B472="","PO Ref, ","")&amp;IF(C472="","Vendor, ","")&amp;IF(D472="","Store, ","")&amp;IF(F472="","Product Type, ","")&amp;IF(G472="","Category, ","")&amp;IF(H472="","HSN Code, ","")&amp;IF(Q472="","Qty, ","")&amp;IF(R472="","Purchase Rate, ","")&amp;IF(S472="","MRP, ",""),LEN(IF(B472="","PO Ref, ","")&amp;IF(C472="","Vendor, ","")&amp;IF(D472="","Store, ","")&amp;IF(F472="","Product Type, ","")&amp;IF(G472="","Category, ","")&amp;IF(H472="","HSN Code, ","")&amp;IF(Q472="","Qty, ","")&amp;IF(R472="","Purchase Rate, ","")&amp;IF(S472="","MRP, ",""))-2),IF(COUNTIF(Vendors!$B$3:$B$202,C472)=0,"Add vendor "&amp;C472&amp;" on the Vendors sheet",IF(ISNA(MATCH(H472,Codes!$A$2:$A$13,0)),"Pick the HSN Code from the list",IF(AND(E472&lt;&gt;"",COUNTIFS($C$3:$C$1002,C472,$E$3:$E$1002,E472,$F$3:$F$1002,"&lt;&gt;"&amp;F472)+COUNTIFS($C$3:$C$1002,C472,$E$3:$E$1002,E472,$G$3:$G$1002,"&lt;&gt;"&amp;G472)&gt;0),"Design "&amp;E472&amp;" has another Product Type or Category on another row",IF(COUNTIFS($F$3:$F$1002,F472,$G$3:$G$1002,G472,$H$3:$H$1002,"&lt;&gt;"&amp;H472)&gt;0,F472&amp;" + "&amp;G472&amp;" has another HSN Code on another row",IF(AND(V472&lt;&gt;"",U472=""),"Received Qty needs the Vendor Invoice No",IF(AND(U472&lt;&gt;"",COUNTIFS(Bills!$B$3:$B$302,U472,Bills!$C$3:$C$302,C472)=0),"Add bill "&amp;U472&amp;" of "&amp;C472&amp;" on the Bills sheet",IF(S472&lt;R472,"MRP is below the Purchase Rate","OK")))))))))</f>
        <v/>
      </c>
      <c r="B472" s="29"/>
      <c r="C472" s="22"/>
      <c r="D472" s="22"/>
      <c r="E472" s="24"/>
      <c r="F472" s="22"/>
      <c r="G472" s="22"/>
      <c r="H472" s="22"/>
      <c r="I472" s="30" t="str">
        <f>IF(H472="","",IFERROR(INDEX(Codes!$B$2:$B$13,MATCH(H472,Codes!$A$2:$A$13,0)),""))</f>
        <v/>
      </c>
      <c r="J472" s="23"/>
      <c r="K472" s="23"/>
      <c r="L472" s="23"/>
      <c r="M472" s="23"/>
      <c r="N472" s="23"/>
      <c r="O472" s="23"/>
      <c r="P472" s="23"/>
      <c r="Q472" s="31"/>
      <c r="R472" s="32"/>
      <c r="S472" s="32"/>
      <c r="T472" s="33" t="str">
        <f t="shared" si="14"/>
        <v/>
      </c>
      <c r="U472" s="34"/>
      <c r="V472" s="35"/>
      <c r="W472" s="33" t="str">
        <f t="shared" si="15"/>
        <v/>
      </c>
    </row>
    <row r="473" spans="1:23" x14ac:dyDescent="0.35">
      <c r="A473" s="21" t="str">
        <f>IF(COUNTA(B473:H473,J473:S473,U473:V473)=0,"",IF((IF(B473="","PO Ref, ","")&amp;IF(C473="","Vendor, ","")&amp;IF(D473="","Store, ","")&amp;IF(F473="","Product Type, ","")&amp;IF(G473="","Category, ","")&amp;IF(H473="","HSN Code, ","")&amp;IF(Q473="","Qty, ","")&amp;IF(R473="","Purchase Rate, ","")&amp;IF(S473="","MRP, ",""))&lt;&gt;"","Missing: "&amp;LEFT(IF(B473="","PO Ref, ","")&amp;IF(C473="","Vendor, ","")&amp;IF(D473="","Store, ","")&amp;IF(F473="","Product Type, ","")&amp;IF(G473="","Category, ","")&amp;IF(H473="","HSN Code, ","")&amp;IF(Q473="","Qty, ","")&amp;IF(R473="","Purchase Rate, ","")&amp;IF(S473="","MRP, ",""),LEN(IF(B473="","PO Ref, ","")&amp;IF(C473="","Vendor, ","")&amp;IF(D473="","Store, ","")&amp;IF(F473="","Product Type, ","")&amp;IF(G473="","Category, ","")&amp;IF(H473="","HSN Code, ","")&amp;IF(Q473="","Qty, ","")&amp;IF(R473="","Purchase Rate, ","")&amp;IF(S473="","MRP, ",""))-2),IF(COUNTIF(Vendors!$B$3:$B$202,C473)=0,"Add vendor "&amp;C473&amp;" on the Vendors sheet",IF(ISNA(MATCH(H473,Codes!$A$2:$A$13,0)),"Pick the HSN Code from the list",IF(AND(E473&lt;&gt;"",COUNTIFS($C$3:$C$1002,C473,$E$3:$E$1002,E473,$F$3:$F$1002,"&lt;&gt;"&amp;F473)+COUNTIFS($C$3:$C$1002,C473,$E$3:$E$1002,E473,$G$3:$G$1002,"&lt;&gt;"&amp;G473)&gt;0),"Design "&amp;E473&amp;" has another Product Type or Category on another row",IF(COUNTIFS($F$3:$F$1002,F473,$G$3:$G$1002,G473,$H$3:$H$1002,"&lt;&gt;"&amp;H473)&gt;0,F473&amp;" + "&amp;G473&amp;" has another HSN Code on another row",IF(AND(V473&lt;&gt;"",U473=""),"Received Qty needs the Vendor Invoice No",IF(AND(U473&lt;&gt;"",COUNTIFS(Bills!$B$3:$B$302,U473,Bills!$C$3:$C$302,C473)=0),"Add bill "&amp;U473&amp;" of "&amp;C473&amp;" on the Bills sheet",IF(S473&lt;R473,"MRP is below the Purchase Rate","OK")))))))))</f>
        <v/>
      </c>
      <c r="B473" s="29"/>
      <c r="C473" s="22"/>
      <c r="D473" s="22"/>
      <c r="E473" s="24"/>
      <c r="F473" s="22"/>
      <c r="G473" s="22"/>
      <c r="H473" s="22"/>
      <c r="I473" s="30" t="str">
        <f>IF(H473="","",IFERROR(INDEX(Codes!$B$2:$B$13,MATCH(H473,Codes!$A$2:$A$13,0)),""))</f>
        <v/>
      </c>
      <c r="J473" s="23"/>
      <c r="K473" s="23"/>
      <c r="L473" s="23"/>
      <c r="M473" s="23"/>
      <c r="N473" s="23"/>
      <c r="O473" s="23"/>
      <c r="P473" s="23"/>
      <c r="Q473" s="31"/>
      <c r="R473" s="32"/>
      <c r="S473" s="32"/>
      <c r="T473" s="33" t="str">
        <f t="shared" si="14"/>
        <v/>
      </c>
      <c r="U473" s="34"/>
      <c r="V473" s="35"/>
      <c r="W473" s="33" t="str">
        <f t="shared" si="15"/>
        <v/>
      </c>
    </row>
    <row r="474" spans="1:23" x14ac:dyDescent="0.35">
      <c r="A474" s="21" t="str">
        <f>IF(COUNTA(B474:H474,J474:S474,U474:V474)=0,"",IF((IF(B474="","PO Ref, ","")&amp;IF(C474="","Vendor, ","")&amp;IF(D474="","Store, ","")&amp;IF(F474="","Product Type, ","")&amp;IF(G474="","Category, ","")&amp;IF(H474="","HSN Code, ","")&amp;IF(Q474="","Qty, ","")&amp;IF(R474="","Purchase Rate, ","")&amp;IF(S474="","MRP, ",""))&lt;&gt;"","Missing: "&amp;LEFT(IF(B474="","PO Ref, ","")&amp;IF(C474="","Vendor, ","")&amp;IF(D474="","Store, ","")&amp;IF(F474="","Product Type, ","")&amp;IF(G474="","Category, ","")&amp;IF(H474="","HSN Code, ","")&amp;IF(Q474="","Qty, ","")&amp;IF(R474="","Purchase Rate, ","")&amp;IF(S474="","MRP, ",""),LEN(IF(B474="","PO Ref, ","")&amp;IF(C474="","Vendor, ","")&amp;IF(D474="","Store, ","")&amp;IF(F474="","Product Type, ","")&amp;IF(G474="","Category, ","")&amp;IF(H474="","HSN Code, ","")&amp;IF(Q474="","Qty, ","")&amp;IF(R474="","Purchase Rate, ","")&amp;IF(S474="","MRP, ",""))-2),IF(COUNTIF(Vendors!$B$3:$B$202,C474)=0,"Add vendor "&amp;C474&amp;" on the Vendors sheet",IF(ISNA(MATCH(H474,Codes!$A$2:$A$13,0)),"Pick the HSN Code from the list",IF(AND(E474&lt;&gt;"",COUNTIFS($C$3:$C$1002,C474,$E$3:$E$1002,E474,$F$3:$F$1002,"&lt;&gt;"&amp;F474)+COUNTIFS($C$3:$C$1002,C474,$E$3:$E$1002,E474,$G$3:$G$1002,"&lt;&gt;"&amp;G474)&gt;0),"Design "&amp;E474&amp;" has another Product Type or Category on another row",IF(COUNTIFS($F$3:$F$1002,F474,$G$3:$G$1002,G474,$H$3:$H$1002,"&lt;&gt;"&amp;H474)&gt;0,F474&amp;" + "&amp;G474&amp;" has another HSN Code on another row",IF(AND(V474&lt;&gt;"",U474=""),"Received Qty needs the Vendor Invoice No",IF(AND(U474&lt;&gt;"",COUNTIFS(Bills!$B$3:$B$302,U474,Bills!$C$3:$C$302,C474)=0),"Add bill "&amp;U474&amp;" of "&amp;C474&amp;" on the Bills sheet",IF(S474&lt;R474,"MRP is below the Purchase Rate","OK")))))))))</f>
        <v/>
      </c>
      <c r="B474" s="29"/>
      <c r="C474" s="22"/>
      <c r="D474" s="22"/>
      <c r="E474" s="24"/>
      <c r="F474" s="22"/>
      <c r="G474" s="22"/>
      <c r="H474" s="22"/>
      <c r="I474" s="30" t="str">
        <f>IF(H474="","",IFERROR(INDEX(Codes!$B$2:$B$13,MATCH(H474,Codes!$A$2:$A$13,0)),""))</f>
        <v/>
      </c>
      <c r="J474" s="23"/>
      <c r="K474" s="23"/>
      <c r="L474" s="23"/>
      <c r="M474" s="23"/>
      <c r="N474" s="23"/>
      <c r="O474" s="23"/>
      <c r="P474" s="23"/>
      <c r="Q474" s="31"/>
      <c r="R474" s="32"/>
      <c r="S474" s="32"/>
      <c r="T474" s="33" t="str">
        <f t="shared" si="14"/>
        <v/>
      </c>
      <c r="U474" s="34"/>
      <c r="V474" s="35"/>
      <c r="W474" s="33" t="str">
        <f t="shared" si="15"/>
        <v/>
      </c>
    </row>
    <row r="475" spans="1:23" x14ac:dyDescent="0.35">
      <c r="A475" s="21" t="str">
        <f>IF(COUNTA(B475:H475,J475:S475,U475:V475)=0,"",IF((IF(B475="","PO Ref, ","")&amp;IF(C475="","Vendor, ","")&amp;IF(D475="","Store, ","")&amp;IF(F475="","Product Type, ","")&amp;IF(G475="","Category, ","")&amp;IF(H475="","HSN Code, ","")&amp;IF(Q475="","Qty, ","")&amp;IF(R475="","Purchase Rate, ","")&amp;IF(S475="","MRP, ",""))&lt;&gt;"","Missing: "&amp;LEFT(IF(B475="","PO Ref, ","")&amp;IF(C475="","Vendor, ","")&amp;IF(D475="","Store, ","")&amp;IF(F475="","Product Type, ","")&amp;IF(G475="","Category, ","")&amp;IF(H475="","HSN Code, ","")&amp;IF(Q475="","Qty, ","")&amp;IF(R475="","Purchase Rate, ","")&amp;IF(S475="","MRP, ",""),LEN(IF(B475="","PO Ref, ","")&amp;IF(C475="","Vendor, ","")&amp;IF(D475="","Store, ","")&amp;IF(F475="","Product Type, ","")&amp;IF(G475="","Category, ","")&amp;IF(H475="","HSN Code, ","")&amp;IF(Q475="","Qty, ","")&amp;IF(R475="","Purchase Rate, ","")&amp;IF(S475="","MRP, ",""))-2),IF(COUNTIF(Vendors!$B$3:$B$202,C475)=0,"Add vendor "&amp;C475&amp;" on the Vendors sheet",IF(ISNA(MATCH(H475,Codes!$A$2:$A$13,0)),"Pick the HSN Code from the list",IF(AND(E475&lt;&gt;"",COUNTIFS($C$3:$C$1002,C475,$E$3:$E$1002,E475,$F$3:$F$1002,"&lt;&gt;"&amp;F475)+COUNTIFS($C$3:$C$1002,C475,$E$3:$E$1002,E475,$G$3:$G$1002,"&lt;&gt;"&amp;G475)&gt;0),"Design "&amp;E475&amp;" has another Product Type or Category on another row",IF(COUNTIFS($F$3:$F$1002,F475,$G$3:$G$1002,G475,$H$3:$H$1002,"&lt;&gt;"&amp;H475)&gt;0,F475&amp;" + "&amp;G475&amp;" has another HSN Code on another row",IF(AND(V475&lt;&gt;"",U475=""),"Received Qty needs the Vendor Invoice No",IF(AND(U475&lt;&gt;"",COUNTIFS(Bills!$B$3:$B$302,U475,Bills!$C$3:$C$302,C475)=0),"Add bill "&amp;U475&amp;" of "&amp;C475&amp;" on the Bills sheet",IF(S475&lt;R475,"MRP is below the Purchase Rate","OK")))))))))</f>
        <v/>
      </c>
      <c r="B475" s="29"/>
      <c r="C475" s="22"/>
      <c r="D475" s="22"/>
      <c r="E475" s="24"/>
      <c r="F475" s="22"/>
      <c r="G475" s="22"/>
      <c r="H475" s="22"/>
      <c r="I475" s="30" t="str">
        <f>IF(H475="","",IFERROR(INDEX(Codes!$B$2:$B$13,MATCH(H475,Codes!$A$2:$A$13,0)),""))</f>
        <v/>
      </c>
      <c r="J475" s="23"/>
      <c r="K475" s="23"/>
      <c r="L475" s="23"/>
      <c r="M475" s="23"/>
      <c r="N475" s="23"/>
      <c r="O475" s="23"/>
      <c r="P475" s="23"/>
      <c r="Q475" s="31"/>
      <c r="R475" s="32"/>
      <c r="S475" s="32"/>
      <c r="T475" s="33" t="str">
        <f t="shared" si="14"/>
        <v/>
      </c>
      <c r="U475" s="34"/>
      <c r="V475" s="35"/>
      <c r="W475" s="33" t="str">
        <f t="shared" si="15"/>
        <v/>
      </c>
    </row>
    <row r="476" spans="1:23" x14ac:dyDescent="0.35">
      <c r="A476" s="21" t="str">
        <f>IF(COUNTA(B476:H476,J476:S476,U476:V476)=0,"",IF((IF(B476="","PO Ref, ","")&amp;IF(C476="","Vendor, ","")&amp;IF(D476="","Store, ","")&amp;IF(F476="","Product Type, ","")&amp;IF(G476="","Category, ","")&amp;IF(H476="","HSN Code, ","")&amp;IF(Q476="","Qty, ","")&amp;IF(R476="","Purchase Rate, ","")&amp;IF(S476="","MRP, ",""))&lt;&gt;"","Missing: "&amp;LEFT(IF(B476="","PO Ref, ","")&amp;IF(C476="","Vendor, ","")&amp;IF(D476="","Store, ","")&amp;IF(F476="","Product Type, ","")&amp;IF(G476="","Category, ","")&amp;IF(H476="","HSN Code, ","")&amp;IF(Q476="","Qty, ","")&amp;IF(R476="","Purchase Rate, ","")&amp;IF(S476="","MRP, ",""),LEN(IF(B476="","PO Ref, ","")&amp;IF(C476="","Vendor, ","")&amp;IF(D476="","Store, ","")&amp;IF(F476="","Product Type, ","")&amp;IF(G476="","Category, ","")&amp;IF(H476="","HSN Code, ","")&amp;IF(Q476="","Qty, ","")&amp;IF(R476="","Purchase Rate, ","")&amp;IF(S476="","MRP, ",""))-2),IF(COUNTIF(Vendors!$B$3:$B$202,C476)=0,"Add vendor "&amp;C476&amp;" on the Vendors sheet",IF(ISNA(MATCH(H476,Codes!$A$2:$A$13,0)),"Pick the HSN Code from the list",IF(AND(E476&lt;&gt;"",COUNTIFS($C$3:$C$1002,C476,$E$3:$E$1002,E476,$F$3:$F$1002,"&lt;&gt;"&amp;F476)+COUNTIFS($C$3:$C$1002,C476,$E$3:$E$1002,E476,$G$3:$G$1002,"&lt;&gt;"&amp;G476)&gt;0),"Design "&amp;E476&amp;" has another Product Type or Category on another row",IF(COUNTIFS($F$3:$F$1002,F476,$G$3:$G$1002,G476,$H$3:$H$1002,"&lt;&gt;"&amp;H476)&gt;0,F476&amp;" + "&amp;G476&amp;" has another HSN Code on another row",IF(AND(V476&lt;&gt;"",U476=""),"Received Qty needs the Vendor Invoice No",IF(AND(U476&lt;&gt;"",COUNTIFS(Bills!$B$3:$B$302,U476,Bills!$C$3:$C$302,C476)=0),"Add bill "&amp;U476&amp;" of "&amp;C476&amp;" on the Bills sheet",IF(S476&lt;R476,"MRP is below the Purchase Rate","OK")))))))))</f>
        <v/>
      </c>
      <c r="B476" s="29"/>
      <c r="C476" s="22"/>
      <c r="D476" s="22"/>
      <c r="E476" s="24"/>
      <c r="F476" s="22"/>
      <c r="G476" s="22"/>
      <c r="H476" s="22"/>
      <c r="I476" s="30" t="str">
        <f>IF(H476="","",IFERROR(INDEX(Codes!$B$2:$B$13,MATCH(H476,Codes!$A$2:$A$13,0)),""))</f>
        <v/>
      </c>
      <c r="J476" s="23"/>
      <c r="K476" s="23"/>
      <c r="L476" s="23"/>
      <c r="M476" s="23"/>
      <c r="N476" s="23"/>
      <c r="O476" s="23"/>
      <c r="P476" s="23"/>
      <c r="Q476" s="31"/>
      <c r="R476" s="32"/>
      <c r="S476" s="32"/>
      <c r="T476" s="33" t="str">
        <f t="shared" si="14"/>
        <v/>
      </c>
      <c r="U476" s="34"/>
      <c r="V476" s="35"/>
      <c r="W476" s="33" t="str">
        <f t="shared" si="15"/>
        <v/>
      </c>
    </row>
    <row r="477" spans="1:23" x14ac:dyDescent="0.35">
      <c r="A477" s="21" t="str">
        <f>IF(COUNTA(B477:H477,J477:S477,U477:V477)=0,"",IF((IF(B477="","PO Ref, ","")&amp;IF(C477="","Vendor, ","")&amp;IF(D477="","Store, ","")&amp;IF(F477="","Product Type, ","")&amp;IF(G477="","Category, ","")&amp;IF(H477="","HSN Code, ","")&amp;IF(Q477="","Qty, ","")&amp;IF(R477="","Purchase Rate, ","")&amp;IF(S477="","MRP, ",""))&lt;&gt;"","Missing: "&amp;LEFT(IF(B477="","PO Ref, ","")&amp;IF(C477="","Vendor, ","")&amp;IF(D477="","Store, ","")&amp;IF(F477="","Product Type, ","")&amp;IF(G477="","Category, ","")&amp;IF(H477="","HSN Code, ","")&amp;IF(Q477="","Qty, ","")&amp;IF(R477="","Purchase Rate, ","")&amp;IF(S477="","MRP, ",""),LEN(IF(B477="","PO Ref, ","")&amp;IF(C477="","Vendor, ","")&amp;IF(D477="","Store, ","")&amp;IF(F477="","Product Type, ","")&amp;IF(G477="","Category, ","")&amp;IF(H477="","HSN Code, ","")&amp;IF(Q477="","Qty, ","")&amp;IF(R477="","Purchase Rate, ","")&amp;IF(S477="","MRP, ",""))-2),IF(COUNTIF(Vendors!$B$3:$B$202,C477)=0,"Add vendor "&amp;C477&amp;" on the Vendors sheet",IF(ISNA(MATCH(H477,Codes!$A$2:$A$13,0)),"Pick the HSN Code from the list",IF(AND(E477&lt;&gt;"",COUNTIFS($C$3:$C$1002,C477,$E$3:$E$1002,E477,$F$3:$F$1002,"&lt;&gt;"&amp;F477)+COUNTIFS($C$3:$C$1002,C477,$E$3:$E$1002,E477,$G$3:$G$1002,"&lt;&gt;"&amp;G477)&gt;0),"Design "&amp;E477&amp;" has another Product Type or Category on another row",IF(COUNTIFS($F$3:$F$1002,F477,$G$3:$G$1002,G477,$H$3:$H$1002,"&lt;&gt;"&amp;H477)&gt;0,F477&amp;" + "&amp;G477&amp;" has another HSN Code on another row",IF(AND(V477&lt;&gt;"",U477=""),"Received Qty needs the Vendor Invoice No",IF(AND(U477&lt;&gt;"",COUNTIFS(Bills!$B$3:$B$302,U477,Bills!$C$3:$C$302,C477)=0),"Add bill "&amp;U477&amp;" of "&amp;C477&amp;" on the Bills sheet",IF(S477&lt;R477,"MRP is below the Purchase Rate","OK")))))))))</f>
        <v/>
      </c>
      <c r="B477" s="29"/>
      <c r="C477" s="22"/>
      <c r="D477" s="22"/>
      <c r="E477" s="24"/>
      <c r="F477" s="22"/>
      <c r="G477" s="22"/>
      <c r="H477" s="22"/>
      <c r="I477" s="30" t="str">
        <f>IF(H477="","",IFERROR(INDEX(Codes!$B$2:$B$13,MATCH(H477,Codes!$A$2:$A$13,0)),""))</f>
        <v/>
      </c>
      <c r="J477" s="23"/>
      <c r="K477" s="23"/>
      <c r="L477" s="23"/>
      <c r="M477" s="23"/>
      <c r="N477" s="23"/>
      <c r="O477" s="23"/>
      <c r="P477" s="23"/>
      <c r="Q477" s="31"/>
      <c r="R477" s="32"/>
      <c r="S477" s="32"/>
      <c r="T477" s="33" t="str">
        <f t="shared" si="14"/>
        <v/>
      </c>
      <c r="U477" s="34"/>
      <c r="V477" s="35"/>
      <c r="W477" s="33" t="str">
        <f t="shared" si="15"/>
        <v/>
      </c>
    </row>
    <row r="478" spans="1:23" x14ac:dyDescent="0.35">
      <c r="A478" s="21" t="str">
        <f>IF(COUNTA(B478:H478,J478:S478,U478:V478)=0,"",IF((IF(B478="","PO Ref, ","")&amp;IF(C478="","Vendor, ","")&amp;IF(D478="","Store, ","")&amp;IF(F478="","Product Type, ","")&amp;IF(G478="","Category, ","")&amp;IF(H478="","HSN Code, ","")&amp;IF(Q478="","Qty, ","")&amp;IF(R478="","Purchase Rate, ","")&amp;IF(S478="","MRP, ",""))&lt;&gt;"","Missing: "&amp;LEFT(IF(B478="","PO Ref, ","")&amp;IF(C478="","Vendor, ","")&amp;IF(D478="","Store, ","")&amp;IF(F478="","Product Type, ","")&amp;IF(G478="","Category, ","")&amp;IF(H478="","HSN Code, ","")&amp;IF(Q478="","Qty, ","")&amp;IF(R478="","Purchase Rate, ","")&amp;IF(S478="","MRP, ",""),LEN(IF(B478="","PO Ref, ","")&amp;IF(C478="","Vendor, ","")&amp;IF(D478="","Store, ","")&amp;IF(F478="","Product Type, ","")&amp;IF(G478="","Category, ","")&amp;IF(H478="","HSN Code, ","")&amp;IF(Q478="","Qty, ","")&amp;IF(R478="","Purchase Rate, ","")&amp;IF(S478="","MRP, ",""))-2),IF(COUNTIF(Vendors!$B$3:$B$202,C478)=0,"Add vendor "&amp;C478&amp;" on the Vendors sheet",IF(ISNA(MATCH(H478,Codes!$A$2:$A$13,0)),"Pick the HSN Code from the list",IF(AND(E478&lt;&gt;"",COUNTIFS($C$3:$C$1002,C478,$E$3:$E$1002,E478,$F$3:$F$1002,"&lt;&gt;"&amp;F478)+COUNTIFS($C$3:$C$1002,C478,$E$3:$E$1002,E478,$G$3:$G$1002,"&lt;&gt;"&amp;G478)&gt;0),"Design "&amp;E478&amp;" has another Product Type or Category on another row",IF(COUNTIFS($F$3:$F$1002,F478,$G$3:$G$1002,G478,$H$3:$H$1002,"&lt;&gt;"&amp;H478)&gt;0,F478&amp;" + "&amp;G478&amp;" has another HSN Code on another row",IF(AND(V478&lt;&gt;"",U478=""),"Received Qty needs the Vendor Invoice No",IF(AND(U478&lt;&gt;"",COUNTIFS(Bills!$B$3:$B$302,U478,Bills!$C$3:$C$302,C478)=0),"Add bill "&amp;U478&amp;" of "&amp;C478&amp;" on the Bills sheet",IF(S478&lt;R478,"MRP is below the Purchase Rate","OK")))))))))</f>
        <v/>
      </c>
      <c r="B478" s="29"/>
      <c r="C478" s="22"/>
      <c r="D478" s="22"/>
      <c r="E478" s="24"/>
      <c r="F478" s="22"/>
      <c r="G478" s="22"/>
      <c r="H478" s="22"/>
      <c r="I478" s="30" t="str">
        <f>IF(H478="","",IFERROR(INDEX(Codes!$B$2:$B$13,MATCH(H478,Codes!$A$2:$A$13,0)),""))</f>
        <v/>
      </c>
      <c r="J478" s="23"/>
      <c r="K478" s="23"/>
      <c r="L478" s="23"/>
      <c r="M478" s="23"/>
      <c r="N478" s="23"/>
      <c r="O478" s="23"/>
      <c r="P478" s="23"/>
      <c r="Q478" s="31"/>
      <c r="R478" s="32"/>
      <c r="S478" s="32"/>
      <c r="T478" s="33" t="str">
        <f t="shared" si="14"/>
        <v/>
      </c>
      <c r="U478" s="34"/>
      <c r="V478" s="35"/>
      <c r="W478" s="33" t="str">
        <f t="shared" si="15"/>
        <v/>
      </c>
    </row>
    <row r="479" spans="1:23" x14ac:dyDescent="0.35">
      <c r="A479" s="21" t="str">
        <f>IF(COUNTA(B479:H479,J479:S479,U479:V479)=0,"",IF((IF(B479="","PO Ref, ","")&amp;IF(C479="","Vendor, ","")&amp;IF(D479="","Store, ","")&amp;IF(F479="","Product Type, ","")&amp;IF(G479="","Category, ","")&amp;IF(H479="","HSN Code, ","")&amp;IF(Q479="","Qty, ","")&amp;IF(R479="","Purchase Rate, ","")&amp;IF(S479="","MRP, ",""))&lt;&gt;"","Missing: "&amp;LEFT(IF(B479="","PO Ref, ","")&amp;IF(C479="","Vendor, ","")&amp;IF(D479="","Store, ","")&amp;IF(F479="","Product Type, ","")&amp;IF(G479="","Category, ","")&amp;IF(H479="","HSN Code, ","")&amp;IF(Q479="","Qty, ","")&amp;IF(R479="","Purchase Rate, ","")&amp;IF(S479="","MRP, ",""),LEN(IF(B479="","PO Ref, ","")&amp;IF(C479="","Vendor, ","")&amp;IF(D479="","Store, ","")&amp;IF(F479="","Product Type, ","")&amp;IF(G479="","Category, ","")&amp;IF(H479="","HSN Code, ","")&amp;IF(Q479="","Qty, ","")&amp;IF(R479="","Purchase Rate, ","")&amp;IF(S479="","MRP, ",""))-2),IF(COUNTIF(Vendors!$B$3:$B$202,C479)=0,"Add vendor "&amp;C479&amp;" on the Vendors sheet",IF(ISNA(MATCH(H479,Codes!$A$2:$A$13,0)),"Pick the HSN Code from the list",IF(AND(E479&lt;&gt;"",COUNTIFS($C$3:$C$1002,C479,$E$3:$E$1002,E479,$F$3:$F$1002,"&lt;&gt;"&amp;F479)+COUNTIFS($C$3:$C$1002,C479,$E$3:$E$1002,E479,$G$3:$G$1002,"&lt;&gt;"&amp;G479)&gt;0),"Design "&amp;E479&amp;" has another Product Type or Category on another row",IF(COUNTIFS($F$3:$F$1002,F479,$G$3:$G$1002,G479,$H$3:$H$1002,"&lt;&gt;"&amp;H479)&gt;0,F479&amp;" + "&amp;G479&amp;" has another HSN Code on another row",IF(AND(V479&lt;&gt;"",U479=""),"Received Qty needs the Vendor Invoice No",IF(AND(U479&lt;&gt;"",COUNTIFS(Bills!$B$3:$B$302,U479,Bills!$C$3:$C$302,C479)=0),"Add bill "&amp;U479&amp;" of "&amp;C479&amp;" on the Bills sheet",IF(S479&lt;R479,"MRP is below the Purchase Rate","OK")))))))))</f>
        <v/>
      </c>
      <c r="B479" s="29"/>
      <c r="C479" s="22"/>
      <c r="D479" s="22"/>
      <c r="E479" s="24"/>
      <c r="F479" s="22"/>
      <c r="G479" s="22"/>
      <c r="H479" s="22"/>
      <c r="I479" s="30" t="str">
        <f>IF(H479="","",IFERROR(INDEX(Codes!$B$2:$B$13,MATCH(H479,Codes!$A$2:$A$13,0)),""))</f>
        <v/>
      </c>
      <c r="J479" s="23"/>
      <c r="K479" s="23"/>
      <c r="L479" s="23"/>
      <c r="M479" s="23"/>
      <c r="N479" s="23"/>
      <c r="O479" s="23"/>
      <c r="P479" s="23"/>
      <c r="Q479" s="31"/>
      <c r="R479" s="32"/>
      <c r="S479" s="32"/>
      <c r="T479" s="33" t="str">
        <f t="shared" si="14"/>
        <v/>
      </c>
      <c r="U479" s="34"/>
      <c r="V479" s="35"/>
      <c r="W479" s="33" t="str">
        <f t="shared" si="15"/>
        <v/>
      </c>
    </row>
    <row r="480" spans="1:23" x14ac:dyDescent="0.35">
      <c r="A480" s="21" t="str">
        <f>IF(COUNTA(B480:H480,J480:S480,U480:V480)=0,"",IF((IF(B480="","PO Ref, ","")&amp;IF(C480="","Vendor, ","")&amp;IF(D480="","Store, ","")&amp;IF(F480="","Product Type, ","")&amp;IF(G480="","Category, ","")&amp;IF(H480="","HSN Code, ","")&amp;IF(Q480="","Qty, ","")&amp;IF(R480="","Purchase Rate, ","")&amp;IF(S480="","MRP, ",""))&lt;&gt;"","Missing: "&amp;LEFT(IF(B480="","PO Ref, ","")&amp;IF(C480="","Vendor, ","")&amp;IF(D480="","Store, ","")&amp;IF(F480="","Product Type, ","")&amp;IF(G480="","Category, ","")&amp;IF(H480="","HSN Code, ","")&amp;IF(Q480="","Qty, ","")&amp;IF(R480="","Purchase Rate, ","")&amp;IF(S480="","MRP, ",""),LEN(IF(B480="","PO Ref, ","")&amp;IF(C480="","Vendor, ","")&amp;IF(D480="","Store, ","")&amp;IF(F480="","Product Type, ","")&amp;IF(G480="","Category, ","")&amp;IF(H480="","HSN Code, ","")&amp;IF(Q480="","Qty, ","")&amp;IF(R480="","Purchase Rate, ","")&amp;IF(S480="","MRP, ",""))-2),IF(COUNTIF(Vendors!$B$3:$B$202,C480)=0,"Add vendor "&amp;C480&amp;" on the Vendors sheet",IF(ISNA(MATCH(H480,Codes!$A$2:$A$13,0)),"Pick the HSN Code from the list",IF(AND(E480&lt;&gt;"",COUNTIFS($C$3:$C$1002,C480,$E$3:$E$1002,E480,$F$3:$F$1002,"&lt;&gt;"&amp;F480)+COUNTIFS($C$3:$C$1002,C480,$E$3:$E$1002,E480,$G$3:$G$1002,"&lt;&gt;"&amp;G480)&gt;0),"Design "&amp;E480&amp;" has another Product Type or Category on another row",IF(COUNTIFS($F$3:$F$1002,F480,$G$3:$G$1002,G480,$H$3:$H$1002,"&lt;&gt;"&amp;H480)&gt;0,F480&amp;" + "&amp;G480&amp;" has another HSN Code on another row",IF(AND(V480&lt;&gt;"",U480=""),"Received Qty needs the Vendor Invoice No",IF(AND(U480&lt;&gt;"",COUNTIFS(Bills!$B$3:$B$302,U480,Bills!$C$3:$C$302,C480)=0),"Add bill "&amp;U480&amp;" of "&amp;C480&amp;" on the Bills sheet",IF(S480&lt;R480,"MRP is below the Purchase Rate","OK")))))))))</f>
        <v/>
      </c>
      <c r="B480" s="29"/>
      <c r="C480" s="22"/>
      <c r="D480" s="22"/>
      <c r="E480" s="24"/>
      <c r="F480" s="22"/>
      <c r="G480" s="22"/>
      <c r="H480" s="22"/>
      <c r="I480" s="30" t="str">
        <f>IF(H480="","",IFERROR(INDEX(Codes!$B$2:$B$13,MATCH(H480,Codes!$A$2:$A$13,0)),""))</f>
        <v/>
      </c>
      <c r="J480" s="23"/>
      <c r="K480" s="23"/>
      <c r="L480" s="23"/>
      <c r="M480" s="23"/>
      <c r="N480" s="23"/>
      <c r="O480" s="23"/>
      <c r="P480" s="23"/>
      <c r="Q480" s="31"/>
      <c r="R480" s="32"/>
      <c r="S480" s="32"/>
      <c r="T480" s="33" t="str">
        <f t="shared" si="14"/>
        <v/>
      </c>
      <c r="U480" s="34"/>
      <c r="V480" s="35"/>
      <c r="W480" s="33" t="str">
        <f t="shared" si="15"/>
        <v/>
      </c>
    </row>
    <row r="481" spans="1:23" x14ac:dyDescent="0.35">
      <c r="A481" s="21" t="str">
        <f>IF(COUNTA(B481:H481,J481:S481,U481:V481)=0,"",IF((IF(B481="","PO Ref, ","")&amp;IF(C481="","Vendor, ","")&amp;IF(D481="","Store, ","")&amp;IF(F481="","Product Type, ","")&amp;IF(G481="","Category, ","")&amp;IF(H481="","HSN Code, ","")&amp;IF(Q481="","Qty, ","")&amp;IF(R481="","Purchase Rate, ","")&amp;IF(S481="","MRP, ",""))&lt;&gt;"","Missing: "&amp;LEFT(IF(B481="","PO Ref, ","")&amp;IF(C481="","Vendor, ","")&amp;IF(D481="","Store, ","")&amp;IF(F481="","Product Type, ","")&amp;IF(G481="","Category, ","")&amp;IF(H481="","HSN Code, ","")&amp;IF(Q481="","Qty, ","")&amp;IF(R481="","Purchase Rate, ","")&amp;IF(S481="","MRP, ",""),LEN(IF(B481="","PO Ref, ","")&amp;IF(C481="","Vendor, ","")&amp;IF(D481="","Store, ","")&amp;IF(F481="","Product Type, ","")&amp;IF(G481="","Category, ","")&amp;IF(H481="","HSN Code, ","")&amp;IF(Q481="","Qty, ","")&amp;IF(R481="","Purchase Rate, ","")&amp;IF(S481="","MRP, ",""))-2),IF(COUNTIF(Vendors!$B$3:$B$202,C481)=0,"Add vendor "&amp;C481&amp;" on the Vendors sheet",IF(ISNA(MATCH(H481,Codes!$A$2:$A$13,0)),"Pick the HSN Code from the list",IF(AND(E481&lt;&gt;"",COUNTIFS($C$3:$C$1002,C481,$E$3:$E$1002,E481,$F$3:$F$1002,"&lt;&gt;"&amp;F481)+COUNTIFS($C$3:$C$1002,C481,$E$3:$E$1002,E481,$G$3:$G$1002,"&lt;&gt;"&amp;G481)&gt;0),"Design "&amp;E481&amp;" has another Product Type or Category on another row",IF(COUNTIFS($F$3:$F$1002,F481,$G$3:$G$1002,G481,$H$3:$H$1002,"&lt;&gt;"&amp;H481)&gt;0,F481&amp;" + "&amp;G481&amp;" has another HSN Code on another row",IF(AND(V481&lt;&gt;"",U481=""),"Received Qty needs the Vendor Invoice No",IF(AND(U481&lt;&gt;"",COUNTIFS(Bills!$B$3:$B$302,U481,Bills!$C$3:$C$302,C481)=0),"Add bill "&amp;U481&amp;" of "&amp;C481&amp;" on the Bills sheet",IF(S481&lt;R481,"MRP is below the Purchase Rate","OK")))))))))</f>
        <v/>
      </c>
      <c r="B481" s="29"/>
      <c r="C481" s="22"/>
      <c r="D481" s="22"/>
      <c r="E481" s="24"/>
      <c r="F481" s="22"/>
      <c r="G481" s="22"/>
      <c r="H481" s="22"/>
      <c r="I481" s="30" t="str">
        <f>IF(H481="","",IFERROR(INDEX(Codes!$B$2:$B$13,MATCH(H481,Codes!$A$2:$A$13,0)),""))</f>
        <v/>
      </c>
      <c r="J481" s="23"/>
      <c r="K481" s="23"/>
      <c r="L481" s="23"/>
      <c r="M481" s="23"/>
      <c r="N481" s="23"/>
      <c r="O481" s="23"/>
      <c r="P481" s="23"/>
      <c r="Q481" s="31"/>
      <c r="R481" s="32"/>
      <c r="S481" s="32"/>
      <c r="T481" s="33" t="str">
        <f t="shared" si="14"/>
        <v/>
      </c>
      <c r="U481" s="34"/>
      <c r="V481" s="35"/>
      <c r="W481" s="33" t="str">
        <f t="shared" si="15"/>
        <v/>
      </c>
    </row>
    <row r="482" spans="1:23" x14ac:dyDescent="0.35">
      <c r="A482" s="21" t="str">
        <f>IF(COUNTA(B482:H482,J482:S482,U482:V482)=0,"",IF((IF(B482="","PO Ref, ","")&amp;IF(C482="","Vendor, ","")&amp;IF(D482="","Store, ","")&amp;IF(F482="","Product Type, ","")&amp;IF(G482="","Category, ","")&amp;IF(H482="","HSN Code, ","")&amp;IF(Q482="","Qty, ","")&amp;IF(R482="","Purchase Rate, ","")&amp;IF(S482="","MRP, ",""))&lt;&gt;"","Missing: "&amp;LEFT(IF(B482="","PO Ref, ","")&amp;IF(C482="","Vendor, ","")&amp;IF(D482="","Store, ","")&amp;IF(F482="","Product Type, ","")&amp;IF(G482="","Category, ","")&amp;IF(H482="","HSN Code, ","")&amp;IF(Q482="","Qty, ","")&amp;IF(R482="","Purchase Rate, ","")&amp;IF(S482="","MRP, ",""),LEN(IF(B482="","PO Ref, ","")&amp;IF(C482="","Vendor, ","")&amp;IF(D482="","Store, ","")&amp;IF(F482="","Product Type, ","")&amp;IF(G482="","Category, ","")&amp;IF(H482="","HSN Code, ","")&amp;IF(Q482="","Qty, ","")&amp;IF(R482="","Purchase Rate, ","")&amp;IF(S482="","MRP, ",""))-2),IF(COUNTIF(Vendors!$B$3:$B$202,C482)=0,"Add vendor "&amp;C482&amp;" on the Vendors sheet",IF(ISNA(MATCH(H482,Codes!$A$2:$A$13,0)),"Pick the HSN Code from the list",IF(AND(E482&lt;&gt;"",COUNTIFS($C$3:$C$1002,C482,$E$3:$E$1002,E482,$F$3:$F$1002,"&lt;&gt;"&amp;F482)+COUNTIFS($C$3:$C$1002,C482,$E$3:$E$1002,E482,$G$3:$G$1002,"&lt;&gt;"&amp;G482)&gt;0),"Design "&amp;E482&amp;" has another Product Type or Category on another row",IF(COUNTIFS($F$3:$F$1002,F482,$G$3:$G$1002,G482,$H$3:$H$1002,"&lt;&gt;"&amp;H482)&gt;0,F482&amp;" + "&amp;G482&amp;" has another HSN Code on another row",IF(AND(V482&lt;&gt;"",U482=""),"Received Qty needs the Vendor Invoice No",IF(AND(U482&lt;&gt;"",COUNTIFS(Bills!$B$3:$B$302,U482,Bills!$C$3:$C$302,C482)=0),"Add bill "&amp;U482&amp;" of "&amp;C482&amp;" on the Bills sheet",IF(S482&lt;R482,"MRP is below the Purchase Rate","OK")))))))))</f>
        <v/>
      </c>
      <c r="B482" s="29"/>
      <c r="C482" s="22"/>
      <c r="D482" s="22"/>
      <c r="E482" s="24"/>
      <c r="F482" s="22"/>
      <c r="G482" s="22"/>
      <c r="H482" s="22"/>
      <c r="I482" s="30" t="str">
        <f>IF(H482="","",IFERROR(INDEX(Codes!$B$2:$B$13,MATCH(H482,Codes!$A$2:$A$13,0)),""))</f>
        <v/>
      </c>
      <c r="J482" s="23"/>
      <c r="K482" s="23"/>
      <c r="L482" s="23"/>
      <c r="M482" s="23"/>
      <c r="N482" s="23"/>
      <c r="O482" s="23"/>
      <c r="P482" s="23"/>
      <c r="Q482" s="31"/>
      <c r="R482" s="32"/>
      <c r="S482" s="32"/>
      <c r="T482" s="33" t="str">
        <f t="shared" si="14"/>
        <v/>
      </c>
      <c r="U482" s="34"/>
      <c r="V482" s="35"/>
      <c r="W482" s="33" t="str">
        <f t="shared" si="15"/>
        <v/>
      </c>
    </row>
    <row r="483" spans="1:23" x14ac:dyDescent="0.35">
      <c r="A483" s="21" t="str">
        <f>IF(COUNTA(B483:H483,J483:S483,U483:V483)=0,"",IF((IF(B483="","PO Ref, ","")&amp;IF(C483="","Vendor, ","")&amp;IF(D483="","Store, ","")&amp;IF(F483="","Product Type, ","")&amp;IF(G483="","Category, ","")&amp;IF(H483="","HSN Code, ","")&amp;IF(Q483="","Qty, ","")&amp;IF(R483="","Purchase Rate, ","")&amp;IF(S483="","MRP, ",""))&lt;&gt;"","Missing: "&amp;LEFT(IF(B483="","PO Ref, ","")&amp;IF(C483="","Vendor, ","")&amp;IF(D483="","Store, ","")&amp;IF(F483="","Product Type, ","")&amp;IF(G483="","Category, ","")&amp;IF(H483="","HSN Code, ","")&amp;IF(Q483="","Qty, ","")&amp;IF(R483="","Purchase Rate, ","")&amp;IF(S483="","MRP, ",""),LEN(IF(B483="","PO Ref, ","")&amp;IF(C483="","Vendor, ","")&amp;IF(D483="","Store, ","")&amp;IF(F483="","Product Type, ","")&amp;IF(G483="","Category, ","")&amp;IF(H483="","HSN Code, ","")&amp;IF(Q483="","Qty, ","")&amp;IF(R483="","Purchase Rate, ","")&amp;IF(S483="","MRP, ",""))-2),IF(COUNTIF(Vendors!$B$3:$B$202,C483)=0,"Add vendor "&amp;C483&amp;" on the Vendors sheet",IF(ISNA(MATCH(H483,Codes!$A$2:$A$13,0)),"Pick the HSN Code from the list",IF(AND(E483&lt;&gt;"",COUNTIFS($C$3:$C$1002,C483,$E$3:$E$1002,E483,$F$3:$F$1002,"&lt;&gt;"&amp;F483)+COUNTIFS($C$3:$C$1002,C483,$E$3:$E$1002,E483,$G$3:$G$1002,"&lt;&gt;"&amp;G483)&gt;0),"Design "&amp;E483&amp;" has another Product Type or Category on another row",IF(COUNTIFS($F$3:$F$1002,F483,$G$3:$G$1002,G483,$H$3:$H$1002,"&lt;&gt;"&amp;H483)&gt;0,F483&amp;" + "&amp;G483&amp;" has another HSN Code on another row",IF(AND(V483&lt;&gt;"",U483=""),"Received Qty needs the Vendor Invoice No",IF(AND(U483&lt;&gt;"",COUNTIFS(Bills!$B$3:$B$302,U483,Bills!$C$3:$C$302,C483)=0),"Add bill "&amp;U483&amp;" of "&amp;C483&amp;" on the Bills sheet",IF(S483&lt;R483,"MRP is below the Purchase Rate","OK")))))))))</f>
        <v/>
      </c>
      <c r="B483" s="29"/>
      <c r="C483" s="22"/>
      <c r="D483" s="22"/>
      <c r="E483" s="24"/>
      <c r="F483" s="22"/>
      <c r="G483" s="22"/>
      <c r="H483" s="22"/>
      <c r="I483" s="30" t="str">
        <f>IF(H483="","",IFERROR(INDEX(Codes!$B$2:$B$13,MATCH(H483,Codes!$A$2:$A$13,0)),""))</f>
        <v/>
      </c>
      <c r="J483" s="23"/>
      <c r="K483" s="23"/>
      <c r="L483" s="23"/>
      <c r="M483" s="23"/>
      <c r="N483" s="23"/>
      <c r="O483" s="23"/>
      <c r="P483" s="23"/>
      <c r="Q483" s="31"/>
      <c r="R483" s="32"/>
      <c r="S483" s="32"/>
      <c r="T483" s="33" t="str">
        <f t="shared" si="14"/>
        <v/>
      </c>
      <c r="U483" s="34"/>
      <c r="V483" s="35"/>
      <c r="W483" s="33" t="str">
        <f t="shared" si="15"/>
        <v/>
      </c>
    </row>
    <row r="484" spans="1:23" x14ac:dyDescent="0.35">
      <c r="A484" s="21" t="str">
        <f>IF(COUNTA(B484:H484,J484:S484,U484:V484)=0,"",IF((IF(B484="","PO Ref, ","")&amp;IF(C484="","Vendor, ","")&amp;IF(D484="","Store, ","")&amp;IF(F484="","Product Type, ","")&amp;IF(G484="","Category, ","")&amp;IF(H484="","HSN Code, ","")&amp;IF(Q484="","Qty, ","")&amp;IF(R484="","Purchase Rate, ","")&amp;IF(S484="","MRP, ",""))&lt;&gt;"","Missing: "&amp;LEFT(IF(B484="","PO Ref, ","")&amp;IF(C484="","Vendor, ","")&amp;IF(D484="","Store, ","")&amp;IF(F484="","Product Type, ","")&amp;IF(G484="","Category, ","")&amp;IF(H484="","HSN Code, ","")&amp;IF(Q484="","Qty, ","")&amp;IF(R484="","Purchase Rate, ","")&amp;IF(S484="","MRP, ",""),LEN(IF(B484="","PO Ref, ","")&amp;IF(C484="","Vendor, ","")&amp;IF(D484="","Store, ","")&amp;IF(F484="","Product Type, ","")&amp;IF(G484="","Category, ","")&amp;IF(H484="","HSN Code, ","")&amp;IF(Q484="","Qty, ","")&amp;IF(R484="","Purchase Rate, ","")&amp;IF(S484="","MRP, ",""))-2),IF(COUNTIF(Vendors!$B$3:$B$202,C484)=0,"Add vendor "&amp;C484&amp;" on the Vendors sheet",IF(ISNA(MATCH(H484,Codes!$A$2:$A$13,0)),"Pick the HSN Code from the list",IF(AND(E484&lt;&gt;"",COUNTIFS($C$3:$C$1002,C484,$E$3:$E$1002,E484,$F$3:$F$1002,"&lt;&gt;"&amp;F484)+COUNTIFS($C$3:$C$1002,C484,$E$3:$E$1002,E484,$G$3:$G$1002,"&lt;&gt;"&amp;G484)&gt;0),"Design "&amp;E484&amp;" has another Product Type or Category on another row",IF(COUNTIFS($F$3:$F$1002,F484,$G$3:$G$1002,G484,$H$3:$H$1002,"&lt;&gt;"&amp;H484)&gt;0,F484&amp;" + "&amp;G484&amp;" has another HSN Code on another row",IF(AND(V484&lt;&gt;"",U484=""),"Received Qty needs the Vendor Invoice No",IF(AND(U484&lt;&gt;"",COUNTIFS(Bills!$B$3:$B$302,U484,Bills!$C$3:$C$302,C484)=0),"Add bill "&amp;U484&amp;" of "&amp;C484&amp;" on the Bills sheet",IF(S484&lt;R484,"MRP is below the Purchase Rate","OK")))))))))</f>
        <v/>
      </c>
      <c r="B484" s="29"/>
      <c r="C484" s="22"/>
      <c r="D484" s="22"/>
      <c r="E484" s="24"/>
      <c r="F484" s="22"/>
      <c r="G484" s="22"/>
      <c r="H484" s="22"/>
      <c r="I484" s="30" t="str">
        <f>IF(H484="","",IFERROR(INDEX(Codes!$B$2:$B$13,MATCH(H484,Codes!$A$2:$A$13,0)),""))</f>
        <v/>
      </c>
      <c r="J484" s="23"/>
      <c r="K484" s="23"/>
      <c r="L484" s="23"/>
      <c r="M484" s="23"/>
      <c r="N484" s="23"/>
      <c r="O484" s="23"/>
      <c r="P484" s="23"/>
      <c r="Q484" s="31"/>
      <c r="R484" s="32"/>
      <c r="S484" s="32"/>
      <c r="T484" s="33" t="str">
        <f t="shared" si="14"/>
        <v/>
      </c>
      <c r="U484" s="34"/>
      <c r="V484" s="35"/>
      <c r="W484" s="33" t="str">
        <f t="shared" si="15"/>
        <v/>
      </c>
    </row>
    <row r="485" spans="1:23" x14ac:dyDescent="0.35">
      <c r="A485" s="21" t="str">
        <f>IF(COUNTA(B485:H485,J485:S485,U485:V485)=0,"",IF((IF(B485="","PO Ref, ","")&amp;IF(C485="","Vendor, ","")&amp;IF(D485="","Store, ","")&amp;IF(F485="","Product Type, ","")&amp;IF(G485="","Category, ","")&amp;IF(H485="","HSN Code, ","")&amp;IF(Q485="","Qty, ","")&amp;IF(R485="","Purchase Rate, ","")&amp;IF(S485="","MRP, ",""))&lt;&gt;"","Missing: "&amp;LEFT(IF(B485="","PO Ref, ","")&amp;IF(C485="","Vendor, ","")&amp;IF(D485="","Store, ","")&amp;IF(F485="","Product Type, ","")&amp;IF(G485="","Category, ","")&amp;IF(H485="","HSN Code, ","")&amp;IF(Q485="","Qty, ","")&amp;IF(R485="","Purchase Rate, ","")&amp;IF(S485="","MRP, ",""),LEN(IF(B485="","PO Ref, ","")&amp;IF(C485="","Vendor, ","")&amp;IF(D485="","Store, ","")&amp;IF(F485="","Product Type, ","")&amp;IF(G485="","Category, ","")&amp;IF(H485="","HSN Code, ","")&amp;IF(Q485="","Qty, ","")&amp;IF(R485="","Purchase Rate, ","")&amp;IF(S485="","MRP, ",""))-2),IF(COUNTIF(Vendors!$B$3:$B$202,C485)=0,"Add vendor "&amp;C485&amp;" on the Vendors sheet",IF(ISNA(MATCH(H485,Codes!$A$2:$A$13,0)),"Pick the HSN Code from the list",IF(AND(E485&lt;&gt;"",COUNTIFS($C$3:$C$1002,C485,$E$3:$E$1002,E485,$F$3:$F$1002,"&lt;&gt;"&amp;F485)+COUNTIFS($C$3:$C$1002,C485,$E$3:$E$1002,E485,$G$3:$G$1002,"&lt;&gt;"&amp;G485)&gt;0),"Design "&amp;E485&amp;" has another Product Type or Category on another row",IF(COUNTIFS($F$3:$F$1002,F485,$G$3:$G$1002,G485,$H$3:$H$1002,"&lt;&gt;"&amp;H485)&gt;0,F485&amp;" + "&amp;G485&amp;" has another HSN Code on another row",IF(AND(V485&lt;&gt;"",U485=""),"Received Qty needs the Vendor Invoice No",IF(AND(U485&lt;&gt;"",COUNTIFS(Bills!$B$3:$B$302,U485,Bills!$C$3:$C$302,C485)=0),"Add bill "&amp;U485&amp;" of "&amp;C485&amp;" on the Bills sheet",IF(S485&lt;R485,"MRP is below the Purchase Rate","OK")))))))))</f>
        <v/>
      </c>
      <c r="B485" s="29"/>
      <c r="C485" s="22"/>
      <c r="D485" s="22"/>
      <c r="E485" s="24"/>
      <c r="F485" s="22"/>
      <c r="G485" s="22"/>
      <c r="H485" s="22"/>
      <c r="I485" s="30" t="str">
        <f>IF(H485="","",IFERROR(INDEX(Codes!$B$2:$B$13,MATCH(H485,Codes!$A$2:$A$13,0)),""))</f>
        <v/>
      </c>
      <c r="J485" s="23"/>
      <c r="K485" s="23"/>
      <c r="L485" s="23"/>
      <c r="M485" s="23"/>
      <c r="N485" s="23"/>
      <c r="O485" s="23"/>
      <c r="P485" s="23"/>
      <c r="Q485" s="31"/>
      <c r="R485" s="32"/>
      <c r="S485" s="32"/>
      <c r="T485" s="33" t="str">
        <f t="shared" si="14"/>
        <v/>
      </c>
      <c r="U485" s="34"/>
      <c r="V485" s="35"/>
      <c r="W485" s="33" t="str">
        <f t="shared" si="15"/>
        <v/>
      </c>
    </row>
    <row r="486" spans="1:23" x14ac:dyDescent="0.35">
      <c r="A486" s="21" t="str">
        <f>IF(COUNTA(B486:H486,J486:S486,U486:V486)=0,"",IF((IF(B486="","PO Ref, ","")&amp;IF(C486="","Vendor, ","")&amp;IF(D486="","Store, ","")&amp;IF(F486="","Product Type, ","")&amp;IF(G486="","Category, ","")&amp;IF(H486="","HSN Code, ","")&amp;IF(Q486="","Qty, ","")&amp;IF(R486="","Purchase Rate, ","")&amp;IF(S486="","MRP, ",""))&lt;&gt;"","Missing: "&amp;LEFT(IF(B486="","PO Ref, ","")&amp;IF(C486="","Vendor, ","")&amp;IF(D486="","Store, ","")&amp;IF(F486="","Product Type, ","")&amp;IF(G486="","Category, ","")&amp;IF(H486="","HSN Code, ","")&amp;IF(Q486="","Qty, ","")&amp;IF(R486="","Purchase Rate, ","")&amp;IF(S486="","MRP, ",""),LEN(IF(B486="","PO Ref, ","")&amp;IF(C486="","Vendor, ","")&amp;IF(D486="","Store, ","")&amp;IF(F486="","Product Type, ","")&amp;IF(G486="","Category, ","")&amp;IF(H486="","HSN Code, ","")&amp;IF(Q486="","Qty, ","")&amp;IF(R486="","Purchase Rate, ","")&amp;IF(S486="","MRP, ",""))-2),IF(COUNTIF(Vendors!$B$3:$B$202,C486)=0,"Add vendor "&amp;C486&amp;" on the Vendors sheet",IF(ISNA(MATCH(H486,Codes!$A$2:$A$13,0)),"Pick the HSN Code from the list",IF(AND(E486&lt;&gt;"",COUNTIFS($C$3:$C$1002,C486,$E$3:$E$1002,E486,$F$3:$F$1002,"&lt;&gt;"&amp;F486)+COUNTIFS($C$3:$C$1002,C486,$E$3:$E$1002,E486,$G$3:$G$1002,"&lt;&gt;"&amp;G486)&gt;0),"Design "&amp;E486&amp;" has another Product Type or Category on another row",IF(COUNTIFS($F$3:$F$1002,F486,$G$3:$G$1002,G486,$H$3:$H$1002,"&lt;&gt;"&amp;H486)&gt;0,F486&amp;" + "&amp;G486&amp;" has another HSN Code on another row",IF(AND(V486&lt;&gt;"",U486=""),"Received Qty needs the Vendor Invoice No",IF(AND(U486&lt;&gt;"",COUNTIFS(Bills!$B$3:$B$302,U486,Bills!$C$3:$C$302,C486)=0),"Add bill "&amp;U486&amp;" of "&amp;C486&amp;" on the Bills sheet",IF(S486&lt;R486,"MRP is below the Purchase Rate","OK")))))))))</f>
        <v/>
      </c>
      <c r="B486" s="29"/>
      <c r="C486" s="22"/>
      <c r="D486" s="22"/>
      <c r="E486" s="24"/>
      <c r="F486" s="22"/>
      <c r="G486" s="22"/>
      <c r="H486" s="22"/>
      <c r="I486" s="30" t="str">
        <f>IF(H486="","",IFERROR(INDEX(Codes!$B$2:$B$13,MATCH(H486,Codes!$A$2:$A$13,0)),""))</f>
        <v/>
      </c>
      <c r="J486" s="23"/>
      <c r="K486" s="23"/>
      <c r="L486" s="23"/>
      <c r="M486" s="23"/>
      <c r="N486" s="23"/>
      <c r="O486" s="23"/>
      <c r="P486" s="23"/>
      <c r="Q486" s="31"/>
      <c r="R486" s="32"/>
      <c r="S486" s="32"/>
      <c r="T486" s="33" t="str">
        <f t="shared" si="14"/>
        <v/>
      </c>
      <c r="U486" s="34"/>
      <c r="V486" s="35"/>
      <c r="W486" s="33" t="str">
        <f t="shared" si="15"/>
        <v/>
      </c>
    </row>
    <row r="487" spans="1:23" x14ac:dyDescent="0.35">
      <c r="A487" s="21" t="str">
        <f>IF(COUNTA(B487:H487,J487:S487,U487:V487)=0,"",IF((IF(B487="","PO Ref, ","")&amp;IF(C487="","Vendor, ","")&amp;IF(D487="","Store, ","")&amp;IF(F487="","Product Type, ","")&amp;IF(G487="","Category, ","")&amp;IF(H487="","HSN Code, ","")&amp;IF(Q487="","Qty, ","")&amp;IF(R487="","Purchase Rate, ","")&amp;IF(S487="","MRP, ",""))&lt;&gt;"","Missing: "&amp;LEFT(IF(B487="","PO Ref, ","")&amp;IF(C487="","Vendor, ","")&amp;IF(D487="","Store, ","")&amp;IF(F487="","Product Type, ","")&amp;IF(G487="","Category, ","")&amp;IF(H487="","HSN Code, ","")&amp;IF(Q487="","Qty, ","")&amp;IF(R487="","Purchase Rate, ","")&amp;IF(S487="","MRP, ",""),LEN(IF(B487="","PO Ref, ","")&amp;IF(C487="","Vendor, ","")&amp;IF(D487="","Store, ","")&amp;IF(F487="","Product Type, ","")&amp;IF(G487="","Category, ","")&amp;IF(H487="","HSN Code, ","")&amp;IF(Q487="","Qty, ","")&amp;IF(R487="","Purchase Rate, ","")&amp;IF(S487="","MRP, ",""))-2),IF(COUNTIF(Vendors!$B$3:$B$202,C487)=0,"Add vendor "&amp;C487&amp;" on the Vendors sheet",IF(ISNA(MATCH(H487,Codes!$A$2:$A$13,0)),"Pick the HSN Code from the list",IF(AND(E487&lt;&gt;"",COUNTIFS($C$3:$C$1002,C487,$E$3:$E$1002,E487,$F$3:$F$1002,"&lt;&gt;"&amp;F487)+COUNTIFS($C$3:$C$1002,C487,$E$3:$E$1002,E487,$G$3:$G$1002,"&lt;&gt;"&amp;G487)&gt;0),"Design "&amp;E487&amp;" has another Product Type or Category on another row",IF(COUNTIFS($F$3:$F$1002,F487,$G$3:$G$1002,G487,$H$3:$H$1002,"&lt;&gt;"&amp;H487)&gt;0,F487&amp;" + "&amp;G487&amp;" has another HSN Code on another row",IF(AND(V487&lt;&gt;"",U487=""),"Received Qty needs the Vendor Invoice No",IF(AND(U487&lt;&gt;"",COUNTIFS(Bills!$B$3:$B$302,U487,Bills!$C$3:$C$302,C487)=0),"Add bill "&amp;U487&amp;" of "&amp;C487&amp;" on the Bills sheet",IF(S487&lt;R487,"MRP is below the Purchase Rate","OK")))))))))</f>
        <v/>
      </c>
      <c r="B487" s="29"/>
      <c r="C487" s="22"/>
      <c r="D487" s="22"/>
      <c r="E487" s="24"/>
      <c r="F487" s="22"/>
      <c r="G487" s="22"/>
      <c r="H487" s="22"/>
      <c r="I487" s="30" t="str">
        <f>IF(H487="","",IFERROR(INDEX(Codes!$B$2:$B$13,MATCH(H487,Codes!$A$2:$A$13,0)),""))</f>
        <v/>
      </c>
      <c r="J487" s="23"/>
      <c r="K487" s="23"/>
      <c r="L487" s="23"/>
      <c r="M487" s="23"/>
      <c r="N487" s="23"/>
      <c r="O487" s="23"/>
      <c r="P487" s="23"/>
      <c r="Q487" s="31"/>
      <c r="R487" s="32"/>
      <c r="S487" s="32"/>
      <c r="T487" s="33" t="str">
        <f t="shared" si="14"/>
        <v/>
      </c>
      <c r="U487" s="34"/>
      <c r="V487" s="35"/>
      <c r="W487" s="33" t="str">
        <f t="shared" si="15"/>
        <v/>
      </c>
    </row>
    <row r="488" spans="1:23" x14ac:dyDescent="0.35">
      <c r="A488" s="21" t="str">
        <f>IF(COUNTA(B488:H488,J488:S488,U488:V488)=0,"",IF((IF(B488="","PO Ref, ","")&amp;IF(C488="","Vendor, ","")&amp;IF(D488="","Store, ","")&amp;IF(F488="","Product Type, ","")&amp;IF(G488="","Category, ","")&amp;IF(H488="","HSN Code, ","")&amp;IF(Q488="","Qty, ","")&amp;IF(R488="","Purchase Rate, ","")&amp;IF(S488="","MRP, ",""))&lt;&gt;"","Missing: "&amp;LEFT(IF(B488="","PO Ref, ","")&amp;IF(C488="","Vendor, ","")&amp;IF(D488="","Store, ","")&amp;IF(F488="","Product Type, ","")&amp;IF(G488="","Category, ","")&amp;IF(H488="","HSN Code, ","")&amp;IF(Q488="","Qty, ","")&amp;IF(R488="","Purchase Rate, ","")&amp;IF(S488="","MRP, ",""),LEN(IF(B488="","PO Ref, ","")&amp;IF(C488="","Vendor, ","")&amp;IF(D488="","Store, ","")&amp;IF(F488="","Product Type, ","")&amp;IF(G488="","Category, ","")&amp;IF(H488="","HSN Code, ","")&amp;IF(Q488="","Qty, ","")&amp;IF(R488="","Purchase Rate, ","")&amp;IF(S488="","MRP, ",""))-2),IF(COUNTIF(Vendors!$B$3:$B$202,C488)=0,"Add vendor "&amp;C488&amp;" on the Vendors sheet",IF(ISNA(MATCH(H488,Codes!$A$2:$A$13,0)),"Pick the HSN Code from the list",IF(AND(E488&lt;&gt;"",COUNTIFS($C$3:$C$1002,C488,$E$3:$E$1002,E488,$F$3:$F$1002,"&lt;&gt;"&amp;F488)+COUNTIFS($C$3:$C$1002,C488,$E$3:$E$1002,E488,$G$3:$G$1002,"&lt;&gt;"&amp;G488)&gt;0),"Design "&amp;E488&amp;" has another Product Type or Category on another row",IF(COUNTIFS($F$3:$F$1002,F488,$G$3:$G$1002,G488,$H$3:$H$1002,"&lt;&gt;"&amp;H488)&gt;0,F488&amp;" + "&amp;G488&amp;" has another HSN Code on another row",IF(AND(V488&lt;&gt;"",U488=""),"Received Qty needs the Vendor Invoice No",IF(AND(U488&lt;&gt;"",COUNTIFS(Bills!$B$3:$B$302,U488,Bills!$C$3:$C$302,C488)=0),"Add bill "&amp;U488&amp;" of "&amp;C488&amp;" on the Bills sheet",IF(S488&lt;R488,"MRP is below the Purchase Rate","OK")))))))))</f>
        <v/>
      </c>
      <c r="B488" s="29"/>
      <c r="C488" s="22"/>
      <c r="D488" s="22"/>
      <c r="E488" s="24"/>
      <c r="F488" s="22"/>
      <c r="G488" s="22"/>
      <c r="H488" s="22"/>
      <c r="I488" s="30" t="str">
        <f>IF(H488="","",IFERROR(INDEX(Codes!$B$2:$B$13,MATCH(H488,Codes!$A$2:$A$13,0)),""))</f>
        <v/>
      </c>
      <c r="J488" s="23"/>
      <c r="K488" s="23"/>
      <c r="L488" s="23"/>
      <c r="M488" s="23"/>
      <c r="N488" s="23"/>
      <c r="O488" s="23"/>
      <c r="P488" s="23"/>
      <c r="Q488" s="31"/>
      <c r="R488" s="32"/>
      <c r="S488" s="32"/>
      <c r="T488" s="33" t="str">
        <f t="shared" si="14"/>
        <v/>
      </c>
      <c r="U488" s="34"/>
      <c r="V488" s="35"/>
      <c r="W488" s="33" t="str">
        <f t="shared" si="15"/>
        <v/>
      </c>
    </row>
    <row r="489" spans="1:23" x14ac:dyDescent="0.35">
      <c r="A489" s="21" t="str">
        <f>IF(COUNTA(B489:H489,J489:S489,U489:V489)=0,"",IF((IF(B489="","PO Ref, ","")&amp;IF(C489="","Vendor, ","")&amp;IF(D489="","Store, ","")&amp;IF(F489="","Product Type, ","")&amp;IF(G489="","Category, ","")&amp;IF(H489="","HSN Code, ","")&amp;IF(Q489="","Qty, ","")&amp;IF(R489="","Purchase Rate, ","")&amp;IF(S489="","MRP, ",""))&lt;&gt;"","Missing: "&amp;LEFT(IF(B489="","PO Ref, ","")&amp;IF(C489="","Vendor, ","")&amp;IF(D489="","Store, ","")&amp;IF(F489="","Product Type, ","")&amp;IF(G489="","Category, ","")&amp;IF(H489="","HSN Code, ","")&amp;IF(Q489="","Qty, ","")&amp;IF(R489="","Purchase Rate, ","")&amp;IF(S489="","MRP, ",""),LEN(IF(B489="","PO Ref, ","")&amp;IF(C489="","Vendor, ","")&amp;IF(D489="","Store, ","")&amp;IF(F489="","Product Type, ","")&amp;IF(G489="","Category, ","")&amp;IF(H489="","HSN Code, ","")&amp;IF(Q489="","Qty, ","")&amp;IF(R489="","Purchase Rate, ","")&amp;IF(S489="","MRP, ",""))-2),IF(COUNTIF(Vendors!$B$3:$B$202,C489)=0,"Add vendor "&amp;C489&amp;" on the Vendors sheet",IF(ISNA(MATCH(H489,Codes!$A$2:$A$13,0)),"Pick the HSN Code from the list",IF(AND(E489&lt;&gt;"",COUNTIFS($C$3:$C$1002,C489,$E$3:$E$1002,E489,$F$3:$F$1002,"&lt;&gt;"&amp;F489)+COUNTIFS($C$3:$C$1002,C489,$E$3:$E$1002,E489,$G$3:$G$1002,"&lt;&gt;"&amp;G489)&gt;0),"Design "&amp;E489&amp;" has another Product Type or Category on another row",IF(COUNTIFS($F$3:$F$1002,F489,$G$3:$G$1002,G489,$H$3:$H$1002,"&lt;&gt;"&amp;H489)&gt;0,F489&amp;" + "&amp;G489&amp;" has another HSN Code on another row",IF(AND(V489&lt;&gt;"",U489=""),"Received Qty needs the Vendor Invoice No",IF(AND(U489&lt;&gt;"",COUNTIFS(Bills!$B$3:$B$302,U489,Bills!$C$3:$C$302,C489)=0),"Add bill "&amp;U489&amp;" of "&amp;C489&amp;" on the Bills sheet",IF(S489&lt;R489,"MRP is below the Purchase Rate","OK")))))))))</f>
        <v/>
      </c>
      <c r="B489" s="29"/>
      <c r="C489" s="22"/>
      <c r="D489" s="22"/>
      <c r="E489" s="24"/>
      <c r="F489" s="22"/>
      <c r="G489" s="22"/>
      <c r="H489" s="22"/>
      <c r="I489" s="30" t="str">
        <f>IF(H489="","",IFERROR(INDEX(Codes!$B$2:$B$13,MATCH(H489,Codes!$A$2:$A$13,0)),""))</f>
        <v/>
      </c>
      <c r="J489" s="23"/>
      <c r="K489" s="23"/>
      <c r="L489" s="23"/>
      <c r="M489" s="23"/>
      <c r="N489" s="23"/>
      <c r="O489" s="23"/>
      <c r="P489" s="23"/>
      <c r="Q489" s="31"/>
      <c r="R489" s="32"/>
      <c r="S489" s="32"/>
      <c r="T489" s="33" t="str">
        <f t="shared" si="14"/>
        <v/>
      </c>
      <c r="U489" s="34"/>
      <c r="V489" s="35"/>
      <c r="W489" s="33" t="str">
        <f t="shared" si="15"/>
        <v/>
      </c>
    </row>
    <row r="490" spans="1:23" x14ac:dyDescent="0.35">
      <c r="A490" s="21" t="str">
        <f>IF(COUNTA(B490:H490,J490:S490,U490:V490)=0,"",IF((IF(B490="","PO Ref, ","")&amp;IF(C490="","Vendor, ","")&amp;IF(D490="","Store, ","")&amp;IF(F490="","Product Type, ","")&amp;IF(G490="","Category, ","")&amp;IF(H490="","HSN Code, ","")&amp;IF(Q490="","Qty, ","")&amp;IF(R490="","Purchase Rate, ","")&amp;IF(S490="","MRP, ",""))&lt;&gt;"","Missing: "&amp;LEFT(IF(B490="","PO Ref, ","")&amp;IF(C490="","Vendor, ","")&amp;IF(D490="","Store, ","")&amp;IF(F490="","Product Type, ","")&amp;IF(G490="","Category, ","")&amp;IF(H490="","HSN Code, ","")&amp;IF(Q490="","Qty, ","")&amp;IF(R490="","Purchase Rate, ","")&amp;IF(S490="","MRP, ",""),LEN(IF(B490="","PO Ref, ","")&amp;IF(C490="","Vendor, ","")&amp;IF(D490="","Store, ","")&amp;IF(F490="","Product Type, ","")&amp;IF(G490="","Category, ","")&amp;IF(H490="","HSN Code, ","")&amp;IF(Q490="","Qty, ","")&amp;IF(R490="","Purchase Rate, ","")&amp;IF(S490="","MRP, ",""))-2),IF(COUNTIF(Vendors!$B$3:$B$202,C490)=0,"Add vendor "&amp;C490&amp;" on the Vendors sheet",IF(ISNA(MATCH(H490,Codes!$A$2:$A$13,0)),"Pick the HSN Code from the list",IF(AND(E490&lt;&gt;"",COUNTIFS($C$3:$C$1002,C490,$E$3:$E$1002,E490,$F$3:$F$1002,"&lt;&gt;"&amp;F490)+COUNTIFS($C$3:$C$1002,C490,$E$3:$E$1002,E490,$G$3:$G$1002,"&lt;&gt;"&amp;G490)&gt;0),"Design "&amp;E490&amp;" has another Product Type or Category on another row",IF(COUNTIFS($F$3:$F$1002,F490,$G$3:$G$1002,G490,$H$3:$H$1002,"&lt;&gt;"&amp;H490)&gt;0,F490&amp;" + "&amp;G490&amp;" has another HSN Code on another row",IF(AND(V490&lt;&gt;"",U490=""),"Received Qty needs the Vendor Invoice No",IF(AND(U490&lt;&gt;"",COUNTIFS(Bills!$B$3:$B$302,U490,Bills!$C$3:$C$302,C490)=0),"Add bill "&amp;U490&amp;" of "&amp;C490&amp;" on the Bills sheet",IF(S490&lt;R490,"MRP is below the Purchase Rate","OK")))))))))</f>
        <v/>
      </c>
      <c r="B490" s="29"/>
      <c r="C490" s="22"/>
      <c r="D490" s="22"/>
      <c r="E490" s="24"/>
      <c r="F490" s="22"/>
      <c r="G490" s="22"/>
      <c r="H490" s="22"/>
      <c r="I490" s="30" t="str">
        <f>IF(H490="","",IFERROR(INDEX(Codes!$B$2:$B$13,MATCH(H490,Codes!$A$2:$A$13,0)),""))</f>
        <v/>
      </c>
      <c r="J490" s="23"/>
      <c r="K490" s="23"/>
      <c r="L490" s="23"/>
      <c r="M490" s="23"/>
      <c r="N490" s="23"/>
      <c r="O490" s="23"/>
      <c r="P490" s="23"/>
      <c r="Q490" s="31"/>
      <c r="R490" s="32"/>
      <c r="S490" s="32"/>
      <c r="T490" s="33" t="str">
        <f t="shared" si="14"/>
        <v/>
      </c>
      <c r="U490" s="34"/>
      <c r="V490" s="35"/>
      <c r="W490" s="33" t="str">
        <f t="shared" si="15"/>
        <v/>
      </c>
    </row>
    <row r="491" spans="1:23" x14ac:dyDescent="0.35">
      <c r="A491" s="21" t="str">
        <f>IF(COUNTA(B491:H491,J491:S491,U491:V491)=0,"",IF((IF(B491="","PO Ref, ","")&amp;IF(C491="","Vendor, ","")&amp;IF(D491="","Store, ","")&amp;IF(F491="","Product Type, ","")&amp;IF(G491="","Category, ","")&amp;IF(H491="","HSN Code, ","")&amp;IF(Q491="","Qty, ","")&amp;IF(R491="","Purchase Rate, ","")&amp;IF(S491="","MRP, ",""))&lt;&gt;"","Missing: "&amp;LEFT(IF(B491="","PO Ref, ","")&amp;IF(C491="","Vendor, ","")&amp;IF(D491="","Store, ","")&amp;IF(F491="","Product Type, ","")&amp;IF(G491="","Category, ","")&amp;IF(H491="","HSN Code, ","")&amp;IF(Q491="","Qty, ","")&amp;IF(R491="","Purchase Rate, ","")&amp;IF(S491="","MRP, ",""),LEN(IF(B491="","PO Ref, ","")&amp;IF(C491="","Vendor, ","")&amp;IF(D491="","Store, ","")&amp;IF(F491="","Product Type, ","")&amp;IF(G491="","Category, ","")&amp;IF(H491="","HSN Code, ","")&amp;IF(Q491="","Qty, ","")&amp;IF(R491="","Purchase Rate, ","")&amp;IF(S491="","MRP, ",""))-2),IF(COUNTIF(Vendors!$B$3:$B$202,C491)=0,"Add vendor "&amp;C491&amp;" on the Vendors sheet",IF(ISNA(MATCH(H491,Codes!$A$2:$A$13,0)),"Pick the HSN Code from the list",IF(AND(E491&lt;&gt;"",COUNTIFS($C$3:$C$1002,C491,$E$3:$E$1002,E491,$F$3:$F$1002,"&lt;&gt;"&amp;F491)+COUNTIFS($C$3:$C$1002,C491,$E$3:$E$1002,E491,$G$3:$G$1002,"&lt;&gt;"&amp;G491)&gt;0),"Design "&amp;E491&amp;" has another Product Type or Category on another row",IF(COUNTIFS($F$3:$F$1002,F491,$G$3:$G$1002,G491,$H$3:$H$1002,"&lt;&gt;"&amp;H491)&gt;0,F491&amp;" + "&amp;G491&amp;" has another HSN Code on another row",IF(AND(V491&lt;&gt;"",U491=""),"Received Qty needs the Vendor Invoice No",IF(AND(U491&lt;&gt;"",COUNTIFS(Bills!$B$3:$B$302,U491,Bills!$C$3:$C$302,C491)=0),"Add bill "&amp;U491&amp;" of "&amp;C491&amp;" on the Bills sheet",IF(S491&lt;R491,"MRP is below the Purchase Rate","OK")))))))))</f>
        <v/>
      </c>
      <c r="B491" s="29"/>
      <c r="C491" s="22"/>
      <c r="D491" s="22"/>
      <c r="E491" s="24"/>
      <c r="F491" s="22"/>
      <c r="G491" s="22"/>
      <c r="H491" s="22"/>
      <c r="I491" s="30" t="str">
        <f>IF(H491="","",IFERROR(INDEX(Codes!$B$2:$B$13,MATCH(H491,Codes!$A$2:$A$13,0)),""))</f>
        <v/>
      </c>
      <c r="J491" s="23"/>
      <c r="K491" s="23"/>
      <c r="L491" s="23"/>
      <c r="M491" s="23"/>
      <c r="N491" s="23"/>
      <c r="O491" s="23"/>
      <c r="P491" s="23"/>
      <c r="Q491" s="31"/>
      <c r="R491" s="32"/>
      <c r="S491" s="32"/>
      <c r="T491" s="33" t="str">
        <f t="shared" si="14"/>
        <v/>
      </c>
      <c r="U491" s="34"/>
      <c r="V491" s="35"/>
      <c r="W491" s="33" t="str">
        <f t="shared" si="15"/>
        <v/>
      </c>
    </row>
    <row r="492" spans="1:23" x14ac:dyDescent="0.35">
      <c r="A492" s="21" t="str">
        <f>IF(COUNTA(B492:H492,J492:S492,U492:V492)=0,"",IF((IF(B492="","PO Ref, ","")&amp;IF(C492="","Vendor, ","")&amp;IF(D492="","Store, ","")&amp;IF(F492="","Product Type, ","")&amp;IF(G492="","Category, ","")&amp;IF(H492="","HSN Code, ","")&amp;IF(Q492="","Qty, ","")&amp;IF(R492="","Purchase Rate, ","")&amp;IF(S492="","MRP, ",""))&lt;&gt;"","Missing: "&amp;LEFT(IF(B492="","PO Ref, ","")&amp;IF(C492="","Vendor, ","")&amp;IF(D492="","Store, ","")&amp;IF(F492="","Product Type, ","")&amp;IF(G492="","Category, ","")&amp;IF(H492="","HSN Code, ","")&amp;IF(Q492="","Qty, ","")&amp;IF(R492="","Purchase Rate, ","")&amp;IF(S492="","MRP, ",""),LEN(IF(B492="","PO Ref, ","")&amp;IF(C492="","Vendor, ","")&amp;IF(D492="","Store, ","")&amp;IF(F492="","Product Type, ","")&amp;IF(G492="","Category, ","")&amp;IF(H492="","HSN Code, ","")&amp;IF(Q492="","Qty, ","")&amp;IF(R492="","Purchase Rate, ","")&amp;IF(S492="","MRP, ",""))-2),IF(COUNTIF(Vendors!$B$3:$B$202,C492)=0,"Add vendor "&amp;C492&amp;" on the Vendors sheet",IF(ISNA(MATCH(H492,Codes!$A$2:$A$13,0)),"Pick the HSN Code from the list",IF(AND(E492&lt;&gt;"",COUNTIFS($C$3:$C$1002,C492,$E$3:$E$1002,E492,$F$3:$F$1002,"&lt;&gt;"&amp;F492)+COUNTIFS($C$3:$C$1002,C492,$E$3:$E$1002,E492,$G$3:$G$1002,"&lt;&gt;"&amp;G492)&gt;0),"Design "&amp;E492&amp;" has another Product Type or Category on another row",IF(COUNTIFS($F$3:$F$1002,F492,$G$3:$G$1002,G492,$H$3:$H$1002,"&lt;&gt;"&amp;H492)&gt;0,F492&amp;" + "&amp;G492&amp;" has another HSN Code on another row",IF(AND(V492&lt;&gt;"",U492=""),"Received Qty needs the Vendor Invoice No",IF(AND(U492&lt;&gt;"",COUNTIFS(Bills!$B$3:$B$302,U492,Bills!$C$3:$C$302,C492)=0),"Add bill "&amp;U492&amp;" of "&amp;C492&amp;" on the Bills sheet",IF(S492&lt;R492,"MRP is below the Purchase Rate","OK")))))))))</f>
        <v/>
      </c>
      <c r="B492" s="29"/>
      <c r="C492" s="22"/>
      <c r="D492" s="22"/>
      <c r="E492" s="24"/>
      <c r="F492" s="22"/>
      <c r="G492" s="22"/>
      <c r="H492" s="22"/>
      <c r="I492" s="30" t="str">
        <f>IF(H492="","",IFERROR(INDEX(Codes!$B$2:$B$13,MATCH(H492,Codes!$A$2:$A$13,0)),""))</f>
        <v/>
      </c>
      <c r="J492" s="23"/>
      <c r="K492" s="23"/>
      <c r="L492" s="23"/>
      <c r="M492" s="23"/>
      <c r="N492" s="23"/>
      <c r="O492" s="23"/>
      <c r="P492" s="23"/>
      <c r="Q492" s="31"/>
      <c r="R492" s="32"/>
      <c r="S492" s="32"/>
      <c r="T492" s="33" t="str">
        <f t="shared" si="14"/>
        <v/>
      </c>
      <c r="U492" s="34"/>
      <c r="V492" s="35"/>
      <c r="W492" s="33" t="str">
        <f t="shared" si="15"/>
        <v/>
      </c>
    </row>
    <row r="493" spans="1:23" x14ac:dyDescent="0.35">
      <c r="A493" s="21" t="str">
        <f>IF(COUNTA(B493:H493,J493:S493,U493:V493)=0,"",IF((IF(B493="","PO Ref, ","")&amp;IF(C493="","Vendor, ","")&amp;IF(D493="","Store, ","")&amp;IF(F493="","Product Type, ","")&amp;IF(G493="","Category, ","")&amp;IF(H493="","HSN Code, ","")&amp;IF(Q493="","Qty, ","")&amp;IF(R493="","Purchase Rate, ","")&amp;IF(S493="","MRP, ",""))&lt;&gt;"","Missing: "&amp;LEFT(IF(B493="","PO Ref, ","")&amp;IF(C493="","Vendor, ","")&amp;IF(D493="","Store, ","")&amp;IF(F493="","Product Type, ","")&amp;IF(G493="","Category, ","")&amp;IF(H493="","HSN Code, ","")&amp;IF(Q493="","Qty, ","")&amp;IF(R493="","Purchase Rate, ","")&amp;IF(S493="","MRP, ",""),LEN(IF(B493="","PO Ref, ","")&amp;IF(C493="","Vendor, ","")&amp;IF(D493="","Store, ","")&amp;IF(F493="","Product Type, ","")&amp;IF(G493="","Category, ","")&amp;IF(H493="","HSN Code, ","")&amp;IF(Q493="","Qty, ","")&amp;IF(R493="","Purchase Rate, ","")&amp;IF(S493="","MRP, ",""))-2),IF(COUNTIF(Vendors!$B$3:$B$202,C493)=0,"Add vendor "&amp;C493&amp;" on the Vendors sheet",IF(ISNA(MATCH(H493,Codes!$A$2:$A$13,0)),"Pick the HSN Code from the list",IF(AND(E493&lt;&gt;"",COUNTIFS($C$3:$C$1002,C493,$E$3:$E$1002,E493,$F$3:$F$1002,"&lt;&gt;"&amp;F493)+COUNTIFS($C$3:$C$1002,C493,$E$3:$E$1002,E493,$G$3:$G$1002,"&lt;&gt;"&amp;G493)&gt;0),"Design "&amp;E493&amp;" has another Product Type or Category on another row",IF(COUNTIFS($F$3:$F$1002,F493,$G$3:$G$1002,G493,$H$3:$H$1002,"&lt;&gt;"&amp;H493)&gt;0,F493&amp;" + "&amp;G493&amp;" has another HSN Code on another row",IF(AND(V493&lt;&gt;"",U493=""),"Received Qty needs the Vendor Invoice No",IF(AND(U493&lt;&gt;"",COUNTIFS(Bills!$B$3:$B$302,U493,Bills!$C$3:$C$302,C493)=0),"Add bill "&amp;U493&amp;" of "&amp;C493&amp;" on the Bills sheet",IF(S493&lt;R493,"MRP is below the Purchase Rate","OK")))))))))</f>
        <v/>
      </c>
      <c r="B493" s="29"/>
      <c r="C493" s="22"/>
      <c r="D493" s="22"/>
      <c r="E493" s="24"/>
      <c r="F493" s="22"/>
      <c r="G493" s="22"/>
      <c r="H493" s="22"/>
      <c r="I493" s="30" t="str">
        <f>IF(H493="","",IFERROR(INDEX(Codes!$B$2:$B$13,MATCH(H493,Codes!$A$2:$A$13,0)),""))</f>
        <v/>
      </c>
      <c r="J493" s="23"/>
      <c r="K493" s="23"/>
      <c r="L493" s="23"/>
      <c r="M493" s="23"/>
      <c r="N493" s="23"/>
      <c r="O493" s="23"/>
      <c r="P493" s="23"/>
      <c r="Q493" s="31"/>
      <c r="R493" s="32"/>
      <c r="S493" s="32"/>
      <c r="T493" s="33" t="str">
        <f t="shared" si="14"/>
        <v/>
      </c>
      <c r="U493" s="34"/>
      <c r="V493" s="35"/>
      <c r="W493" s="33" t="str">
        <f t="shared" si="15"/>
        <v/>
      </c>
    </row>
    <row r="494" spans="1:23" x14ac:dyDescent="0.35">
      <c r="A494" s="21" t="str">
        <f>IF(COUNTA(B494:H494,J494:S494,U494:V494)=0,"",IF((IF(B494="","PO Ref, ","")&amp;IF(C494="","Vendor, ","")&amp;IF(D494="","Store, ","")&amp;IF(F494="","Product Type, ","")&amp;IF(G494="","Category, ","")&amp;IF(H494="","HSN Code, ","")&amp;IF(Q494="","Qty, ","")&amp;IF(R494="","Purchase Rate, ","")&amp;IF(S494="","MRP, ",""))&lt;&gt;"","Missing: "&amp;LEFT(IF(B494="","PO Ref, ","")&amp;IF(C494="","Vendor, ","")&amp;IF(D494="","Store, ","")&amp;IF(F494="","Product Type, ","")&amp;IF(G494="","Category, ","")&amp;IF(H494="","HSN Code, ","")&amp;IF(Q494="","Qty, ","")&amp;IF(R494="","Purchase Rate, ","")&amp;IF(S494="","MRP, ",""),LEN(IF(B494="","PO Ref, ","")&amp;IF(C494="","Vendor, ","")&amp;IF(D494="","Store, ","")&amp;IF(F494="","Product Type, ","")&amp;IF(G494="","Category, ","")&amp;IF(H494="","HSN Code, ","")&amp;IF(Q494="","Qty, ","")&amp;IF(R494="","Purchase Rate, ","")&amp;IF(S494="","MRP, ",""))-2),IF(COUNTIF(Vendors!$B$3:$B$202,C494)=0,"Add vendor "&amp;C494&amp;" on the Vendors sheet",IF(ISNA(MATCH(H494,Codes!$A$2:$A$13,0)),"Pick the HSN Code from the list",IF(AND(E494&lt;&gt;"",COUNTIFS($C$3:$C$1002,C494,$E$3:$E$1002,E494,$F$3:$F$1002,"&lt;&gt;"&amp;F494)+COUNTIFS($C$3:$C$1002,C494,$E$3:$E$1002,E494,$G$3:$G$1002,"&lt;&gt;"&amp;G494)&gt;0),"Design "&amp;E494&amp;" has another Product Type or Category on another row",IF(COUNTIFS($F$3:$F$1002,F494,$G$3:$G$1002,G494,$H$3:$H$1002,"&lt;&gt;"&amp;H494)&gt;0,F494&amp;" + "&amp;G494&amp;" has another HSN Code on another row",IF(AND(V494&lt;&gt;"",U494=""),"Received Qty needs the Vendor Invoice No",IF(AND(U494&lt;&gt;"",COUNTIFS(Bills!$B$3:$B$302,U494,Bills!$C$3:$C$302,C494)=0),"Add bill "&amp;U494&amp;" of "&amp;C494&amp;" on the Bills sheet",IF(S494&lt;R494,"MRP is below the Purchase Rate","OK")))))))))</f>
        <v/>
      </c>
      <c r="B494" s="29"/>
      <c r="C494" s="22"/>
      <c r="D494" s="22"/>
      <c r="E494" s="24"/>
      <c r="F494" s="22"/>
      <c r="G494" s="22"/>
      <c r="H494" s="22"/>
      <c r="I494" s="30" t="str">
        <f>IF(H494="","",IFERROR(INDEX(Codes!$B$2:$B$13,MATCH(H494,Codes!$A$2:$A$13,0)),""))</f>
        <v/>
      </c>
      <c r="J494" s="23"/>
      <c r="K494" s="23"/>
      <c r="L494" s="23"/>
      <c r="M494" s="23"/>
      <c r="N494" s="23"/>
      <c r="O494" s="23"/>
      <c r="P494" s="23"/>
      <c r="Q494" s="31"/>
      <c r="R494" s="32"/>
      <c r="S494" s="32"/>
      <c r="T494" s="33" t="str">
        <f t="shared" si="14"/>
        <v/>
      </c>
      <c r="U494" s="34"/>
      <c r="V494" s="35"/>
      <c r="W494" s="33" t="str">
        <f t="shared" si="15"/>
        <v/>
      </c>
    </row>
    <row r="495" spans="1:23" x14ac:dyDescent="0.35">
      <c r="A495" s="21" t="str">
        <f>IF(COUNTA(B495:H495,J495:S495,U495:V495)=0,"",IF((IF(B495="","PO Ref, ","")&amp;IF(C495="","Vendor, ","")&amp;IF(D495="","Store, ","")&amp;IF(F495="","Product Type, ","")&amp;IF(G495="","Category, ","")&amp;IF(H495="","HSN Code, ","")&amp;IF(Q495="","Qty, ","")&amp;IF(R495="","Purchase Rate, ","")&amp;IF(S495="","MRP, ",""))&lt;&gt;"","Missing: "&amp;LEFT(IF(B495="","PO Ref, ","")&amp;IF(C495="","Vendor, ","")&amp;IF(D495="","Store, ","")&amp;IF(F495="","Product Type, ","")&amp;IF(G495="","Category, ","")&amp;IF(H495="","HSN Code, ","")&amp;IF(Q495="","Qty, ","")&amp;IF(R495="","Purchase Rate, ","")&amp;IF(S495="","MRP, ",""),LEN(IF(B495="","PO Ref, ","")&amp;IF(C495="","Vendor, ","")&amp;IF(D495="","Store, ","")&amp;IF(F495="","Product Type, ","")&amp;IF(G495="","Category, ","")&amp;IF(H495="","HSN Code, ","")&amp;IF(Q495="","Qty, ","")&amp;IF(R495="","Purchase Rate, ","")&amp;IF(S495="","MRP, ",""))-2),IF(COUNTIF(Vendors!$B$3:$B$202,C495)=0,"Add vendor "&amp;C495&amp;" on the Vendors sheet",IF(ISNA(MATCH(H495,Codes!$A$2:$A$13,0)),"Pick the HSN Code from the list",IF(AND(E495&lt;&gt;"",COUNTIFS($C$3:$C$1002,C495,$E$3:$E$1002,E495,$F$3:$F$1002,"&lt;&gt;"&amp;F495)+COUNTIFS($C$3:$C$1002,C495,$E$3:$E$1002,E495,$G$3:$G$1002,"&lt;&gt;"&amp;G495)&gt;0),"Design "&amp;E495&amp;" has another Product Type or Category on another row",IF(COUNTIFS($F$3:$F$1002,F495,$G$3:$G$1002,G495,$H$3:$H$1002,"&lt;&gt;"&amp;H495)&gt;0,F495&amp;" + "&amp;G495&amp;" has another HSN Code on another row",IF(AND(V495&lt;&gt;"",U495=""),"Received Qty needs the Vendor Invoice No",IF(AND(U495&lt;&gt;"",COUNTIFS(Bills!$B$3:$B$302,U495,Bills!$C$3:$C$302,C495)=0),"Add bill "&amp;U495&amp;" of "&amp;C495&amp;" on the Bills sheet",IF(S495&lt;R495,"MRP is below the Purchase Rate","OK")))))))))</f>
        <v/>
      </c>
      <c r="B495" s="29"/>
      <c r="C495" s="22"/>
      <c r="D495" s="22"/>
      <c r="E495" s="24"/>
      <c r="F495" s="22"/>
      <c r="G495" s="22"/>
      <c r="H495" s="22"/>
      <c r="I495" s="30" t="str">
        <f>IF(H495="","",IFERROR(INDEX(Codes!$B$2:$B$13,MATCH(H495,Codes!$A$2:$A$13,0)),""))</f>
        <v/>
      </c>
      <c r="J495" s="23"/>
      <c r="K495" s="23"/>
      <c r="L495" s="23"/>
      <c r="M495" s="23"/>
      <c r="N495" s="23"/>
      <c r="O495" s="23"/>
      <c r="P495" s="23"/>
      <c r="Q495" s="31"/>
      <c r="R495" s="32"/>
      <c r="S495" s="32"/>
      <c r="T495" s="33" t="str">
        <f t="shared" si="14"/>
        <v/>
      </c>
      <c r="U495" s="34"/>
      <c r="V495" s="35"/>
      <c r="W495" s="33" t="str">
        <f t="shared" si="15"/>
        <v/>
      </c>
    </row>
    <row r="496" spans="1:23" x14ac:dyDescent="0.35">
      <c r="A496" s="21" t="str">
        <f>IF(COUNTA(B496:H496,J496:S496,U496:V496)=0,"",IF((IF(B496="","PO Ref, ","")&amp;IF(C496="","Vendor, ","")&amp;IF(D496="","Store, ","")&amp;IF(F496="","Product Type, ","")&amp;IF(G496="","Category, ","")&amp;IF(H496="","HSN Code, ","")&amp;IF(Q496="","Qty, ","")&amp;IF(R496="","Purchase Rate, ","")&amp;IF(S496="","MRP, ",""))&lt;&gt;"","Missing: "&amp;LEFT(IF(B496="","PO Ref, ","")&amp;IF(C496="","Vendor, ","")&amp;IF(D496="","Store, ","")&amp;IF(F496="","Product Type, ","")&amp;IF(G496="","Category, ","")&amp;IF(H496="","HSN Code, ","")&amp;IF(Q496="","Qty, ","")&amp;IF(R496="","Purchase Rate, ","")&amp;IF(S496="","MRP, ",""),LEN(IF(B496="","PO Ref, ","")&amp;IF(C496="","Vendor, ","")&amp;IF(D496="","Store, ","")&amp;IF(F496="","Product Type, ","")&amp;IF(G496="","Category, ","")&amp;IF(H496="","HSN Code, ","")&amp;IF(Q496="","Qty, ","")&amp;IF(R496="","Purchase Rate, ","")&amp;IF(S496="","MRP, ",""))-2),IF(COUNTIF(Vendors!$B$3:$B$202,C496)=0,"Add vendor "&amp;C496&amp;" on the Vendors sheet",IF(ISNA(MATCH(H496,Codes!$A$2:$A$13,0)),"Pick the HSN Code from the list",IF(AND(E496&lt;&gt;"",COUNTIFS($C$3:$C$1002,C496,$E$3:$E$1002,E496,$F$3:$F$1002,"&lt;&gt;"&amp;F496)+COUNTIFS($C$3:$C$1002,C496,$E$3:$E$1002,E496,$G$3:$G$1002,"&lt;&gt;"&amp;G496)&gt;0),"Design "&amp;E496&amp;" has another Product Type or Category on another row",IF(COUNTIFS($F$3:$F$1002,F496,$G$3:$G$1002,G496,$H$3:$H$1002,"&lt;&gt;"&amp;H496)&gt;0,F496&amp;" + "&amp;G496&amp;" has another HSN Code on another row",IF(AND(V496&lt;&gt;"",U496=""),"Received Qty needs the Vendor Invoice No",IF(AND(U496&lt;&gt;"",COUNTIFS(Bills!$B$3:$B$302,U496,Bills!$C$3:$C$302,C496)=0),"Add bill "&amp;U496&amp;" of "&amp;C496&amp;" on the Bills sheet",IF(S496&lt;R496,"MRP is below the Purchase Rate","OK")))))))))</f>
        <v/>
      </c>
      <c r="B496" s="29"/>
      <c r="C496" s="22"/>
      <c r="D496" s="22"/>
      <c r="E496" s="24"/>
      <c r="F496" s="22"/>
      <c r="G496" s="22"/>
      <c r="H496" s="22"/>
      <c r="I496" s="30" t="str">
        <f>IF(H496="","",IFERROR(INDEX(Codes!$B$2:$B$13,MATCH(H496,Codes!$A$2:$A$13,0)),""))</f>
        <v/>
      </c>
      <c r="J496" s="23"/>
      <c r="K496" s="23"/>
      <c r="L496" s="23"/>
      <c r="M496" s="23"/>
      <c r="N496" s="23"/>
      <c r="O496" s="23"/>
      <c r="P496" s="23"/>
      <c r="Q496" s="31"/>
      <c r="R496" s="32"/>
      <c r="S496" s="32"/>
      <c r="T496" s="33" t="str">
        <f t="shared" si="14"/>
        <v/>
      </c>
      <c r="U496" s="34"/>
      <c r="V496" s="35"/>
      <c r="W496" s="33" t="str">
        <f t="shared" si="15"/>
        <v/>
      </c>
    </row>
    <row r="497" spans="1:23" x14ac:dyDescent="0.35">
      <c r="A497" s="21" t="str">
        <f>IF(COUNTA(B497:H497,J497:S497,U497:V497)=0,"",IF((IF(B497="","PO Ref, ","")&amp;IF(C497="","Vendor, ","")&amp;IF(D497="","Store, ","")&amp;IF(F497="","Product Type, ","")&amp;IF(G497="","Category, ","")&amp;IF(H497="","HSN Code, ","")&amp;IF(Q497="","Qty, ","")&amp;IF(R497="","Purchase Rate, ","")&amp;IF(S497="","MRP, ",""))&lt;&gt;"","Missing: "&amp;LEFT(IF(B497="","PO Ref, ","")&amp;IF(C497="","Vendor, ","")&amp;IF(D497="","Store, ","")&amp;IF(F497="","Product Type, ","")&amp;IF(G497="","Category, ","")&amp;IF(H497="","HSN Code, ","")&amp;IF(Q497="","Qty, ","")&amp;IF(R497="","Purchase Rate, ","")&amp;IF(S497="","MRP, ",""),LEN(IF(B497="","PO Ref, ","")&amp;IF(C497="","Vendor, ","")&amp;IF(D497="","Store, ","")&amp;IF(F497="","Product Type, ","")&amp;IF(G497="","Category, ","")&amp;IF(H497="","HSN Code, ","")&amp;IF(Q497="","Qty, ","")&amp;IF(R497="","Purchase Rate, ","")&amp;IF(S497="","MRP, ",""))-2),IF(COUNTIF(Vendors!$B$3:$B$202,C497)=0,"Add vendor "&amp;C497&amp;" on the Vendors sheet",IF(ISNA(MATCH(H497,Codes!$A$2:$A$13,0)),"Pick the HSN Code from the list",IF(AND(E497&lt;&gt;"",COUNTIFS($C$3:$C$1002,C497,$E$3:$E$1002,E497,$F$3:$F$1002,"&lt;&gt;"&amp;F497)+COUNTIFS($C$3:$C$1002,C497,$E$3:$E$1002,E497,$G$3:$G$1002,"&lt;&gt;"&amp;G497)&gt;0),"Design "&amp;E497&amp;" has another Product Type or Category on another row",IF(COUNTIFS($F$3:$F$1002,F497,$G$3:$G$1002,G497,$H$3:$H$1002,"&lt;&gt;"&amp;H497)&gt;0,F497&amp;" + "&amp;G497&amp;" has another HSN Code on another row",IF(AND(V497&lt;&gt;"",U497=""),"Received Qty needs the Vendor Invoice No",IF(AND(U497&lt;&gt;"",COUNTIFS(Bills!$B$3:$B$302,U497,Bills!$C$3:$C$302,C497)=0),"Add bill "&amp;U497&amp;" of "&amp;C497&amp;" on the Bills sheet",IF(S497&lt;R497,"MRP is below the Purchase Rate","OK")))))))))</f>
        <v/>
      </c>
      <c r="B497" s="29"/>
      <c r="C497" s="22"/>
      <c r="D497" s="22"/>
      <c r="E497" s="24"/>
      <c r="F497" s="22"/>
      <c r="G497" s="22"/>
      <c r="H497" s="22"/>
      <c r="I497" s="30" t="str">
        <f>IF(H497="","",IFERROR(INDEX(Codes!$B$2:$B$13,MATCH(H497,Codes!$A$2:$A$13,0)),""))</f>
        <v/>
      </c>
      <c r="J497" s="23"/>
      <c r="K497" s="23"/>
      <c r="L497" s="23"/>
      <c r="M497" s="23"/>
      <c r="N497" s="23"/>
      <c r="O497" s="23"/>
      <c r="P497" s="23"/>
      <c r="Q497" s="31"/>
      <c r="R497" s="32"/>
      <c r="S497" s="32"/>
      <c r="T497" s="33" t="str">
        <f t="shared" si="14"/>
        <v/>
      </c>
      <c r="U497" s="34"/>
      <c r="V497" s="35"/>
      <c r="W497" s="33" t="str">
        <f t="shared" si="15"/>
        <v/>
      </c>
    </row>
    <row r="498" spans="1:23" x14ac:dyDescent="0.35">
      <c r="A498" s="21" t="str">
        <f>IF(COUNTA(B498:H498,J498:S498,U498:V498)=0,"",IF((IF(B498="","PO Ref, ","")&amp;IF(C498="","Vendor, ","")&amp;IF(D498="","Store, ","")&amp;IF(F498="","Product Type, ","")&amp;IF(G498="","Category, ","")&amp;IF(H498="","HSN Code, ","")&amp;IF(Q498="","Qty, ","")&amp;IF(R498="","Purchase Rate, ","")&amp;IF(S498="","MRP, ",""))&lt;&gt;"","Missing: "&amp;LEFT(IF(B498="","PO Ref, ","")&amp;IF(C498="","Vendor, ","")&amp;IF(D498="","Store, ","")&amp;IF(F498="","Product Type, ","")&amp;IF(G498="","Category, ","")&amp;IF(H498="","HSN Code, ","")&amp;IF(Q498="","Qty, ","")&amp;IF(R498="","Purchase Rate, ","")&amp;IF(S498="","MRP, ",""),LEN(IF(B498="","PO Ref, ","")&amp;IF(C498="","Vendor, ","")&amp;IF(D498="","Store, ","")&amp;IF(F498="","Product Type, ","")&amp;IF(G498="","Category, ","")&amp;IF(H498="","HSN Code, ","")&amp;IF(Q498="","Qty, ","")&amp;IF(R498="","Purchase Rate, ","")&amp;IF(S498="","MRP, ",""))-2),IF(COUNTIF(Vendors!$B$3:$B$202,C498)=0,"Add vendor "&amp;C498&amp;" on the Vendors sheet",IF(ISNA(MATCH(H498,Codes!$A$2:$A$13,0)),"Pick the HSN Code from the list",IF(AND(E498&lt;&gt;"",COUNTIFS($C$3:$C$1002,C498,$E$3:$E$1002,E498,$F$3:$F$1002,"&lt;&gt;"&amp;F498)+COUNTIFS($C$3:$C$1002,C498,$E$3:$E$1002,E498,$G$3:$G$1002,"&lt;&gt;"&amp;G498)&gt;0),"Design "&amp;E498&amp;" has another Product Type or Category on another row",IF(COUNTIFS($F$3:$F$1002,F498,$G$3:$G$1002,G498,$H$3:$H$1002,"&lt;&gt;"&amp;H498)&gt;0,F498&amp;" + "&amp;G498&amp;" has another HSN Code on another row",IF(AND(V498&lt;&gt;"",U498=""),"Received Qty needs the Vendor Invoice No",IF(AND(U498&lt;&gt;"",COUNTIFS(Bills!$B$3:$B$302,U498,Bills!$C$3:$C$302,C498)=0),"Add bill "&amp;U498&amp;" of "&amp;C498&amp;" on the Bills sheet",IF(S498&lt;R498,"MRP is below the Purchase Rate","OK")))))))))</f>
        <v/>
      </c>
      <c r="B498" s="29"/>
      <c r="C498" s="22"/>
      <c r="D498" s="22"/>
      <c r="E498" s="24"/>
      <c r="F498" s="22"/>
      <c r="G498" s="22"/>
      <c r="H498" s="22"/>
      <c r="I498" s="30" t="str">
        <f>IF(H498="","",IFERROR(INDEX(Codes!$B$2:$B$13,MATCH(H498,Codes!$A$2:$A$13,0)),""))</f>
        <v/>
      </c>
      <c r="J498" s="23"/>
      <c r="K498" s="23"/>
      <c r="L498" s="23"/>
      <c r="M498" s="23"/>
      <c r="N498" s="23"/>
      <c r="O498" s="23"/>
      <c r="P498" s="23"/>
      <c r="Q498" s="31"/>
      <c r="R498" s="32"/>
      <c r="S498" s="32"/>
      <c r="T498" s="33" t="str">
        <f t="shared" si="14"/>
        <v/>
      </c>
      <c r="U498" s="34"/>
      <c r="V498" s="35"/>
      <c r="W498" s="33" t="str">
        <f t="shared" si="15"/>
        <v/>
      </c>
    </row>
    <row r="499" spans="1:23" x14ac:dyDescent="0.35">
      <c r="A499" s="21" t="str">
        <f>IF(COUNTA(B499:H499,J499:S499,U499:V499)=0,"",IF((IF(B499="","PO Ref, ","")&amp;IF(C499="","Vendor, ","")&amp;IF(D499="","Store, ","")&amp;IF(F499="","Product Type, ","")&amp;IF(G499="","Category, ","")&amp;IF(H499="","HSN Code, ","")&amp;IF(Q499="","Qty, ","")&amp;IF(R499="","Purchase Rate, ","")&amp;IF(S499="","MRP, ",""))&lt;&gt;"","Missing: "&amp;LEFT(IF(B499="","PO Ref, ","")&amp;IF(C499="","Vendor, ","")&amp;IF(D499="","Store, ","")&amp;IF(F499="","Product Type, ","")&amp;IF(G499="","Category, ","")&amp;IF(H499="","HSN Code, ","")&amp;IF(Q499="","Qty, ","")&amp;IF(R499="","Purchase Rate, ","")&amp;IF(S499="","MRP, ",""),LEN(IF(B499="","PO Ref, ","")&amp;IF(C499="","Vendor, ","")&amp;IF(D499="","Store, ","")&amp;IF(F499="","Product Type, ","")&amp;IF(G499="","Category, ","")&amp;IF(H499="","HSN Code, ","")&amp;IF(Q499="","Qty, ","")&amp;IF(R499="","Purchase Rate, ","")&amp;IF(S499="","MRP, ",""))-2),IF(COUNTIF(Vendors!$B$3:$B$202,C499)=0,"Add vendor "&amp;C499&amp;" on the Vendors sheet",IF(ISNA(MATCH(H499,Codes!$A$2:$A$13,0)),"Pick the HSN Code from the list",IF(AND(E499&lt;&gt;"",COUNTIFS($C$3:$C$1002,C499,$E$3:$E$1002,E499,$F$3:$F$1002,"&lt;&gt;"&amp;F499)+COUNTIFS($C$3:$C$1002,C499,$E$3:$E$1002,E499,$G$3:$G$1002,"&lt;&gt;"&amp;G499)&gt;0),"Design "&amp;E499&amp;" has another Product Type or Category on another row",IF(COUNTIFS($F$3:$F$1002,F499,$G$3:$G$1002,G499,$H$3:$H$1002,"&lt;&gt;"&amp;H499)&gt;0,F499&amp;" + "&amp;G499&amp;" has another HSN Code on another row",IF(AND(V499&lt;&gt;"",U499=""),"Received Qty needs the Vendor Invoice No",IF(AND(U499&lt;&gt;"",COUNTIFS(Bills!$B$3:$B$302,U499,Bills!$C$3:$C$302,C499)=0),"Add bill "&amp;U499&amp;" of "&amp;C499&amp;" on the Bills sheet",IF(S499&lt;R499,"MRP is below the Purchase Rate","OK")))))))))</f>
        <v/>
      </c>
      <c r="B499" s="29"/>
      <c r="C499" s="22"/>
      <c r="D499" s="22"/>
      <c r="E499" s="24"/>
      <c r="F499" s="22"/>
      <c r="G499" s="22"/>
      <c r="H499" s="22"/>
      <c r="I499" s="30" t="str">
        <f>IF(H499="","",IFERROR(INDEX(Codes!$B$2:$B$13,MATCH(H499,Codes!$A$2:$A$13,0)),""))</f>
        <v/>
      </c>
      <c r="J499" s="23"/>
      <c r="K499" s="23"/>
      <c r="L499" s="23"/>
      <c r="M499" s="23"/>
      <c r="N499" s="23"/>
      <c r="O499" s="23"/>
      <c r="P499" s="23"/>
      <c r="Q499" s="31"/>
      <c r="R499" s="32"/>
      <c r="S499" s="32"/>
      <c r="T499" s="33" t="str">
        <f t="shared" si="14"/>
        <v/>
      </c>
      <c r="U499" s="34"/>
      <c r="V499" s="35"/>
      <c r="W499" s="33" t="str">
        <f t="shared" si="15"/>
        <v/>
      </c>
    </row>
    <row r="500" spans="1:23" x14ac:dyDescent="0.35">
      <c r="A500" s="21" t="str">
        <f>IF(COUNTA(B500:H500,J500:S500,U500:V500)=0,"",IF((IF(B500="","PO Ref, ","")&amp;IF(C500="","Vendor, ","")&amp;IF(D500="","Store, ","")&amp;IF(F500="","Product Type, ","")&amp;IF(G500="","Category, ","")&amp;IF(H500="","HSN Code, ","")&amp;IF(Q500="","Qty, ","")&amp;IF(R500="","Purchase Rate, ","")&amp;IF(S500="","MRP, ",""))&lt;&gt;"","Missing: "&amp;LEFT(IF(B500="","PO Ref, ","")&amp;IF(C500="","Vendor, ","")&amp;IF(D500="","Store, ","")&amp;IF(F500="","Product Type, ","")&amp;IF(G500="","Category, ","")&amp;IF(H500="","HSN Code, ","")&amp;IF(Q500="","Qty, ","")&amp;IF(R500="","Purchase Rate, ","")&amp;IF(S500="","MRP, ",""),LEN(IF(B500="","PO Ref, ","")&amp;IF(C500="","Vendor, ","")&amp;IF(D500="","Store, ","")&amp;IF(F500="","Product Type, ","")&amp;IF(G500="","Category, ","")&amp;IF(H500="","HSN Code, ","")&amp;IF(Q500="","Qty, ","")&amp;IF(R500="","Purchase Rate, ","")&amp;IF(S500="","MRP, ",""))-2),IF(COUNTIF(Vendors!$B$3:$B$202,C500)=0,"Add vendor "&amp;C500&amp;" on the Vendors sheet",IF(ISNA(MATCH(H500,Codes!$A$2:$A$13,0)),"Pick the HSN Code from the list",IF(AND(E500&lt;&gt;"",COUNTIFS($C$3:$C$1002,C500,$E$3:$E$1002,E500,$F$3:$F$1002,"&lt;&gt;"&amp;F500)+COUNTIFS($C$3:$C$1002,C500,$E$3:$E$1002,E500,$G$3:$G$1002,"&lt;&gt;"&amp;G500)&gt;0),"Design "&amp;E500&amp;" has another Product Type or Category on another row",IF(COUNTIFS($F$3:$F$1002,F500,$G$3:$G$1002,G500,$H$3:$H$1002,"&lt;&gt;"&amp;H500)&gt;0,F500&amp;" + "&amp;G500&amp;" has another HSN Code on another row",IF(AND(V500&lt;&gt;"",U500=""),"Received Qty needs the Vendor Invoice No",IF(AND(U500&lt;&gt;"",COUNTIFS(Bills!$B$3:$B$302,U500,Bills!$C$3:$C$302,C500)=0),"Add bill "&amp;U500&amp;" of "&amp;C500&amp;" on the Bills sheet",IF(S500&lt;R500,"MRP is below the Purchase Rate","OK")))))))))</f>
        <v/>
      </c>
      <c r="B500" s="29"/>
      <c r="C500" s="22"/>
      <c r="D500" s="22"/>
      <c r="E500" s="24"/>
      <c r="F500" s="22"/>
      <c r="G500" s="22"/>
      <c r="H500" s="22"/>
      <c r="I500" s="30" t="str">
        <f>IF(H500="","",IFERROR(INDEX(Codes!$B$2:$B$13,MATCH(H500,Codes!$A$2:$A$13,0)),""))</f>
        <v/>
      </c>
      <c r="J500" s="23"/>
      <c r="K500" s="23"/>
      <c r="L500" s="23"/>
      <c r="M500" s="23"/>
      <c r="N500" s="23"/>
      <c r="O500" s="23"/>
      <c r="P500" s="23"/>
      <c r="Q500" s="31"/>
      <c r="R500" s="32"/>
      <c r="S500" s="32"/>
      <c r="T500" s="33" t="str">
        <f t="shared" si="14"/>
        <v/>
      </c>
      <c r="U500" s="34"/>
      <c r="V500" s="35"/>
      <c r="W500" s="33" t="str">
        <f t="shared" si="15"/>
        <v/>
      </c>
    </row>
    <row r="501" spans="1:23" x14ac:dyDescent="0.35">
      <c r="A501" s="21" t="str">
        <f>IF(COUNTA(B501:H501,J501:S501,U501:V501)=0,"",IF((IF(B501="","PO Ref, ","")&amp;IF(C501="","Vendor, ","")&amp;IF(D501="","Store, ","")&amp;IF(F501="","Product Type, ","")&amp;IF(G501="","Category, ","")&amp;IF(H501="","HSN Code, ","")&amp;IF(Q501="","Qty, ","")&amp;IF(R501="","Purchase Rate, ","")&amp;IF(S501="","MRP, ",""))&lt;&gt;"","Missing: "&amp;LEFT(IF(B501="","PO Ref, ","")&amp;IF(C501="","Vendor, ","")&amp;IF(D501="","Store, ","")&amp;IF(F501="","Product Type, ","")&amp;IF(G501="","Category, ","")&amp;IF(H501="","HSN Code, ","")&amp;IF(Q501="","Qty, ","")&amp;IF(R501="","Purchase Rate, ","")&amp;IF(S501="","MRP, ",""),LEN(IF(B501="","PO Ref, ","")&amp;IF(C501="","Vendor, ","")&amp;IF(D501="","Store, ","")&amp;IF(F501="","Product Type, ","")&amp;IF(G501="","Category, ","")&amp;IF(H501="","HSN Code, ","")&amp;IF(Q501="","Qty, ","")&amp;IF(R501="","Purchase Rate, ","")&amp;IF(S501="","MRP, ",""))-2),IF(COUNTIF(Vendors!$B$3:$B$202,C501)=0,"Add vendor "&amp;C501&amp;" on the Vendors sheet",IF(ISNA(MATCH(H501,Codes!$A$2:$A$13,0)),"Pick the HSN Code from the list",IF(AND(E501&lt;&gt;"",COUNTIFS($C$3:$C$1002,C501,$E$3:$E$1002,E501,$F$3:$F$1002,"&lt;&gt;"&amp;F501)+COUNTIFS($C$3:$C$1002,C501,$E$3:$E$1002,E501,$G$3:$G$1002,"&lt;&gt;"&amp;G501)&gt;0),"Design "&amp;E501&amp;" has another Product Type or Category on another row",IF(COUNTIFS($F$3:$F$1002,F501,$G$3:$G$1002,G501,$H$3:$H$1002,"&lt;&gt;"&amp;H501)&gt;0,F501&amp;" + "&amp;G501&amp;" has another HSN Code on another row",IF(AND(V501&lt;&gt;"",U501=""),"Received Qty needs the Vendor Invoice No",IF(AND(U501&lt;&gt;"",COUNTIFS(Bills!$B$3:$B$302,U501,Bills!$C$3:$C$302,C501)=0),"Add bill "&amp;U501&amp;" of "&amp;C501&amp;" on the Bills sheet",IF(S501&lt;R501,"MRP is below the Purchase Rate","OK")))))))))</f>
        <v/>
      </c>
      <c r="B501" s="29"/>
      <c r="C501" s="22"/>
      <c r="D501" s="22"/>
      <c r="E501" s="24"/>
      <c r="F501" s="22"/>
      <c r="G501" s="22"/>
      <c r="H501" s="22"/>
      <c r="I501" s="30" t="str">
        <f>IF(H501="","",IFERROR(INDEX(Codes!$B$2:$B$13,MATCH(H501,Codes!$A$2:$A$13,0)),""))</f>
        <v/>
      </c>
      <c r="J501" s="23"/>
      <c r="K501" s="23"/>
      <c r="L501" s="23"/>
      <c r="M501" s="23"/>
      <c r="N501" s="23"/>
      <c r="O501" s="23"/>
      <c r="P501" s="23"/>
      <c r="Q501" s="31"/>
      <c r="R501" s="32"/>
      <c r="S501" s="32"/>
      <c r="T501" s="33" t="str">
        <f t="shared" si="14"/>
        <v/>
      </c>
      <c r="U501" s="34"/>
      <c r="V501" s="35"/>
      <c r="W501" s="33" t="str">
        <f t="shared" si="15"/>
        <v/>
      </c>
    </row>
    <row r="502" spans="1:23" x14ac:dyDescent="0.35">
      <c r="A502" s="21" t="str">
        <f>IF(COUNTA(B502:H502,J502:S502,U502:V502)=0,"",IF((IF(B502="","PO Ref, ","")&amp;IF(C502="","Vendor, ","")&amp;IF(D502="","Store, ","")&amp;IF(F502="","Product Type, ","")&amp;IF(G502="","Category, ","")&amp;IF(H502="","HSN Code, ","")&amp;IF(Q502="","Qty, ","")&amp;IF(R502="","Purchase Rate, ","")&amp;IF(S502="","MRP, ",""))&lt;&gt;"","Missing: "&amp;LEFT(IF(B502="","PO Ref, ","")&amp;IF(C502="","Vendor, ","")&amp;IF(D502="","Store, ","")&amp;IF(F502="","Product Type, ","")&amp;IF(G502="","Category, ","")&amp;IF(H502="","HSN Code, ","")&amp;IF(Q502="","Qty, ","")&amp;IF(R502="","Purchase Rate, ","")&amp;IF(S502="","MRP, ",""),LEN(IF(B502="","PO Ref, ","")&amp;IF(C502="","Vendor, ","")&amp;IF(D502="","Store, ","")&amp;IF(F502="","Product Type, ","")&amp;IF(G502="","Category, ","")&amp;IF(H502="","HSN Code, ","")&amp;IF(Q502="","Qty, ","")&amp;IF(R502="","Purchase Rate, ","")&amp;IF(S502="","MRP, ",""))-2),IF(COUNTIF(Vendors!$B$3:$B$202,C502)=0,"Add vendor "&amp;C502&amp;" on the Vendors sheet",IF(ISNA(MATCH(H502,Codes!$A$2:$A$13,0)),"Pick the HSN Code from the list",IF(AND(E502&lt;&gt;"",COUNTIFS($C$3:$C$1002,C502,$E$3:$E$1002,E502,$F$3:$F$1002,"&lt;&gt;"&amp;F502)+COUNTIFS($C$3:$C$1002,C502,$E$3:$E$1002,E502,$G$3:$G$1002,"&lt;&gt;"&amp;G502)&gt;0),"Design "&amp;E502&amp;" has another Product Type or Category on another row",IF(COUNTIFS($F$3:$F$1002,F502,$G$3:$G$1002,G502,$H$3:$H$1002,"&lt;&gt;"&amp;H502)&gt;0,F502&amp;" + "&amp;G502&amp;" has another HSN Code on another row",IF(AND(V502&lt;&gt;"",U502=""),"Received Qty needs the Vendor Invoice No",IF(AND(U502&lt;&gt;"",COUNTIFS(Bills!$B$3:$B$302,U502,Bills!$C$3:$C$302,C502)=0),"Add bill "&amp;U502&amp;" of "&amp;C502&amp;" on the Bills sheet",IF(S502&lt;R502,"MRP is below the Purchase Rate","OK")))))))))</f>
        <v/>
      </c>
      <c r="B502" s="29"/>
      <c r="C502" s="22"/>
      <c r="D502" s="22"/>
      <c r="E502" s="24"/>
      <c r="F502" s="22"/>
      <c r="G502" s="22"/>
      <c r="H502" s="22"/>
      <c r="I502" s="30" t="str">
        <f>IF(H502="","",IFERROR(INDEX(Codes!$B$2:$B$13,MATCH(H502,Codes!$A$2:$A$13,0)),""))</f>
        <v/>
      </c>
      <c r="J502" s="23"/>
      <c r="K502" s="23"/>
      <c r="L502" s="23"/>
      <c r="M502" s="23"/>
      <c r="N502" s="23"/>
      <c r="O502" s="23"/>
      <c r="P502" s="23"/>
      <c r="Q502" s="31"/>
      <c r="R502" s="32"/>
      <c r="S502" s="32"/>
      <c r="T502" s="33" t="str">
        <f t="shared" si="14"/>
        <v/>
      </c>
      <c r="U502" s="34"/>
      <c r="V502" s="35"/>
      <c r="W502" s="33" t="str">
        <f t="shared" si="15"/>
        <v/>
      </c>
    </row>
    <row r="503" spans="1:23" x14ac:dyDescent="0.35">
      <c r="A503" s="21" t="str">
        <f>IF(COUNTA(B503:H503,J503:S503,U503:V503)=0,"",IF((IF(B503="","PO Ref, ","")&amp;IF(C503="","Vendor, ","")&amp;IF(D503="","Store, ","")&amp;IF(F503="","Product Type, ","")&amp;IF(G503="","Category, ","")&amp;IF(H503="","HSN Code, ","")&amp;IF(Q503="","Qty, ","")&amp;IF(R503="","Purchase Rate, ","")&amp;IF(S503="","MRP, ",""))&lt;&gt;"","Missing: "&amp;LEFT(IF(B503="","PO Ref, ","")&amp;IF(C503="","Vendor, ","")&amp;IF(D503="","Store, ","")&amp;IF(F503="","Product Type, ","")&amp;IF(G503="","Category, ","")&amp;IF(H503="","HSN Code, ","")&amp;IF(Q503="","Qty, ","")&amp;IF(R503="","Purchase Rate, ","")&amp;IF(S503="","MRP, ",""),LEN(IF(B503="","PO Ref, ","")&amp;IF(C503="","Vendor, ","")&amp;IF(D503="","Store, ","")&amp;IF(F503="","Product Type, ","")&amp;IF(G503="","Category, ","")&amp;IF(H503="","HSN Code, ","")&amp;IF(Q503="","Qty, ","")&amp;IF(R503="","Purchase Rate, ","")&amp;IF(S503="","MRP, ",""))-2),IF(COUNTIF(Vendors!$B$3:$B$202,C503)=0,"Add vendor "&amp;C503&amp;" on the Vendors sheet",IF(ISNA(MATCH(H503,Codes!$A$2:$A$13,0)),"Pick the HSN Code from the list",IF(AND(E503&lt;&gt;"",COUNTIFS($C$3:$C$1002,C503,$E$3:$E$1002,E503,$F$3:$F$1002,"&lt;&gt;"&amp;F503)+COUNTIFS($C$3:$C$1002,C503,$E$3:$E$1002,E503,$G$3:$G$1002,"&lt;&gt;"&amp;G503)&gt;0),"Design "&amp;E503&amp;" has another Product Type or Category on another row",IF(COUNTIFS($F$3:$F$1002,F503,$G$3:$G$1002,G503,$H$3:$H$1002,"&lt;&gt;"&amp;H503)&gt;0,F503&amp;" + "&amp;G503&amp;" has another HSN Code on another row",IF(AND(V503&lt;&gt;"",U503=""),"Received Qty needs the Vendor Invoice No",IF(AND(U503&lt;&gt;"",COUNTIFS(Bills!$B$3:$B$302,U503,Bills!$C$3:$C$302,C503)=0),"Add bill "&amp;U503&amp;" of "&amp;C503&amp;" on the Bills sheet",IF(S503&lt;R503,"MRP is below the Purchase Rate","OK")))))))))</f>
        <v/>
      </c>
      <c r="B503" s="29"/>
      <c r="C503" s="22"/>
      <c r="D503" s="22"/>
      <c r="E503" s="24"/>
      <c r="F503" s="22"/>
      <c r="G503" s="22"/>
      <c r="H503" s="22"/>
      <c r="I503" s="30" t="str">
        <f>IF(H503="","",IFERROR(INDEX(Codes!$B$2:$B$13,MATCH(H503,Codes!$A$2:$A$13,0)),""))</f>
        <v/>
      </c>
      <c r="J503" s="23"/>
      <c r="K503" s="23"/>
      <c r="L503" s="23"/>
      <c r="M503" s="23"/>
      <c r="N503" s="23"/>
      <c r="O503" s="23"/>
      <c r="P503" s="23"/>
      <c r="Q503" s="31"/>
      <c r="R503" s="32"/>
      <c r="S503" s="32"/>
      <c r="T503" s="33" t="str">
        <f t="shared" si="14"/>
        <v/>
      </c>
      <c r="U503" s="34"/>
      <c r="V503" s="35"/>
      <c r="W503" s="33" t="str">
        <f t="shared" si="15"/>
        <v/>
      </c>
    </row>
    <row r="504" spans="1:23" x14ac:dyDescent="0.35">
      <c r="A504" s="21" t="str">
        <f>IF(COUNTA(B504:H504,J504:S504,U504:V504)=0,"",IF((IF(B504="","PO Ref, ","")&amp;IF(C504="","Vendor, ","")&amp;IF(D504="","Store, ","")&amp;IF(F504="","Product Type, ","")&amp;IF(G504="","Category, ","")&amp;IF(H504="","HSN Code, ","")&amp;IF(Q504="","Qty, ","")&amp;IF(R504="","Purchase Rate, ","")&amp;IF(S504="","MRP, ",""))&lt;&gt;"","Missing: "&amp;LEFT(IF(B504="","PO Ref, ","")&amp;IF(C504="","Vendor, ","")&amp;IF(D504="","Store, ","")&amp;IF(F504="","Product Type, ","")&amp;IF(G504="","Category, ","")&amp;IF(H504="","HSN Code, ","")&amp;IF(Q504="","Qty, ","")&amp;IF(R504="","Purchase Rate, ","")&amp;IF(S504="","MRP, ",""),LEN(IF(B504="","PO Ref, ","")&amp;IF(C504="","Vendor, ","")&amp;IF(D504="","Store, ","")&amp;IF(F504="","Product Type, ","")&amp;IF(G504="","Category, ","")&amp;IF(H504="","HSN Code, ","")&amp;IF(Q504="","Qty, ","")&amp;IF(R504="","Purchase Rate, ","")&amp;IF(S504="","MRP, ",""))-2),IF(COUNTIF(Vendors!$B$3:$B$202,C504)=0,"Add vendor "&amp;C504&amp;" on the Vendors sheet",IF(ISNA(MATCH(H504,Codes!$A$2:$A$13,0)),"Pick the HSN Code from the list",IF(AND(E504&lt;&gt;"",COUNTIFS($C$3:$C$1002,C504,$E$3:$E$1002,E504,$F$3:$F$1002,"&lt;&gt;"&amp;F504)+COUNTIFS($C$3:$C$1002,C504,$E$3:$E$1002,E504,$G$3:$G$1002,"&lt;&gt;"&amp;G504)&gt;0),"Design "&amp;E504&amp;" has another Product Type or Category on another row",IF(COUNTIFS($F$3:$F$1002,F504,$G$3:$G$1002,G504,$H$3:$H$1002,"&lt;&gt;"&amp;H504)&gt;0,F504&amp;" + "&amp;G504&amp;" has another HSN Code on another row",IF(AND(V504&lt;&gt;"",U504=""),"Received Qty needs the Vendor Invoice No",IF(AND(U504&lt;&gt;"",COUNTIFS(Bills!$B$3:$B$302,U504,Bills!$C$3:$C$302,C504)=0),"Add bill "&amp;U504&amp;" of "&amp;C504&amp;" on the Bills sheet",IF(S504&lt;R504,"MRP is below the Purchase Rate","OK")))))))))</f>
        <v/>
      </c>
      <c r="B504" s="29"/>
      <c r="C504" s="22"/>
      <c r="D504" s="22"/>
      <c r="E504" s="24"/>
      <c r="F504" s="22"/>
      <c r="G504" s="22"/>
      <c r="H504" s="22"/>
      <c r="I504" s="30" t="str">
        <f>IF(H504="","",IFERROR(INDEX(Codes!$B$2:$B$13,MATCH(H504,Codes!$A$2:$A$13,0)),""))</f>
        <v/>
      </c>
      <c r="J504" s="23"/>
      <c r="K504" s="23"/>
      <c r="L504" s="23"/>
      <c r="M504" s="23"/>
      <c r="N504" s="23"/>
      <c r="O504" s="23"/>
      <c r="P504" s="23"/>
      <c r="Q504" s="31"/>
      <c r="R504" s="32"/>
      <c r="S504" s="32"/>
      <c r="T504" s="33" t="str">
        <f t="shared" si="14"/>
        <v/>
      </c>
      <c r="U504" s="34"/>
      <c r="V504" s="35"/>
      <c r="W504" s="33" t="str">
        <f t="shared" si="15"/>
        <v/>
      </c>
    </row>
    <row r="505" spans="1:23" x14ac:dyDescent="0.35">
      <c r="A505" s="21" t="str">
        <f>IF(COUNTA(B505:H505,J505:S505,U505:V505)=0,"",IF((IF(B505="","PO Ref, ","")&amp;IF(C505="","Vendor, ","")&amp;IF(D505="","Store, ","")&amp;IF(F505="","Product Type, ","")&amp;IF(G505="","Category, ","")&amp;IF(H505="","HSN Code, ","")&amp;IF(Q505="","Qty, ","")&amp;IF(R505="","Purchase Rate, ","")&amp;IF(S505="","MRP, ",""))&lt;&gt;"","Missing: "&amp;LEFT(IF(B505="","PO Ref, ","")&amp;IF(C505="","Vendor, ","")&amp;IF(D505="","Store, ","")&amp;IF(F505="","Product Type, ","")&amp;IF(G505="","Category, ","")&amp;IF(H505="","HSN Code, ","")&amp;IF(Q505="","Qty, ","")&amp;IF(R505="","Purchase Rate, ","")&amp;IF(S505="","MRP, ",""),LEN(IF(B505="","PO Ref, ","")&amp;IF(C505="","Vendor, ","")&amp;IF(D505="","Store, ","")&amp;IF(F505="","Product Type, ","")&amp;IF(G505="","Category, ","")&amp;IF(H505="","HSN Code, ","")&amp;IF(Q505="","Qty, ","")&amp;IF(R505="","Purchase Rate, ","")&amp;IF(S505="","MRP, ",""))-2),IF(COUNTIF(Vendors!$B$3:$B$202,C505)=0,"Add vendor "&amp;C505&amp;" on the Vendors sheet",IF(ISNA(MATCH(H505,Codes!$A$2:$A$13,0)),"Pick the HSN Code from the list",IF(AND(E505&lt;&gt;"",COUNTIFS($C$3:$C$1002,C505,$E$3:$E$1002,E505,$F$3:$F$1002,"&lt;&gt;"&amp;F505)+COUNTIFS($C$3:$C$1002,C505,$E$3:$E$1002,E505,$G$3:$G$1002,"&lt;&gt;"&amp;G505)&gt;0),"Design "&amp;E505&amp;" has another Product Type or Category on another row",IF(COUNTIFS($F$3:$F$1002,F505,$G$3:$G$1002,G505,$H$3:$H$1002,"&lt;&gt;"&amp;H505)&gt;0,F505&amp;" + "&amp;G505&amp;" has another HSN Code on another row",IF(AND(V505&lt;&gt;"",U505=""),"Received Qty needs the Vendor Invoice No",IF(AND(U505&lt;&gt;"",COUNTIFS(Bills!$B$3:$B$302,U505,Bills!$C$3:$C$302,C505)=0),"Add bill "&amp;U505&amp;" of "&amp;C505&amp;" on the Bills sheet",IF(S505&lt;R505,"MRP is below the Purchase Rate","OK")))))))))</f>
        <v/>
      </c>
      <c r="B505" s="29"/>
      <c r="C505" s="22"/>
      <c r="D505" s="22"/>
      <c r="E505" s="24"/>
      <c r="F505" s="22"/>
      <c r="G505" s="22"/>
      <c r="H505" s="22"/>
      <c r="I505" s="30" t="str">
        <f>IF(H505="","",IFERROR(INDEX(Codes!$B$2:$B$13,MATCH(H505,Codes!$A$2:$A$13,0)),""))</f>
        <v/>
      </c>
      <c r="J505" s="23"/>
      <c r="K505" s="23"/>
      <c r="L505" s="23"/>
      <c r="M505" s="23"/>
      <c r="N505" s="23"/>
      <c r="O505" s="23"/>
      <c r="P505" s="23"/>
      <c r="Q505" s="31"/>
      <c r="R505" s="32"/>
      <c r="S505" s="32"/>
      <c r="T505" s="33" t="str">
        <f t="shared" si="14"/>
        <v/>
      </c>
      <c r="U505" s="34"/>
      <c r="V505" s="35"/>
      <c r="W505" s="33" t="str">
        <f t="shared" si="15"/>
        <v/>
      </c>
    </row>
    <row r="506" spans="1:23" x14ac:dyDescent="0.35">
      <c r="A506" s="21" t="str">
        <f>IF(COUNTA(B506:H506,J506:S506,U506:V506)=0,"",IF((IF(B506="","PO Ref, ","")&amp;IF(C506="","Vendor, ","")&amp;IF(D506="","Store, ","")&amp;IF(F506="","Product Type, ","")&amp;IF(G506="","Category, ","")&amp;IF(H506="","HSN Code, ","")&amp;IF(Q506="","Qty, ","")&amp;IF(R506="","Purchase Rate, ","")&amp;IF(S506="","MRP, ",""))&lt;&gt;"","Missing: "&amp;LEFT(IF(B506="","PO Ref, ","")&amp;IF(C506="","Vendor, ","")&amp;IF(D506="","Store, ","")&amp;IF(F506="","Product Type, ","")&amp;IF(G506="","Category, ","")&amp;IF(H506="","HSN Code, ","")&amp;IF(Q506="","Qty, ","")&amp;IF(R506="","Purchase Rate, ","")&amp;IF(S506="","MRP, ",""),LEN(IF(B506="","PO Ref, ","")&amp;IF(C506="","Vendor, ","")&amp;IF(D506="","Store, ","")&amp;IF(F506="","Product Type, ","")&amp;IF(G506="","Category, ","")&amp;IF(H506="","HSN Code, ","")&amp;IF(Q506="","Qty, ","")&amp;IF(R506="","Purchase Rate, ","")&amp;IF(S506="","MRP, ",""))-2),IF(COUNTIF(Vendors!$B$3:$B$202,C506)=0,"Add vendor "&amp;C506&amp;" on the Vendors sheet",IF(ISNA(MATCH(H506,Codes!$A$2:$A$13,0)),"Pick the HSN Code from the list",IF(AND(E506&lt;&gt;"",COUNTIFS($C$3:$C$1002,C506,$E$3:$E$1002,E506,$F$3:$F$1002,"&lt;&gt;"&amp;F506)+COUNTIFS($C$3:$C$1002,C506,$E$3:$E$1002,E506,$G$3:$G$1002,"&lt;&gt;"&amp;G506)&gt;0),"Design "&amp;E506&amp;" has another Product Type or Category on another row",IF(COUNTIFS($F$3:$F$1002,F506,$G$3:$G$1002,G506,$H$3:$H$1002,"&lt;&gt;"&amp;H506)&gt;0,F506&amp;" + "&amp;G506&amp;" has another HSN Code on another row",IF(AND(V506&lt;&gt;"",U506=""),"Received Qty needs the Vendor Invoice No",IF(AND(U506&lt;&gt;"",COUNTIFS(Bills!$B$3:$B$302,U506,Bills!$C$3:$C$302,C506)=0),"Add bill "&amp;U506&amp;" of "&amp;C506&amp;" on the Bills sheet",IF(S506&lt;R506,"MRP is below the Purchase Rate","OK")))))))))</f>
        <v/>
      </c>
      <c r="B506" s="29"/>
      <c r="C506" s="22"/>
      <c r="D506" s="22"/>
      <c r="E506" s="24"/>
      <c r="F506" s="22"/>
      <c r="G506" s="22"/>
      <c r="H506" s="22"/>
      <c r="I506" s="30" t="str">
        <f>IF(H506="","",IFERROR(INDEX(Codes!$B$2:$B$13,MATCH(H506,Codes!$A$2:$A$13,0)),""))</f>
        <v/>
      </c>
      <c r="J506" s="23"/>
      <c r="K506" s="23"/>
      <c r="L506" s="23"/>
      <c r="M506" s="23"/>
      <c r="N506" s="23"/>
      <c r="O506" s="23"/>
      <c r="P506" s="23"/>
      <c r="Q506" s="31"/>
      <c r="R506" s="32"/>
      <c r="S506" s="32"/>
      <c r="T506" s="33" t="str">
        <f t="shared" si="14"/>
        <v/>
      </c>
      <c r="U506" s="34"/>
      <c r="V506" s="35"/>
      <c r="W506" s="33" t="str">
        <f t="shared" si="15"/>
        <v/>
      </c>
    </row>
    <row r="507" spans="1:23" x14ac:dyDescent="0.35">
      <c r="A507" s="21" t="str">
        <f>IF(COUNTA(B507:H507,J507:S507,U507:V507)=0,"",IF((IF(B507="","PO Ref, ","")&amp;IF(C507="","Vendor, ","")&amp;IF(D507="","Store, ","")&amp;IF(F507="","Product Type, ","")&amp;IF(G507="","Category, ","")&amp;IF(H507="","HSN Code, ","")&amp;IF(Q507="","Qty, ","")&amp;IF(R507="","Purchase Rate, ","")&amp;IF(S507="","MRP, ",""))&lt;&gt;"","Missing: "&amp;LEFT(IF(B507="","PO Ref, ","")&amp;IF(C507="","Vendor, ","")&amp;IF(D507="","Store, ","")&amp;IF(F507="","Product Type, ","")&amp;IF(G507="","Category, ","")&amp;IF(H507="","HSN Code, ","")&amp;IF(Q507="","Qty, ","")&amp;IF(R507="","Purchase Rate, ","")&amp;IF(S507="","MRP, ",""),LEN(IF(B507="","PO Ref, ","")&amp;IF(C507="","Vendor, ","")&amp;IF(D507="","Store, ","")&amp;IF(F507="","Product Type, ","")&amp;IF(G507="","Category, ","")&amp;IF(H507="","HSN Code, ","")&amp;IF(Q507="","Qty, ","")&amp;IF(R507="","Purchase Rate, ","")&amp;IF(S507="","MRP, ",""))-2),IF(COUNTIF(Vendors!$B$3:$B$202,C507)=0,"Add vendor "&amp;C507&amp;" on the Vendors sheet",IF(ISNA(MATCH(H507,Codes!$A$2:$A$13,0)),"Pick the HSN Code from the list",IF(AND(E507&lt;&gt;"",COUNTIFS($C$3:$C$1002,C507,$E$3:$E$1002,E507,$F$3:$F$1002,"&lt;&gt;"&amp;F507)+COUNTIFS($C$3:$C$1002,C507,$E$3:$E$1002,E507,$G$3:$G$1002,"&lt;&gt;"&amp;G507)&gt;0),"Design "&amp;E507&amp;" has another Product Type or Category on another row",IF(COUNTIFS($F$3:$F$1002,F507,$G$3:$G$1002,G507,$H$3:$H$1002,"&lt;&gt;"&amp;H507)&gt;0,F507&amp;" + "&amp;G507&amp;" has another HSN Code on another row",IF(AND(V507&lt;&gt;"",U507=""),"Received Qty needs the Vendor Invoice No",IF(AND(U507&lt;&gt;"",COUNTIFS(Bills!$B$3:$B$302,U507,Bills!$C$3:$C$302,C507)=0),"Add bill "&amp;U507&amp;" of "&amp;C507&amp;" on the Bills sheet",IF(S507&lt;R507,"MRP is below the Purchase Rate","OK")))))))))</f>
        <v/>
      </c>
      <c r="B507" s="29"/>
      <c r="C507" s="22"/>
      <c r="D507" s="22"/>
      <c r="E507" s="24"/>
      <c r="F507" s="22"/>
      <c r="G507" s="22"/>
      <c r="H507" s="22"/>
      <c r="I507" s="30" t="str">
        <f>IF(H507="","",IFERROR(INDEX(Codes!$B$2:$B$13,MATCH(H507,Codes!$A$2:$A$13,0)),""))</f>
        <v/>
      </c>
      <c r="J507" s="23"/>
      <c r="K507" s="23"/>
      <c r="L507" s="23"/>
      <c r="M507" s="23"/>
      <c r="N507" s="23"/>
      <c r="O507" s="23"/>
      <c r="P507" s="23"/>
      <c r="Q507" s="31"/>
      <c r="R507" s="32"/>
      <c r="S507" s="32"/>
      <c r="T507" s="33" t="str">
        <f t="shared" si="14"/>
        <v/>
      </c>
      <c r="U507" s="34"/>
      <c r="V507" s="35"/>
      <c r="W507" s="33" t="str">
        <f t="shared" si="15"/>
        <v/>
      </c>
    </row>
    <row r="508" spans="1:23" x14ac:dyDescent="0.35">
      <c r="A508" s="21" t="str">
        <f>IF(COUNTA(B508:H508,J508:S508,U508:V508)=0,"",IF((IF(B508="","PO Ref, ","")&amp;IF(C508="","Vendor, ","")&amp;IF(D508="","Store, ","")&amp;IF(F508="","Product Type, ","")&amp;IF(G508="","Category, ","")&amp;IF(H508="","HSN Code, ","")&amp;IF(Q508="","Qty, ","")&amp;IF(R508="","Purchase Rate, ","")&amp;IF(S508="","MRP, ",""))&lt;&gt;"","Missing: "&amp;LEFT(IF(B508="","PO Ref, ","")&amp;IF(C508="","Vendor, ","")&amp;IF(D508="","Store, ","")&amp;IF(F508="","Product Type, ","")&amp;IF(G508="","Category, ","")&amp;IF(H508="","HSN Code, ","")&amp;IF(Q508="","Qty, ","")&amp;IF(R508="","Purchase Rate, ","")&amp;IF(S508="","MRP, ",""),LEN(IF(B508="","PO Ref, ","")&amp;IF(C508="","Vendor, ","")&amp;IF(D508="","Store, ","")&amp;IF(F508="","Product Type, ","")&amp;IF(G508="","Category, ","")&amp;IF(H508="","HSN Code, ","")&amp;IF(Q508="","Qty, ","")&amp;IF(R508="","Purchase Rate, ","")&amp;IF(S508="","MRP, ",""))-2),IF(COUNTIF(Vendors!$B$3:$B$202,C508)=0,"Add vendor "&amp;C508&amp;" on the Vendors sheet",IF(ISNA(MATCH(H508,Codes!$A$2:$A$13,0)),"Pick the HSN Code from the list",IF(AND(E508&lt;&gt;"",COUNTIFS($C$3:$C$1002,C508,$E$3:$E$1002,E508,$F$3:$F$1002,"&lt;&gt;"&amp;F508)+COUNTIFS($C$3:$C$1002,C508,$E$3:$E$1002,E508,$G$3:$G$1002,"&lt;&gt;"&amp;G508)&gt;0),"Design "&amp;E508&amp;" has another Product Type or Category on another row",IF(COUNTIFS($F$3:$F$1002,F508,$G$3:$G$1002,G508,$H$3:$H$1002,"&lt;&gt;"&amp;H508)&gt;0,F508&amp;" + "&amp;G508&amp;" has another HSN Code on another row",IF(AND(V508&lt;&gt;"",U508=""),"Received Qty needs the Vendor Invoice No",IF(AND(U508&lt;&gt;"",COUNTIFS(Bills!$B$3:$B$302,U508,Bills!$C$3:$C$302,C508)=0),"Add bill "&amp;U508&amp;" of "&amp;C508&amp;" on the Bills sheet",IF(S508&lt;R508,"MRP is below the Purchase Rate","OK")))))))))</f>
        <v/>
      </c>
      <c r="B508" s="29"/>
      <c r="C508" s="22"/>
      <c r="D508" s="22"/>
      <c r="E508" s="24"/>
      <c r="F508" s="22"/>
      <c r="G508" s="22"/>
      <c r="H508" s="22"/>
      <c r="I508" s="30" t="str">
        <f>IF(H508="","",IFERROR(INDEX(Codes!$B$2:$B$13,MATCH(H508,Codes!$A$2:$A$13,0)),""))</f>
        <v/>
      </c>
      <c r="J508" s="23"/>
      <c r="K508" s="23"/>
      <c r="L508" s="23"/>
      <c r="M508" s="23"/>
      <c r="N508" s="23"/>
      <c r="O508" s="23"/>
      <c r="P508" s="23"/>
      <c r="Q508" s="31"/>
      <c r="R508" s="32"/>
      <c r="S508" s="32"/>
      <c r="T508" s="33" t="str">
        <f t="shared" si="14"/>
        <v/>
      </c>
      <c r="U508" s="34"/>
      <c r="V508" s="35"/>
      <c r="W508" s="33" t="str">
        <f t="shared" si="15"/>
        <v/>
      </c>
    </row>
    <row r="509" spans="1:23" x14ac:dyDescent="0.35">
      <c r="A509" s="21" t="str">
        <f>IF(COUNTA(B509:H509,J509:S509,U509:V509)=0,"",IF((IF(B509="","PO Ref, ","")&amp;IF(C509="","Vendor, ","")&amp;IF(D509="","Store, ","")&amp;IF(F509="","Product Type, ","")&amp;IF(G509="","Category, ","")&amp;IF(H509="","HSN Code, ","")&amp;IF(Q509="","Qty, ","")&amp;IF(R509="","Purchase Rate, ","")&amp;IF(S509="","MRP, ",""))&lt;&gt;"","Missing: "&amp;LEFT(IF(B509="","PO Ref, ","")&amp;IF(C509="","Vendor, ","")&amp;IF(D509="","Store, ","")&amp;IF(F509="","Product Type, ","")&amp;IF(G509="","Category, ","")&amp;IF(H509="","HSN Code, ","")&amp;IF(Q509="","Qty, ","")&amp;IF(R509="","Purchase Rate, ","")&amp;IF(S509="","MRP, ",""),LEN(IF(B509="","PO Ref, ","")&amp;IF(C509="","Vendor, ","")&amp;IF(D509="","Store, ","")&amp;IF(F509="","Product Type, ","")&amp;IF(G509="","Category, ","")&amp;IF(H509="","HSN Code, ","")&amp;IF(Q509="","Qty, ","")&amp;IF(R509="","Purchase Rate, ","")&amp;IF(S509="","MRP, ",""))-2),IF(COUNTIF(Vendors!$B$3:$B$202,C509)=0,"Add vendor "&amp;C509&amp;" on the Vendors sheet",IF(ISNA(MATCH(H509,Codes!$A$2:$A$13,0)),"Pick the HSN Code from the list",IF(AND(E509&lt;&gt;"",COUNTIFS($C$3:$C$1002,C509,$E$3:$E$1002,E509,$F$3:$F$1002,"&lt;&gt;"&amp;F509)+COUNTIFS($C$3:$C$1002,C509,$E$3:$E$1002,E509,$G$3:$G$1002,"&lt;&gt;"&amp;G509)&gt;0),"Design "&amp;E509&amp;" has another Product Type or Category on another row",IF(COUNTIFS($F$3:$F$1002,F509,$G$3:$G$1002,G509,$H$3:$H$1002,"&lt;&gt;"&amp;H509)&gt;0,F509&amp;" + "&amp;G509&amp;" has another HSN Code on another row",IF(AND(V509&lt;&gt;"",U509=""),"Received Qty needs the Vendor Invoice No",IF(AND(U509&lt;&gt;"",COUNTIFS(Bills!$B$3:$B$302,U509,Bills!$C$3:$C$302,C509)=0),"Add bill "&amp;U509&amp;" of "&amp;C509&amp;" on the Bills sheet",IF(S509&lt;R509,"MRP is below the Purchase Rate","OK")))))))))</f>
        <v/>
      </c>
      <c r="B509" s="29"/>
      <c r="C509" s="22"/>
      <c r="D509" s="22"/>
      <c r="E509" s="24"/>
      <c r="F509" s="22"/>
      <c r="G509" s="22"/>
      <c r="H509" s="22"/>
      <c r="I509" s="30" t="str">
        <f>IF(H509="","",IFERROR(INDEX(Codes!$B$2:$B$13,MATCH(H509,Codes!$A$2:$A$13,0)),""))</f>
        <v/>
      </c>
      <c r="J509" s="23"/>
      <c r="K509" s="23"/>
      <c r="L509" s="23"/>
      <c r="M509" s="23"/>
      <c r="N509" s="23"/>
      <c r="O509" s="23"/>
      <c r="P509" s="23"/>
      <c r="Q509" s="31"/>
      <c r="R509" s="32"/>
      <c r="S509" s="32"/>
      <c r="T509" s="33" t="str">
        <f t="shared" si="14"/>
        <v/>
      </c>
      <c r="U509" s="34"/>
      <c r="V509" s="35"/>
      <c r="W509" s="33" t="str">
        <f t="shared" si="15"/>
        <v/>
      </c>
    </row>
    <row r="510" spans="1:23" x14ac:dyDescent="0.35">
      <c r="A510" s="21" t="str">
        <f>IF(COUNTA(B510:H510,J510:S510,U510:V510)=0,"",IF((IF(B510="","PO Ref, ","")&amp;IF(C510="","Vendor, ","")&amp;IF(D510="","Store, ","")&amp;IF(F510="","Product Type, ","")&amp;IF(G510="","Category, ","")&amp;IF(H510="","HSN Code, ","")&amp;IF(Q510="","Qty, ","")&amp;IF(R510="","Purchase Rate, ","")&amp;IF(S510="","MRP, ",""))&lt;&gt;"","Missing: "&amp;LEFT(IF(B510="","PO Ref, ","")&amp;IF(C510="","Vendor, ","")&amp;IF(D510="","Store, ","")&amp;IF(F510="","Product Type, ","")&amp;IF(G510="","Category, ","")&amp;IF(H510="","HSN Code, ","")&amp;IF(Q510="","Qty, ","")&amp;IF(R510="","Purchase Rate, ","")&amp;IF(S510="","MRP, ",""),LEN(IF(B510="","PO Ref, ","")&amp;IF(C510="","Vendor, ","")&amp;IF(D510="","Store, ","")&amp;IF(F510="","Product Type, ","")&amp;IF(G510="","Category, ","")&amp;IF(H510="","HSN Code, ","")&amp;IF(Q510="","Qty, ","")&amp;IF(R510="","Purchase Rate, ","")&amp;IF(S510="","MRP, ",""))-2),IF(COUNTIF(Vendors!$B$3:$B$202,C510)=0,"Add vendor "&amp;C510&amp;" on the Vendors sheet",IF(ISNA(MATCH(H510,Codes!$A$2:$A$13,0)),"Pick the HSN Code from the list",IF(AND(E510&lt;&gt;"",COUNTIFS($C$3:$C$1002,C510,$E$3:$E$1002,E510,$F$3:$F$1002,"&lt;&gt;"&amp;F510)+COUNTIFS($C$3:$C$1002,C510,$E$3:$E$1002,E510,$G$3:$G$1002,"&lt;&gt;"&amp;G510)&gt;0),"Design "&amp;E510&amp;" has another Product Type or Category on another row",IF(COUNTIFS($F$3:$F$1002,F510,$G$3:$G$1002,G510,$H$3:$H$1002,"&lt;&gt;"&amp;H510)&gt;0,F510&amp;" + "&amp;G510&amp;" has another HSN Code on another row",IF(AND(V510&lt;&gt;"",U510=""),"Received Qty needs the Vendor Invoice No",IF(AND(U510&lt;&gt;"",COUNTIFS(Bills!$B$3:$B$302,U510,Bills!$C$3:$C$302,C510)=0),"Add bill "&amp;U510&amp;" of "&amp;C510&amp;" on the Bills sheet",IF(S510&lt;R510,"MRP is below the Purchase Rate","OK")))))))))</f>
        <v/>
      </c>
      <c r="B510" s="29"/>
      <c r="C510" s="22"/>
      <c r="D510" s="22"/>
      <c r="E510" s="24"/>
      <c r="F510" s="22"/>
      <c r="G510" s="22"/>
      <c r="H510" s="22"/>
      <c r="I510" s="30" t="str">
        <f>IF(H510="","",IFERROR(INDEX(Codes!$B$2:$B$13,MATCH(H510,Codes!$A$2:$A$13,0)),""))</f>
        <v/>
      </c>
      <c r="J510" s="23"/>
      <c r="K510" s="23"/>
      <c r="L510" s="23"/>
      <c r="M510" s="23"/>
      <c r="N510" s="23"/>
      <c r="O510" s="23"/>
      <c r="P510" s="23"/>
      <c r="Q510" s="31"/>
      <c r="R510" s="32"/>
      <c r="S510" s="32"/>
      <c r="T510" s="33" t="str">
        <f t="shared" si="14"/>
        <v/>
      </c>
      <c r="U510" s="34"/>
      <c r="V510" s="35"/>
      <c r="W510" s="33" t="str">
        <f t="shared" si="15"/>
        <v/>
      </c>
    </row>
    <row r="511" spans="1:23" x14ac:dyDescent="0.35">
      <c r="A511" s="21" t="str">
        <f>IF(COUNTA(B511:H511,J511:S511,U511:V511)=0,"",IF((IF(B511="","PO Ref, ","")&amp;IF(C511="","Vendor, ","")&amp;IF(D511="","Store, ","")&amp;IF(F511="","Product Type, ","")&amp;IF(G511="","Category, ","")&amp;IF(H511="","HSN Code, ","")&amp;IF(Q511="","Qty, ","")&amp;IF(R511="","Purchase Rate, ","")&amp;IF(S511="","MRP, ",""))&lt;&gt;"","Missing: "&amp;LEFT(IF(B511="","PO Ref, ","")&amp;IF(C511="","Vendor, ","")&amp;IF(D511="","Store, ","")&amp;IF(F511="","Product Type, ","")&amp;IF(G511="","Category, ","")&amp;IF(H511="","HSN Code, ","")&amp;IF(Q511="","Qty, ","")&amp;IF(R511="","Purchase Rate, ","")&amp;IF(S511="","MRP, ",""),LEN(IF(B511="","PO Ref, ","")&amp;IF(C511="","Vendor, ","")&amp;IF(D511="","Store, ","")&amp;IF(F511="","Product Type, ","")&amp;IF(G511="","Category, ","")&amp;IF(H511="","HSN Code, ","")&amp;IF(Q511="","Qty, ","")&amp;IF(R511="","Purchase Rate, ","")&amp;IF(S511="","MRP, ",""))-2),IF(COUNTIF(Vendors!$B$3:$B$202,C511)=0,"Add vendor "&amp;C511&amp;" on the Vendors sheet",IF(ISNA(MATCH(H511,Codes!$A$2:$A$13,0)),"Pick the HSN Code from the list",IF(AND(E511&lt;&gt;"",COUNTIFS($C$3:$C$1002,C511,$E$3:$E$1002,E511,$F$3:$F$1002,"&lt;&gt;"&amp;F511)+COUNTIFS($C$3:$C$1002,C511,$E$3:$E$1002,E511,$G$3:$G$1002,"&lt;&gt;"&amp;G511)&gt;0),"Design "&amp;E511&amp;" has another Product Type or Category on another row",IF(COUNTIFS($F$3:$F$1002,F511,$G$3:$G$1002,G511,$H$3:$H$1002,"&lt;&gt;"&amp;H511)&gt;0,F511&amp;" + "&amp;G511&amp;" has another HSN Code on another row",IF(AND(V511&lt;&gt;"",U511=""),"Received Qty needs the Vendor Invoice No",IF(AND(U511&lt;&gt;"",COUNTIFS(Bills!$B$3:$B$302,U511,Bills!$C$3:$C$302,C511)=0),"Add bill "&amp;U511&amp;" of "&amp;C511&amp;" on the Bills sheet",IF(S511&lt;R511,"MRP is below the Purchase Rate","OK")))))))))</f>
        <v/>
      </c>
      <c r="B511" s="29"/>
      <c r="C511" s="22"/>
      <c r="D511" s="22"/>
      <c r="E511" s="24"/>
      <c r="F511" s="22"/>
      <c r="G511" s="22"/>
      <c r="H511" s="22"/>
      <c r="I511" s="30" t="str">
        <f>IF(H511="","",IFERROR(INDEX(Codes!$B$2:$B$13,MATCH(H511,Codes!$A$2:$A$13,0)),""))</f>
        <v/>
      </c>
      <c r="J511" s="23"/>
      <c r="K511" s="23"/>
      <c r="L511" s="23"/>
      <c r="M511" s="23"/>
      <c r="N511" s="23"/>
      <c r="O511" s="23"/>
      <c r="P511" s="23"/>
      <c r="Q511" s="31"/>
      <c r="R511" s="32"/>
      <c r="S511" s="32"/>
      <c r="T511" s="33" t="str">
        <f t="shared" si="14"/>
        <v/>
      </c>
      <c r="U511" s="34"/>
      <c r="V511" s="35"/>
      <c r="W511" s="33" t="str">
        <f t="shared" si="15"/>
        <v/>
      </c>
    </row>
    <row r="512" spans="1:23" x14ac:dyDescent="0.35">
      <c r="A512" s="21" t="str">
        <f>IF(COUNTA(B512:H512,J512:S512,U512:V512)=0,"",IF((IF(B512="","PO Ref, ","")&amp;IF(C512="","Vendor, ","")&amp;IF(D512="","Store, ","")&amp;IF(F512="","Product Type, ","")&amp;IF(G512="","Category, ","")&amp;IF(H512="","HSN Code, ","")&amp;IF(Q512="","Qty, ","")&amp;IF(R512="","Purchase Rate, ","")&amp;IF(S512="","MRP, ",""))&lt;&gt;"","Missing: "&amp;LEFT(IF(B512="","PO Ref, ","")&amp;IF(C512="","Vendor, ","")&amp;IF(D512="","Store, ","")&amp;IF(F512="","Product Type, ","")&amp;IF(G512="","Category, ","")&amp;IF(H512="","HSN Code, ","")&amp;IF(Q512="","Qty, ","")&amp;IF(R512="","Purchase Rate, ","")&amp;IF(S512="","MRP, ",""),LEN(IF(B512="","PO Ref, ","")&amp;IF(C512="","Vendor, ","")&amp;IF(D512="","Store, ","")&amp;IF(F512="","Product Type, ","")&amp;IF(G512="","Category, ","")&amp;IF(H512="","HSN Code, ","")&amp;IF(Q512="","Qty, ","")&amp;IF(R512="","Purchase Rate, ","")&amp;IF(S512="","MRP, ",""))-2),IF(COUNTIF(Vendors!$B$3:$B$202,C512)=0,"Add vendor "&amp;C512&amp;" on the Vendors sheet",IF(ISNA(MATCH(H512,Codes!$A$2:$A$13,0)),"Pick the HSN Code from the list",IF(AND(E512&lt;&gt;"",COUNTIFS($C$3:$C$1002,C512,$E$3:$E$1002,E512,$F$3:$F$1002,"&lt;&gt;"&amp;F512)+COUNTIFS($C$3:$C$1002,C512,$E$3:$E$1002,E512,$G$3:$G$1002,"&lt;&gt;"&amp;G512)&gt;0),"Design "&amp;E512&amp;" has another Product Type or Category on another row",IF(COUNTIFS($F$3:$F$1002,F512,$G$3:$G$1002,G512,$H$3:$H$1002,"&lt;&gt;"&amp;H512)&gt;0,F512&amp;" + "&amp;G512&amp;" has another HSN Code on another row",IF(AND(V512&lt;&gt;"",U512=""),"Received Qty needs the Vendor Invoice No",IF(AND(U512&lt;&gt;"",COUNTIFS(Bills!$B$3:$B$302,U512,Bills!$C$3:$C$302,C512)=0),"Add bill "&amp;U512&amp;" of "&amp;C512&amp;" on the Bills sheet",IF(S512&lt;R512,"MRP is below the Purchase Rate","OK")))))))))</f>
        <v/>
      </c>
      <c r="B512" s="29"/>
      <c r="C512" s="22"/>
      <c r="D512" s="22"/>
      <c r="E512" s="24"/>
      <c r="F512" s="22"/>
      <c r="G512" s="22"/>
      <c r="H512" s="22"/>
      <c r="I512" s="30" t="str">
        <f>IF(H512="","",IFERROR(INDEX(Codes!$B$2:$B$13,MATCH(H512,Codes!$A$2:$A$13,0)),""))</f>
        <v/>
      </c>
      <c r="J512" s="23"/>
      <c r="K512" s="23"/>
      <c r="L512" s="23"/>
      <c r="M512" s="23"/>
      <c r="N512" s="23"/>
      <c r="O512" s="23"/>
      <c r="P512" s="23"/>
      <c r="Q512" s="31"/>
      <c r="R512" s="32"/>
      <c r="S512" s="32"/>
      <c r="T512" s="33" t="str">
        <f t="shared" si="14"/>
        <v/>
      </c>
      <c r="U512" s="34"/>
      <c r="V512" s="35"/>
      <c r="W512" s="33" t="str">
        <f t="shared" si="15"/>
        <v/>
      </c>
    </row>
    <row r="513" spans="1:23" x14ac:dyDescent="0.35">
      <c r="A513" s="21" t="str">
        <f>IF(COUNTA(B513:H513,J513:S513,U513:V513)=0,"",IF((IF(B513="","PO Ref, ","")&amp;IF(C513="","Vendor, ","")&amp;IF(D513="","Store, ","")&amp;IF(F513="","Product Type, ","")&amp;IF(G513="","Category, ","")&amp;IF(H513="","HSN Code, ","")&amp;IF(Q513="","Qty, ","")&amp;IF(R513="","Purchase Rate, ","")&amp;IF(S513="","MRP, ",""))&lt;&gt;"","Missing: "&amp;LEFT(IF(B513="","PO Ref, ","")&amp;IF(C513="","Vendor, ","")&amp;IF(D513="","Store, ","")&amp;IF(F513="","Product Type, ","")&amp;IF(G513="","Category, ","")&amp;IF(H513="","HSN Code, ","")&amp;IF(Q513="","Qty, ","")&amp;IF(R513="","Purchase Rate, ","")&amp;IF(S513="","MRP, ",""),LEN(IF(B513="","PO Ref, ","")&amp;IF(C513="","Vendor, ","")&amp;IF(D513="","Store, ","")&amp;IF(F513="","Product Type, ","")&amp;IF(G513="","Category, ","")&amp;IF(H513="","HSN Code, ","")&amp;IF(Q513="","Qty, ","")&amp;IF(R513="","Purchase Rate, ","")&amp;IF(S513="","MRP, ",""))-2),IF(COUNTIF(Vendors!$B$3:$B$202,C513)=0,"Add vendor "&amp;C513&amp;" on the Vendors sheet",IF(ISNA(MATCH(H513,Codes!$A$2:$A$13,0)),"Pick the HSN Code from the list",IF(AND(E513&lt;&gt;"",COUNTIFS($C$3:$C$1002,C513,$E$3:$E$1002,E513,$F$3:$F$1002,"&lt;&gt;"&amp;F513)+COUNTIFS($C$3:$C$1002,C513,$E$3:$E$1002,E513,$G$3:$G$1002,"&lt;&gt;"&amp;G513)&gt;0),"Design "&amp;E513&amp;" has another Product Type or Category on another row",IF(COUNTIFS($F$3:$F$1002,F513,$G$3:$G$1002,G513,$H$3:$H$1002,"&lt;&gt;"&amp;H513)&gt;0,F513&amp;" + "&amp;G513&amp;" has another HSN Code on another row",IF(AND(V513&lt;&gt;"",U513=""),"Received Qty needs the Vendor Invoice No",IF(AND(U513&lt;&gt;"",COUNTIFS(Bills!$B$3:$B$302,U513,Bills!$C$3:$C$302,C513)=0),"Add bill "&amp;U513&amp;" of "&amp;C513&amp;" on the Bills sheet",IF(S513&lt;R513,"MRP is below the Purchase Rate","OK")))))))))</f>
        <v/>
      </c>
      <c r="B513" s="29"/>
      <c r="C513" s="22"/>
      <c r="D513" s="22"/>
      <c r="E513" s="24"/>
      <c r="F513" s="22"/>
      <c r="G513" s="22"/>
      <c r="H513" s="22"/>
      <c r="I513" s="30" t="str">
        <f>IF(H513="","",IFERROR(INDEX(Codes!$B$2:$B$13,MATCH(H513,Codes!$A$2:$A$13,0)),""))</f>
        <v/>
      </c>
      <c r="J513" s="23"/>
      <c r="K513" s="23"/>
      <c r="L513" s="23"/>
      <c r="M513" s="23"/>
      <c r="N513" s="23"/>
      <c r="O513" s="23"/>
      <c r="P513" s="23"/>
      <c r="Q513" s="31"/>
      <c r="R513" s="32"/>
      <c r="S513" s="32"/>
      <c r="T513" s="33" t="str">
        <f t="shared" si="14"/>
        <v/>
      </c>
      <c r="U513" s="34"/>
      <c r="V513" s="35"/>
      <c r="W513" s="33" t="str">
        <f t="shared" si="15"/>
        <v/>
      </c>
    </row>
    <row r="514" spans="1:23" x14ac:dyDescent="0.35">
      <c r="A514" s="21" t="str">
        <f>IF(COUNTA(B514:H514,J514:S514,U514:V514)=0,"",IF((IF(B514="","PO Ref, ","")&amp;IF(C514="","Vendor, ","")&amp;IF(D514="","Store, ","")&amp;IF(F514="","Product Type, ","")&amp;IF(G514="","Category, ","")&amp;IF(H514="","HSN Code, ","")&amp;IF(Q514="","Qty, ","")&amp;IF(R514="","Purchase Rate, ","")&amp;IF(S514="","MRP, ",""))&lt;&gt;"","Missing: "&amp;LEFT(IF(B514="","PO Ref, ","")&amp;IF(C514="","Vendor, ","")&amp;IF(D514="","Store, ","")&amp;IF(F514="","Product Type, ","")&amp;IF(G514="","Category, ","")&amp;IF(H514="","HSN Code, ","")&amp;IF(Q514="","Qty, ","")&amp;IF(R514="","Purchase Rate, ","")&amp;IF(S514="","MRP, ",""),LEN(IF(B514="","PO Ref, ","")&amp;IF(C514="","Vendor, ","")&amp;IF(D514="","Store, ","")&amp;IF(F514="","Product Type, ","")&amp;IF(G514="","Category, ","")&amp;IF(H514="","HSN Code, ","")&amp;IF(Q514="","Qty, ","")&amp;IF(R514="","Purchase Rate, ","")&amp;IF(S514="","MRP, ",""))-2),IF(COUNTIF(Vendors!$B$3:$B$202,C514)=0,"Add vendor "&amp;C514&amp;" on the Vendors sheet",IF(ISNA(MATCH(H514,Codes!$A$2:$A$13,0)),"Pick the HSN Code from the list",IF(AND(E514&lt;&gt;"",COUNTIFS($C$3:$C$1002,C514,$E$3:$E$1002,E514,$F$3:$F$1002,"&lt;&gt;"&amp;F514)+COUNTIFS($C$3:$C$1002,C514,$E$3:$E$1002,E514,$G$3:$G$1002,"&lt;&gt;"&amp;G514)&gt;0),"Design "&amp;E514&amp;" has another Product Type or Category on another row",IF(COUNTIFS($F$3:$F$1002,F514,$G$3:$G$1002,G514,$H$3:$H$1002,"&lt;&gt;"&amp;H514)&gt;0,F514&amp;" + "&amp;G514&amp;" has another HSN Code on another row",IF(AND(V514&lt;&gt;"",U514=""),"Received Qty needs the Vendor Invoice No",IF(AND(U514&lt;&gt;"",COUNTIFS(Bills!$B$3:$B$302,U514,Bills!$C$3:$C$302,C514)=0),"Add bill "&amp;U514&amp;" of "&amp;C514&amp;" on the Bills sheet",IF(S514&lt;R514,"MRP is below the Purchase Rate","OK")))))))))</f>
        <v/>
      </c>
      <c r="B514" s="29"/>
      <c r="C514" s="22"/>
      <c r="D514" s="22"/>
      <c r="E514" s="24"/>
      <c r="F514" s="22"/>
      <c r="G514" s="22"/>
      <c r="H514" s="22"/>
      <c r="I514" s="30" t="str">
        <f>IF(H514="","",IFERROR(INDEX(Codes!$B$2:$B$13,MATCH(H514,Codes!$A$2:$A$13,0)),""))</f>
        <v/>
      </c>
      <c r="J514" s="23"/>
      <c r="K514" s="23"/>
      <c r="L514" s="23"/>
      <c r="M514" s="23"/>
      <c r="N514" s="23"/>
      <c r="O514" s="23"/>
      <c r="P514" s="23"/>
      <c r="Q514" s="31"/>
      <c r="R514" s="32"/>
      <c r="S514" s="32"/>
      <c r="T514" s="33" t="str">
        <f t="shared" si="14"/>
        <v/>
      </c>
      <c r="U514" s="34"/>
      <c r="V514" s="35"/>
      <c r="W514" s="33" t="str">
        <f t="shared" si="15"/>
        <v/>
      </c>
    </row>
    <row r="515" spans="1:23" x14ac:dyDescent="0.35">
      <c r="A515" s="21" t="str">
        <f>IF(COUNTA(B515:H515,J515:S515,U515:V515)=0,"",IF((IF(B515="","PO Ref, ","")&amp;IF(C515="","Vendor, ","")&amp;IF(D515="","Store, ","")&amp;IF(F515="","Product Type, ","")&amp;IF(G515="","Category, ","")&amp;IF(H515="","HSN Code, ","")&amp;IF(Q515="","Qty, ","")&amp;IF(R515="","Purchase Rate, ","")&amp;IF(S515="","MRP, ",""))&lt;&gt;"","Missing: "&amp;LEFT(IF(B515="","PO Ref, ","")&amp;IF(C515="","Vendor, ","")&amp;IF(D515="","Store, ","")&amp;IF(F515="","Product Type, ","")&amp;IF(G515="","Category, ","")&amp;IF(H515="","HSN Code, ","")&amp;IF(Q515="","Qty, ","")&amp;IF(R515="","Purchase Rate, ","")&amp;IF(S515="","MRP, ",""),LEN(IF(B515="","PO Ref, ","")&amp;IF(C515="","Vendor, ","")&amp;IF(D515="","Store, ","")&amp;IF(F515="","Product Type, ","")&amp;IF(G515="","Category, ","")&amp;IF(H515="","HSN Code, ","")&amp;IF(Q515="","Qty, ","")&amp;IF(R515="","Purchase Rate, ","")&amp;IF(S515="","MRP, ",""))-2),IF(COUNTIF(Vendors!$B$3:$B$202,C515)=0,"Add vendor "&amp;C515&amp;" on the Vendors sheet",IF(ISNA(MATCH(H515,Codes!$A$2:$A$13,0)),"Pick the HSN Code from the list",IF(AND(E515&lt;&gt;"",COUNTIFS($C$3:$C$1002,C515,$E$3:$E$1002,E515,$F$3:$F$1002,"&lt;&gt;"&amp;F515)+COUNTIFS($C$3:$C$1002,C515,$E$3:$E$1002,E515,$G$3:$G$1002,"&lt;&gt;"&amp;G515)&gt;0),"Design "&amp;E515&amp;" has another Product Type or Category on another row",IF(COUNTIFS($F$3:$F$1002,F515,$G$3:$G$1002,G515,$H$3:$H$1002,"&lt;&gt;"&amp;H515)&gt;0,F515&amp;" + "&amp;G515&amp;" has another HSN Code on another row",IF(AND(V515&lt;&gt;"",U515=""),"Received Qty needs the Vendor Invoice No",IF(AND(U515&lt;&gt;"",COUNTIFS(Bills!$B$3:$B$302,U515,Bills!$C$3:$C$302,C515)=0),"Add bill "&amp;U515&amp;" of "&amp;C515&amp;" on the Bills sheet",IF(S515&lt;R515,"MRP is below the Purchase Rate","OK")))))))))</f>
        <v/>
      </c>
      <c r="B515" s="29"/>
      <c r="C515" s="22"/>
      <c r="D515" s="22"/>
      <c r="E515" s="24"/>
      <c r="F515" s="22"/>
      <c r="G515" s="22"/>
      <c r="H515" s="22"/>
      <c r="I515" s="30" t="str">
        <f>IF(H515="","",IFERROR(INDEX(Codes!$B$2:$B$13,MATCH(H515,Codes!$A$2:$A$13,0)),""))</f>
        <v/>
      </c>
      <c r="J515" s="23"/>
      <c r="K515" s="23"/>
      <c r="L515" s="23"/>
      <c r="M515" s="23"/>
      <c r="N515" s="23"/>
      <c r="O515" s="23"/>
      <c r="P515" s="23"/>
      <c r="Q515" s="31"/>
      <c r="R515" s="32"/>
      <c r="S515" s="32"/>
      <c r="T515" s="33" t="str">
        <f t="shared" ref="T515:T578" si="16">IF(OR(Q515="",R515=""),"",Q515*R515)</f>
        <v/>
      </c>
      <c r="U515" s="34"/>
      <c r="V515" s="35"/>
      <c r="W515" s="33" t="str">
        <f t="shared" ref="W515:W578" si="17">IF(OR(U515="",R515=""),"",IF(V515="",Q515,V515)*R515)</f>
        <v/>
      </c>
    </row>
    <row r="516" spans="1:23" x14ac:dyDescent="0.35">
      <c r="A516" s="21" t="str">
        <f>IF(COUNTA(B516:H516,J516:S516,U516:V516)=0,"",IF((IF(B516="","PO Ref, ","")&amp;IF(C516="","Vendor, ","")&amp;IF(D516="","Store, ","")&amp;IF(F516="","Product Type, ","")&amp;IF(G516="","Category, ","")&amp;IF(H516="","HSN Code, ","")&amp;IF(Q516="","Qty, ","")&amp;IF(R516="","Purchase Rate, ","")&amp;IF(S516="","MRP, ",""))&lt;&gt;"","Missing: "&amp;LEFT(IF(B516="","PO Ref, ","")&amp;IF(C516="","Vendor, ","")&amp;IF(D516="","Store, ","")&amp;IF(F516="","Product Type, ","")&amp;IF(G516="","Category, ","")&amp;IF(H516="","HSN Code, ","")&amp;IF(Q516="","Qty, ","")&amp;IF(R516="","Purchase Rate, ","")&amp;IF(S516="","MRP, ",""),LEN(IF(B516="","PO Ref, ","")&amp;IF(C516="","Vendor, ","")&amp;IF(D516="","Store, ","")&amp;IF(F516="","Product Type, ","")&amp;IF(G516="","Category, ","")&amp;IF(H516="","HSN Code, ","")&amp;IF(Q516="","Qty, ","")&amp;IF(R516="","Purchase Rate, ","")&amp;IF(S516="","MRP, ",""))-2),IF(COUNTIF(Vendors!$B$3:$B$202,C516)=0,"Add vendor "&amp;C516&amp;" on the Vendors sheet",IF(ISNA(MATCH(H516,Codes!$A$2:$A$13,0)),"Pick the HSN Code from the list",IF(AND(E516&lt;&gt;"",COUNTIFS($C$3:$C$1002,C516,$E$3:$E$1002,E516,$F$3:$F$1002,"&lt;&gt;"&amp;F516)+COUNTIFS($C$3:$C$1002,C516,$E$3:$E$1002,E516,$G$3:$G$1002,"&lt;&gt;"&amp;G516)&gt;0),"Design "&amp;E516&amp;" has another Product Type or Category on another row",IF(COUNTIFS($F$3:$F$1002,F516,$G$3:$G$1002,G516,$H$3:$H$1002,"&lt;&gt;"&amp;H516)&gt;0,F516&amp;" + "&amp;G516&amp;" has another HSN Code on another row",IF(AND(V516&lt;&gt;"",U516=""),"Received Qty needs the Vendor Invoice No",IF(AND(U516&lt;&gt;"",COUNTIFS(Bills!$B$3:$B$302,U516,Bills!$C$3:$C$302,C516)=0),"Add bill "&amp;U516&amp;" of "&amp;C516&amp;" on the Bills sheet",IF(S516&lt;R516,"MRP is below the Purchase Rate","OK")))))))))</f>
        <v/>
      </c>
      <c r="B516" s="29"/>
      <c r="C516" s="22"/>
      <c r="D516" s="22"/>
      <c r="E516" s="24"/>
      <c r="F516" s="22"/>
      <c r="G516" s="22"/>
      <c r="H516" s="22"/>
      <c r="I516" s="30" t="str">
        <f>IF(H516="","",IFERROR(INDEX(Codes!$B$2:$B$13,MATCH(H516,Codes!$A$2:$A$13,0)),""))</f>
        <v/>
      </c>
      <c r="J516" s="23"/>
      <c r="K516" s="23"/>
      <c r="L516" s="23"/>
      <c r="M516" s="23"/>
      <c r="N516" s="23"/>
      <c r="O516" s="23"/>
      <c r="P516" s="23"/>
      <c r="Q516" s="31"/>
      <c r="R516" s="32"/>
      <c r="S516" s="32"/>
      <c r="T516" s="33" t="str">
        <f t="shared" si="16"/>
        <v/>
      </c>
      <c r="U516" s="34"/>
      <c r="V516" s="35"/>
      <c r="W516" s="33" t="str">
        <f t="shared" si="17"/>
        <v/>
      </c>
    </row>
    <row r="517" spans="1:23" x14ac:dyDescent="0.35">
      <c r="A517" s="21" t="str">
        <f>IF(COUNTA(B517:H517,J517:S517,U517:V517)=0,"",IF((IF(B517="","PO Ref, ","")&amp;IF(C517="","Vendor, ","")&amp;IF(D517="","Store, ","")&amp;IF(F517="","Product Type, ","")&amp;IF(G517="","Category, ","")&amp;IF(H517="","HSN Code, ","")&amp;IF(Q517="","Qty, ","")&amp;IF(R517="","Purchase Rate, ","")&amp;IF(S517="","MRP, ",""))&lt;&gt;"","Missing: "&amp;LEFT(IF(B517="","PO Ref, ","")&amp;IF(C517="","Vendor, ","")&amp;IF(D517="","Store, ","")&amp;IF(F517="","Product Type, ","")&amp;IF(G517="","Category, ","")&amp;IF(H517="","HSN Code, ","")&amp;IF(Q517="","Qty, ","")&amp;IF(R517="","Purchase Rate, ","")&amp;IF(S517="","MRP, ",""),LEN(IF(B517="","PO Ref, ","")&amp;IF(C517="","Vendor, ","")&amp;IF(D517="","Store, ","")&amp;IF(F517="","Product Type, ","")&amp;IF(G517="","Category, ","")&amp;IF(H517="","HSN Code, ","")&amp;IF(Q517="","Qty, ","")&amp;IF(R517="","Purchase Rate, ","")&amp;IF(S517="","MRP, ",""))-2),IF(COUNTIF(Vendors!$B$3:$B$202,C517)=0,"Add vendor "&amp;C517&amp;" on the Vendors sheet",IF(ISNA(MATCH(H517,Codes!$A$2:$A$13,0)),"Pick the HSN Code from the list",IF(AND(E517&lt;&gt;"",COUNTIFS($C$3:$C$1002,C517,$E$3:$E$1002,E517,$F$3:$F$1002,"&lt;&gt;"&amp;F517)+COUNTIFS($C$3:$C$1002,C517,$E$3:$E$1002,E517,$G$3:$G$1002,"&lt;&gt;"&amp;G517)&gt;0),"Design "&amp;E517&amp;" has another Product Type or Category on another row",IF(COUNTIFS($F$3:$F$1002,F517,$G$3:$G$1002,G517,$H$3:$H$1002,"&lt;&gt;"&amp;H517)&gt;0,F517&amp;" + "&amp;G517&amp;" has another HSN Code on another row",IF(AND(V517&lt;&gt;"",U517=""),"Received Qty needs the Vendor Invoice No",IF(AND(U517&lt;&gt;"",COUNTIFS(Bills!$B$3:$B$302,U517,Bills!$C$3:$C$302,C517)=0),"Add bill "&amp;U517&amp;" of "&amp;C517&amp;" on the Bills sheet",IF(S517&lt;R517,"MRP is below the Purchase Rate","OK")))))))))</f>
        <v/>
      </c>
      <c r="B517" s="29"/>
      <c r="C517" s="22"/>
      <c r="D517" s="22"/>
      <c r="E517" s="24"/>
      <c r="F517" s="22"/>
      <c r="G517" s="22"/>
      <c r="H517" s="22"/>
      <c r="I517" s="30" t="str">
        <f>IF(H517="","",IFERROR(INDEX(Codes!$B$2:$B$13,MATCH(H517,Codes!$A$2:$A$13,0)),""))</f>
        <v/>
      </c>
      <c r="J517" s="23"/>
      <c r="K517" s="23"/>
      <c r="L517" s="23"/>
      <c r="M517" s="23"/>
      <c r="N517" s="23"/>
      <c r="O517" s="23"/>
      <c r="P517" s="23"/>
      <c r="Q517" s="31"/>
      <c r="R517" s="32"/>
      <c r="S517" s="32"/>
      <c r="T517" s="33" t="str">
        <f t="shared" si="16"/>
        <v/>
      </c>
      <c r="U517" s="34"/>
      <c r="V517" s="35"/>
      <c r="W517" s="33" t="str">
        <f t="shared" si="17"/>
        <v/>
      </c>
    </row>
    <row r="518" spans="1:23" x14ac:dyDescent="0.35">
      <c r="A518" s="21" t="str">
        <f>IF(COUNTA(B518:H518,J518:S518,U518:V518)=0,"",IF((IF(B518="","PO Ref, ","")&amp;IF(C518="","Vendor, ","")&amp;IF(D518="","Store, ","")&amp;IF(F518="","Product Type, ","")&amp;IF(G518="","Category, ","")&amp;IF(H518="","HSN Code, ","")&amp;IF(Q518="","Qty, ","")&amp;IF(R518="","Purchase Rate, ","")&amp;IF(S518="","MRP, ",""))&lt;&gt;"","Missing: "&amp;LEFT(IF(B518="","PO Ref, ","")&amp;IF(C518="","Vendor, ","")&amp;IF(D518="","Store, ","")&amp;IF(F518="","Product Type, ","")&amp;IF(G518="","Category, ","")&amp;IF(H518="","HSN Code, ","")&amp;IF(Q518="","Qty, ","")&amp;IF(R518="","Purchase Rate, ","")&amp;IF(S518="","MRP, ",""),LEN(IF(B518="","PO Ref, ","")&amp;IF(C518="","Vendor, ","")&amp;IF(D518="","Store, ","")&amp;IF(F518="","Product Type, ","")&amp;IF(G518="","Category, ","")&amp;IF(H518="","HSN Code, ","")&amp;IF(Q518="","Qty, ","")&amp;IF(R518="","Purchase Rate, ","")&amp;IF(S518="","MRP, ",""))-2),IF(COUNTIF(Vendors!$B$3:$B$202,C518)=0,"Add vendor "&amp;C518&amp;" on the Vendors sheet",IF(ISNA(MATCH(H518,Codes!$A$2:$A$13,0)),"Pick the HSN Code from the list",IF(AND(E518&lt;&gt;"",COUNTIFS($C$3:$C$1002,C518,$E$3:$E$1002,E518,$F$3:$F$1002,"&lt;&gt;"&amp;F518)+COUNTIFS($C$3:$C$1002,C518,$E$3:$E$1002,E518,$G$3:$G$1002,"&lt;&gt;"&amp;G518)&gt;0),"Design "&amp;E518&amp;" has another Product Type or Category on another row",IF(COUNTIFS($F$3:$F$1002,F518,$G$3:$G$1002,G518,$H$3:$H$1002,"&lt;&gt;"&amp;H518)&gt;0,F518&amp;" + "&amp;G518&amp;" has another HSN Code on another row",IF(AND(V518&lt;&gt;"",U518=""),"Received Qty needs the Vendor Invoice No",IF(AND(U518&lt;&gt;"",COUNTIFS(Bills!$B$3:$B$302,U518,Bills!$C$3:$C$302,C518)=0),"Add bill "&amp;U518&amp;" of "&amp;C518&amp;" on the Bills sheet",IF(S518&lt;R518,"MRP is below the Purchase Rate","OK")))))))))</f>
        <v/>
      </c>
      <c r="B518" s="29"/>
      <c r="C518" s="22"/>
      <c r="D518" s="22"/>
      <c r="E518" s="24"/>
      <c r="F518" s="22"/>
      <c r="G518" s="22"/>
      <c r="H518" s="22"/>
      <c r="I518" s="30" t="str">
        <f>IF(H518="","",IFERROR(INDEX(Codes!$B$2:$B$13,MATCH(H518,Codes!$A$2:$A$13,0)),""))</f>
        <v/>
      </c>
      <c r="J518" s="23"/>
      <c r="K518" s="23"/>
      <c r="L518" s="23"/>
      <c r="M518" s="23"/>
      <c r="N518" s="23"/>
      <c r="O518" s="23"/>
      <c r="P518" s="23"/>
      <c r="Q518" s="31"/>
      <c r="R518" s="32"/>
      <c r="S518" s="32"/>
      <c r="T518" s="33" t="str">
        <f t="shared" si="16"/>
        <v/>
      </c>
      <c r="U518" s="34"/>
      <c r="V518" s="35"/>
      <c r="W518" s="33" t="str">
        <f t="shared" si="17"/>
        <v/>
      </c>
    </row>
    <row r="519" spans="1:23" x14ac:dyDescent="0.35">
      <c r="A519" s="21" t="str">
        <f>IF(COUNTA(B519:H519,J519:S519,U519:V519)=0,"",IF((IF(B519="","PO Ref, ","")&amp;IF(C519="","Vendor, ","")&amp;IF(D519="","Store, ","")&amp;IF(F519="","Product Type, ","")&amp;IF(G519="","Category, ","")&amp;IF(H519="","HSN Code, ","")&amp;IF(Q519="","Qty, ","")&amp;IF(R519="","Purchase Rate, ","")&amp;IF(S519="","MRP, ",""))&lt;&gt;"","Missing: "&amp;LEFT(IF(B519="","PO Ref, ","")&amp;IF(C519="","Vendor, ","")&amp;IF(D519="","Store, ","")&amp;IF(F519="","Product Type, ","")&amp;IF(G519="","Category, ","")&amp;IF(H519="","HSN Code, ","")&amp;IF(Q519="","Qty, ","")&amp;IF(R519="","Purchase Rate, ","")&amp;IF(S519="","MRP, ",""),LEN(IF(B519="","PO Ref, ","")&amp;IF(C519="","Vendor, ","")&amp;IF(D519="","Store, ","")&amp;IF(F519="","Product Type, ","")&amp;IF(G519="","Category, ","")&amp;IF(H519="","HSN Code, ","")&amp;IF(Q519="","Qty, ","")&amp;IF(R519="","Purchase Rate, ","")&amp;IF(S519="","MRP, ",""))-2),IF(COUNTIF(Vendors!$B$3:$B$202,C519)=0,"Add vendor "&amp;C519&amp;" on the Vendors sheet",IF(ISNA(MATCH(H519,Codes!$A$2:$A$13,0)),"Pick the HSN Code from the list",IF(AND(E519&lt;&gt;"",COUNTIFS($C$3:$C$1002,C519,$E$3:$E$1002,E519,$F$3:$F$1002,"&lt;&gt;"&amp;F519)+COUNTIFS($C$3:$C$1002,C519,$E$3:$E$1002,E519,$G$3:$G$1002,"&lt;&gt;"&amp;G519)&gt;0),"Design "&amp;E519&amp;" has another Product Type or Category on another row",IF(COUNTIFS($F$3:$F$1002,F519,$G$3:$G$1002,G519,$H$3:$H$1002,"&lt;&gt;"&amp;H519)&gt;0,F519&amp;" + "&amp;G519&amp;" has another HSN Code on another row",IF(AND(V519&lt;&gt;"",U519=""),"Received Qty needs the Vendor Invoice No",IF(AND(U519&lt;&gt;"",COUNTIFS(Bills!$B$3:$B$302,U519,Bills!$C$3:$C$302,C519)=0),"Add bill "&amp;U519&amp;" of "&amp;C519&amp;" on the Bills sheet",IF(S519&lt;R519,"MRP is below the Purchase Rate","OK")))))))))</f>
        <v/>
      </c>
      <c r="B519" s="29"/>
      <c r="C519" s="22"/>
      <c r="D519" s="22"/>
      <c r="E519" s="24"/>
      <c r="F519" s="22"/>
      <c r="G519" s="22"/>
      <c r="H519" s="22"/>
      <c r="I519" s="30" t="str">
        <f>IF(H519="","",IFERROR(INDEX(Codes!$B$2:$B$13,MATCH(H519,Codes!$A$2:$A$13,0)),""))</f>
        <v/>
      </c>
      <c r="J519" s="23"/>
      <c r="K519" s="23"/>
      <c r="L519" s="23"/>
      <c r="M519" s="23"/>
      <c r="N519" s="23"/>
      <c r="O519" s="23"/>
      <c r="P519" s="23"/>
      <c r="Q519" s="31"/>
      <c r="R519" s="32"/>
      <c r="S519" s="32"/>
      <c r="T519" s="33" t="str">
        <f t="shared" si="16"/>
        <v/>
      </c>
      <c r="U519" s="34"/>
      <c r="V519" s="35"/>
      <c r="W519" s="33" t="str">
        <f t="shared" si="17"/>
        <v/>
      </c>
    </row>
    <row r="520" spans="1:23" x14ac:dyDescent="0.35">
      <c r="A520" s="21" t="str">
        <f>IF(COUNTA(B520:H520,J520:S520,U520:V520)=0,"",IF((IF(B520="","PO Ref, ","")&amp;IF(C520="","Vendor, ","")&amp;IF(D520="","Store, ","")&amp;IF(F520="","Product Type, ","")&amp;IF(G520="","Category, ","")&amp;IF(H520="","HSN Code, ","")&amp;IF(Q520="","Qty, ","")&amp;IF(R520="","Purchase Rate, ","")&amp;IF(S520="","MRP, ",""))&lt;&gt;"","Missing: "&amp;LEFT(IF(B520="","PO Ref, ","")&amp;IF(C520="","Vendor, ","")&amp;IF(D520="","Store, ","")&amp;IF(F520="","Product Type, ","")&amp;IF(G520="","Category, ","")&amp;IF(H520="","HSN Code, ","")&amp;IF(Q520="","Qty, ","")&amp;IF(R520="","Purchase Rate, ","")&amp;IF(S520="","MRP, ",""),LEN(IF(B520="","PO Ref, ","")&amp;IF(C520="","Vendor, ","")&amp;IF(D520="","Store, ","")&amp;IF(F520="","Product Type, ","")&amp;IF(G520="","Category, ","")&amp;IF(H520="","HSN Code, ","")&amp;IF(Q520="","Qty, ","")&amp;IF(R520="","Purchase Rate, ","")&amp;IF(S520="","MRP, ",""))-2),IF(COUNTIF(Vendors!$B$3:$B$202,C520)=0,"Add vendor "&amp;C520&amp;" on the Vendors sheet",IF(ISNA(MATCH(H520,Codes!$A$2:$A$13,0)),"Pick the HSN Code from the list",IF(AND(E520&lt;&gt;"",COUNTIFS($C$3:$C$1002,C520,$E$3:$E$1002,E520,$F$3:$F$1002,"&lt;&gt;"&amp;F520)+COUNTIFS($C$3:$C$1002,C520,$E$3:$E$1002,E520,$G$3:$G$1002,"&lt;&gt;"&amp;G520)&gt;0),"Design "&amp;E520&amp;" has another Product Type or Category on another row",IF(COUNTIFS($F$3:$F$1002,F520,$G$3:$G$1002,G520,$H$3:$H$1002,"&lt;&gt;"&amp;H520)&gt;0,F520&amp;" + "&amp;G520&amp;" has another HSN Code on another row",IF(AND(V520&lt;&gt;"",U520=""),"Received Qty needs the Vendor Invoice No",IF(AND(U520&lt;&gt;"",COUNTIFS(Bills!$B$3:$B$302,U520,Bills!$C$3:$C$302,C520)=0),"Add bill "&amp;U520&amp;" of "&amp;C520&amp;" on the Bills sheet",IF(S520&lt;R520,"MRP is below the Purchase Rate","OK")))))))))</f>
        <v/>
      </c>
      <c r="B520" s="29"/>
      <c r="C520" s="22"/>
      <c r="D520" s="22"/>
      <c r="E520" s="24"/>
      <c r="F520" s="22"/>
      <c r="G520" s="22"/>
      <c r="H520" s="22"/>
      <c r="I520" s="30" t="str">
        <f>IF(H520="","",IFERROR(INDEX(Codes!$B$2:$B$13,MATCH(H520,Codes!$A$2:$A$13,0)),""))</f>
        <v/>
      </c>
      <c r="J520" s="23"/>
      <c r="K520" s="23"/>
      <c r="L520" s="23"/>
      <c r="M520" s="23"/>
      <c r="N520" s="23"/>
      <c r="O520" s="23"/>
      <c r="P520" s="23"/>
      <c r="Q520" s="31"/>
      <c r="R520" s="32"/>
      <c r="S520" s="32"/>
      <c r="T520" s="33" t="str">
        <f t="shared" si="16"/>
        <v/>
      </c>
      <c r="U520" s="34"/>
      <c r="V520" s="35"/>
      <c r="W520" s="33" t="str">
        <f t="shared" si="17"/>
        <v/>
      </c>
    </row>
    <row r="521" spans="1:23" x14ac:dyDescent="0.35">
      <c r="A521" s="21" t="str">
        <f>IF(COUNTA(B521:H521,J521:S521,U521:V521)=0,"",IF((IF(B521="","PO Ref, ","")&amp;IF(C521="","Vendor, ","")&amp;IF(D521="","Store, ","")&amp;IF(F521="","Product Type, ","")&amp;IF(G521="","Category, ","")&amp;IF(H521="","HSN Code, ","")&amp;IF(Q521="","Qty, ","")&amp;IF(R521="","Purchase Rate, ","")&amp;IF(S521="","MRP, ",""))&lt;&gt;"","Missing: "&amp;LEFT(IF(B521="","PO Ref, ","")&amp;IF(C521="","Vendor, ","")&amp;IF(D521="","Store, ","")&amp;IF(F521="","Product Type, ","")&amp;IF(G521="","Category, ","")&amp;IF(H521="","HSN Code, ","")&amp;IF(Q521="","Qty, ","")&amp;IF(R521="","Purchase Rate, ","")&amp;IF(S521="","MRP, ",""),LEN(IF(B521="","PO Ref, ","")&amp;IF(C521="","Vendor, ","")&amp;IF(D521="","Store, ","")&amp;IF(F521="","Product Type, ","")&amp;IF(G521="","Category, ","")&amp;IF(H521="","HSN Code, ","")&amp;IF(Q521="","Qty, ","")&amp;IF(R521="","Purchase Rate, ","")&amp;IF(S521="","MRP, ",""))-2),IF(COUNTIF(Vendors!$B$3:$B$202,C521)=0,"Add vendor "&amp;C521&amp;" on the Vendors sheet",IF(ISNA(MATCH(H521,Codes!$A$2:$A$13,0)),"Pick the HSN Code from the list",IF(AND(E521&lt;&gt;"",COUNTIFS($C$3:$C$1002,C521,$E$3:$E$1002,E521,$F$3:$F$1002,"&lt;&gt;"&amp;F521)+COUNTIFS($C$3:$C$1002,C521,$E$3:$E$1002,E521,$G$3:$G$1002,"&lt;&gt;"&amp;G521)&gt;0),"Design "&amp;E521&amp;" has another Product Type or Category on another row",IF(COUNTIFS($F$3:$F$1002,F521,$G$3:$G$1002,G521,$H$3:$H$1002,"&lt;&gt;"&amp;H521)&gt;0,F521&amp;" + "&amp;G521&amp;" has another HSN Code on another row",IF(AND(V521&lt;&gt;"",U521=""),"Received Qty needs the Vendor Invoice No",IF(AND(U521&lt;&gt;"",COUNTIFS(Bills!$B$3:$B$302,U521,Bills!$C$3:$C$302,C521)=0),"Add bill "&amp;U521&amp;" of "&amp;C521&amp;" on the Bills sheet",IF(S521&lt;R521,"MRP is below the Purchase Rate","OK")))))))))</f>
        <v/>
      </c>
      <c r="B521" s="29"/>
      <c r="C521" s="22"/>
      <c r="D521" s="22"/>
      <c r="E521" s="24"/>
      <c r="F521" s="22"/>
      <c r="G521" s="22"/>
      <c r="H521" s="22"/>
      <c r="I521" s="30" t="str">
        <f>IF(H521="","",IFERROR(INDEX(Codes!$B$2:$B$13,MATCH(H521,Codes!$A$2:$A$13,0)),""))</f>
        <v/>
      </c>
      <c r="J521" s="23"/>
      <c r="K521" s="23"/>
      <c r="L521" s="23"/>
      <c r="M521" s="23"/>
      <c r="N521" s="23"/>
      <c r="O521" s="23"/>
      <c r="P521" s="23"/>
      <c r="Q521" s="31"/>
      <c r="R521" s="32"/>
      <c r="S521" s="32"/>
      <c r="T521" s="33" t="str">
        <f t="shared" si="16"/>
        <v/>
      </c>
      <c r="U521" s="34"/>
      <c r="V521" s="35"/>
      <c r="W521" s="33" t="str">
        <f t="shared" si="17"/>
        <v/>
      </c>
    </row>
    <row r="522" spans="1:23" x14ac:dyDescent="0.35">
      <c r="A522" s="21" t="str">
        <f>IF(COUNTA(B522:H522,J522:S522,U522:V522)=0,"",IF((IF(B522="","PO Ref, ","")&amp;IF(C522="","Vendor, ","")&amp;IF(D522="","Store, ","")&amp;IF(F522="","Product Type, ","")&amp;IF(G522="","Category, ","")&amp;IF(H522="","HSN Code, ","")&amp;IF(Q522="","Qty, ","")&amp;IF(R522="","Purchase Rate, ","")&amp;IF(S522="","MRP, ",""))&lt;&gt;"","Missing: "&amp;LEFT(IF(B522="","PO Ref, ","")&amp;IF(C522="","Vendor, ","")&amp;IF(D522="","Store, ","")&amp;IF(F522="","Product Type, ","")&amp;IF(G522="","Category, ","")&amp;IF(H522="","HSN Code, ","")&amp;IF(Q522="","Qty, ","")&amp;IF(R522="","Purchase Rate, ","")&amp;IF(S522="","MRP, ",""),LEN(IF(B522="","PO Ref, ","")&amp;IF(C522="","Vendor, ","")&amp;IF(D522="","Store, ","")&amp;IF(F522="","Product Type, ","")&amp;IF(G522="","Category, ","")&amp;IF(H522="","HSN Code, ","")&amp;IF(Q522="","Qty, ","")&amp;IF(R522="","Purchase Rate, ","")&amp;IF(S522="","MRP, ",""))-2),IF(COUNTIF(Vendors!$B$3:$B$202,C522)=0,"Add vendor "&amp;C522&amp;" on the Vendors sheet",IF(ISNA(MATCH(H522,Codes!$A$2:$A$13,0)),"Pick the HSN Code from the list",IF(AND(E522&lt;&gt;"",COUNTIFS($C$3:$C$1002,C522,$E$3:$E$1002,E522,$F$3:$F$1002,"&lt;&gt;"&amp;F522)+COUNTIFS($C$3:$C$1002,C522,$E$3:$E$1002,E522,$G$3:$G$1002,"&lt;&gt;"&amp;G522)&gt;0),"Design "&amp;E522&amp;" has another Product Type or Category on another row",IF(COUNTIFS($F$3:$F$1002,F522,$G$3:$G$1002,G522,$H$3:$H$1002,"&lt;&gt;"&amp;H522)&gt;0,F522&amp;" + "&amp;G522&amp;" has another HSN Code on another row",IF(AND(V522&lt;&gt;"",U522=""),"Received Qty needs the Vendor Invoice No",IF(AND(U522&lt;&gt;"",COUNTIFS(Bills!$B$3:$B$302,U522,Bills!$C$3:$C$302,C522)=0),"Add bill "&amp;U522&amp;" of "&amp;C522&amp;" on the Bills sheet",IF(S522&lt;R522,"MRP is below the Purchase Rate","OK")))))))))</f>
        <v/>
      </c>
      <c r="B522" s="29"/>
      <c r="C522" s="22"/>
      <c r="D522" s="22"/>
      <c r="E522" s="24"/>
      <c r="F522" s="22"/>
      <c r="G522" s="22"/>
      <c r="H522" s="22"/>
      <c r="I522" s="30" t="str">
        <f>IF(H522="","",IFERROR(INDEX(Codes!$B$2:$B$13,MATCH(H522,Codes!$A$2:$A$13,0)),""))</f>
        <v/>
      </c>
      <c r="J522" s="23"/>
      <c r="K522" s="23"/>
      <c r="L522" s="23"/>
      <c r="M522" s="23"/>
      <c r="N522" s="23"/>
      <c r="O522" s="23"/>
      <c r="P522" s="23"/>
      <c r="Q522" s="31"/>
      <c r="R522" s="32"/>
      <c r="S522" s="32"/>
      <c r="T522" s="33" t="str">
        <f t="shared" si="16"/>
        <v/>
      </c>
      <c r="U522" s="34"/>
      <c r="V522" s="35"/>
      <c r="W522" s="33" t="str">
        <f t="shared" si="17"/>
        <v/>
      </c>
    </row>
    <row r="523" spans="1:23" x14ac:dyDescent="0.35">
      <c r="A523" s="21" t="str">
        <f>IF(COUNTA(B523:H523,J523:S523,U523:V523)=0,"",IF((IF(B523="","PO Ref, ","")&amp;IF(C523="","Vendor, ","")&amp;IF(D523="","Store, ","")&amp;IF(F523="","Product Type, ","")&amp;IF(G523="","Category, ","")&amp;IF(H523="","HSN Code, ","")&amp;IF(Q523="","Qty, ","")&amp;IF(R523="","Purchase Rate, ","")&amp;IF(S523="","MRP, ",""))&lt;&gt;"","Missing: "&amp;LEFT(IF(B523="","PO Ref, ","")&amp;IF(C523="","Vendor, ","")&amp;IF(D523="","Store, ","")&amp;IF(F523="","Product Type, ","")&amp;IF(G523="","Category, ","")&amp;IF(H523="","HSN Code, ","")&amp;IF(Q523="","Qty, ","")&amp;IF(R523="","Purchase Rate, ","")&amp;IF(S523="","MRP, ",""),LEN(IF(B523="","PO Ref, ","")&amp;IF(C523="","Vendor, ","")&amp;IF(D523="","Store, ","")&amp;IF(F523="","Product Type, ","")&amp;IF(G523="","Category, ","")&amp;IF(H523="","HSN Code, ","")&amp;IF(Q523="","Qty, ","")&amp;IF(R523="","Purchase Rate, ","")&amp;IF(S523="","MRP, ",""))-2),IF(COUNTIF(Vendors!$B$3:$B$202,C523)=0,"Add vendor "&amp;C523&amp;" on the Vendors sheet",IF(ISNA(MATCH(H523,Codes!$A$2:$A$13,0)),"Pick the HSN Code from the list",IF(AND(E523&lt;&gt;"",COUNTIFS($C$3:$C$1002,C523,$E$3:$E$1002,E523,$F$3:$F$1002,"&lt;&gt;"&amp;F523)+COUNTIFS($C$3:$C$1002,C523,$E$3:$E$1002,E523,$G$3:$G$1002,"&lt;&gt;"&amp;G523)&gt;0),"Design "&amp;E523&amp;" has another Product Type or Category on another row",IF(COUNTIFS($F$3:$F$1002,F523,$G$3:$G$1002,G523,$H$3:$H$1002,"&lt;&gt;"&amp;H523)&gt;0,F523&amp;" + "&amp;G523&amp;" has another HSN Code on another row",IF(AND(V523&lt;&gt;"",U523=""),"Received Qty needs the Vendor Invoice No",IF(AND(U523&lt;&gt;"",COUNTIFS(Bills!$B$3:$B$302,U523,Bills!$C$3:$C$302,C523)=0),"Add bill "&amp;U523&amp;" of "&amp;C523&amp;" on the Bills sheet",IF(S523&lt;R523,"MRP is below the Purchase Rate","OK")))))))))</f>
        <v/>
      </c>
      <c r="B523" s="29"/>
      <c r="C523" s="22"/>
      <c r="D523" s="22"/>
      <c r="E523" s="24"/>
      <c r="F523" s="22"/>
      <c r="G523" s="22"/>
      <c r="H523" s="22"/>
      <c r="I523" s="30" t="str">
        <f>IF(H523="","",IFERROR(INDEX(Codes!$B$2:$B$13,MATCH(H523,Codes!$A$2:$A$13,0)),""))</f>
        <v/>
      </c>
      <c r="J523" s="23"/>
      <c r="K523" s="23"/>
      <c r="L523" s="23"/>
      <c r="M523" s="23"/>
      <c r="N523" s="23"/>
      <c r="O523" s="23"/>
      <c r="P523" s="23"/>
      <c r="Q523" s="31"/>
      <c r="R523" s="32"/>
      <c r="S523" s="32"/>
      <c r="T523" s="33" t="str">
        <f t="shared" si="16"/>
        <v/>
      </c>
      <c r="U523" s="34"/>
      <c r="V523" s="35"/>
      <c r="W523" s="33" t="str">
        <f t="shared" si="17"/>
        <v/>
      </c>
    </row>
    <row r="524" spans="1:23" x14ac:dyDescent="0.35">
      <c r="A524" s="21" t="str">
        <f>IF(COUNTA(B524:H524,J524:S524,U524:V524)=0,"",IF((IF(B524="","PO Ref, ","")&amp;IF(C524="","Vendor, ","")&amp;IF(D524="","Store, ","")&amp;IF(F524="","Product Type, ","")&amp;IF(G524="","Category, ","")&amp;IF(H524="","HSN Code, ","")&amp;IF(Q524="","Qty, ","")&amp;IF(R524="","Purchase Rate, ","")&amp;IF(S524="","MRP, ",""))&lt;&gt;"","Missing: "&amp;LEFT(IF(B524="","PO Ref, ","")&amp;IF(C524="","Vendor, ","")&amp;IF(D524="","Store, ","")&amp;IF(F524="","Product Type, ","")&amp;IF(G524="","Category, ","")&amp;IF(H524="","HSN Code, ","")&amp;IF(Q524="","Qty, ","")&amp;IF(R524="","Purchase Rate, ","")&amp;IF(S524="","MRP, ",""),LEN(IF(B524="","PO Ref, ","")&amp;IF(C524="","Vendor, ","")&amp;IF(D524="","Store, ","")&amp;IF(F524="","Product Type, ","")&amp;IF(G524="","Category, ","")&amp;IF(H524="","HSN Code, ","")&amp;IF(Q524="","Qty, ","")&amp;IF(R524="","Purchase Rate, ","")&amp;IF(S524="","MRP, ",""))-2),IF(COUNTIF(Vendors!$B$3:$B$202,C524)=0,"Add vendor "&amp;C524&amp;" on the Vendors sheet",IF(ISNA(MATCH(H524,Codes!$A$2:$A$13,0)),"Pick the HSN Code from the list",IF(AND(E524&lt;&gt;"",COUNTIFS($C$3:$C$1002,C524,$E$3:$E$1002,E524,$F$3:$F$1002,"&lt;&gt;"&amp;F524)+COUNTIFS($C$3:$C$1002,C524,$E$3:$E$1002,E524,$G$3:$G$1002,"&lt;&gt;"&amp;G524)&gt;0),"Design "&amp;E524&amp;" has another Product Type or Category on another row",IF(COUNTIFS($F$3:$F$1002,F524,$G$3:$G$1002,G524,$H$3:$H$1002,"&lt;&gt;"&amp;H524)&gt;0,F524&amp;" + "&amp;G524&amp;" has another HSN Code on another row",IF(AND(V524&lt;&gt;"",U524=""),"Received Qty needs the Vendor Invoice No",IF(AND(U524&lt;&gt;"",COUNTIFS(Bills!$B$3:$B$302,U524,Bills!$C$3:$C$302,C524)=0),"Add bill "&amp;U524&amp;" of "&amp;C524&amp;" on the Bills sheet",IF(S524&lt;R524,"MRP is below the Purchase Rate","OK")))))))))</f>
        <v/>
      </c>
      <c r="B524" s="29"/>
      <c r="C524" s="22"/>
      <c r="D524" s="22"/>
      <c r="E524" s="24"/>
      <c r="F524" s="22"/>
      <c r="G524" s="22"/>
      <c r="H524" s="22"/>
      <c r="I524" s="30" t="str">
        <f>IF(H524="","",IFERROR(INDEX(Codes!$B$2:$B$13,MATCH(H524,Codes!$A$2:$A$13,0)),""))</f>
        <v/>
      </c>
      <c r="J524" s="23"/>
      <c r="K524" s="23"/>
      <c r="L524" s="23"/>
      <c r="M524" s="23"/>
      <c r="N524" s="23"/>
      <c r="O524" s="23"/>
      <c r="P524" s="23"/>
      <c r="Q524" s="31"/>
      <c r="R524" s="32"/>
      <c r="S524" s="32"/>
      <c r="T524" s="33" t="str">
        <f t="shared" si="16"/>
        <v/>
      </c>
      <c r="U524" s="34"/>
      <c r="V524" s="35"/>
      <c r="W524" s="33" t="str">
        <f t="shared" si="17"/>
        <v/>
      </c>
    </row>
    <row r="525" spans="1:23" x14ac:dyDescent="0.35">
      <c r="A525" s="21" t="str">
        <f>IF(COUNTA(B525:H525,J525:S525,U525:V525)=0,"",IF((IF(B525="","PO Ref, ","")&amp;IF(C525="","Vendor, ","")&amp;IF(D525="","Store, ","")&amp;IF(F525="","Product Type, ","")&amp;IF(G525="","Category, ","")&amp;IF(H525="","HSN Code, ","")&amp;IF(Q525="","Qty, ","")&amp;IF(R525="","Purchase Rate, ","")&amp;IF(S525="","MRP, ",""))&lt;&gt;"","Missing: "&amp;LEFT(IF(B525="","PO Ref, ","")&amp;IF(C525="","Vendor, ","")&amp;IF(D525="","Store, ","")&amp;IF(F525="","Product Type, ","")&amp;IF(G525="","Category, ","")&amp;IF(H525="","HSN Code, ","")&amp;IF(Q525="","Qty, ","")&amp;IF(R525="","Purchase Rate, ","")&amp;IF(S525="","MRP, ",""),LEN(IF(B525="","PO Ref, ","")&amp;IF(C525="","Vendor, ","")&amp;IF(D525="","Store, ","")&amp;IF(F525="","Product Type, ","")&amp;IF(G525="","Category, ","")&amp;IF(H525="","HSN Code, ","")&amp;IF(Q525="","Qty, ","")&amp;IF(R525="","Purchase Rate, ","")&amp;IF(S525="","MRP, ",""))-2),IF(COUNTIF(Vendors!$B$3:$B$202,C525)=0,"Add vendor "&amp;C525&amp;" on the Vendors sheet",IF(ISNA(MATCH(H525,Codes!$A$2:$A$13,0)),"Pick the HSN Code from the list",IF(AND(E525&lt;&gt;"",COUNTIFS($C$3:$C$1002,C525,$E$3:$E$1002,E525,$F$3:$F$1002,"&lt;&gt;"&amp;F525)+COUNTIFS($C$3:$C$1002,C525,$E$3:$E$1002,E525,$G$3:$G$1002,"&lt;&gt;"&amp;G525)&gt;0),"Design "&amp;E525&amp;" has another Product Type or Category on another row",IF(COUNTIFS($F$3:$F$1002,F525,$G$3:$G$1002,G525,$H$3:$H$1002,"&lt;&gt;"&amp;H525)&gt;0,F525&amp;" + "&amp;G525&amp;" has another HSN Code on another row",IF(AND(V525&lt;&gt;"",U525=""),"Received Qty needs the Vendor Invoice No",IF(AND(U525&lt;&gt;"",COUNTIFS(Bills!$B$3:$B$302,U525,Bills!$C$3:$C$302,C525)=0),"Add bill "&amp;U525&amp;" of "&amp;C525&amp;" on the Bills sheet",IF(S525&lt;R525,"MRP is below the Purchase Rate","OK")))))))))</f>
        <v/>
      </c>
      <c r="B525" s="29"/>
      <c r="C525" s="22"/>
      <c r="D525" s="22"/>
      <c r="E525" s="24"/>
      <c r="F525" s="22"/>
      <c r="G525" s="22"/>
      <c r="H525" s="22"/>
      <c r="I525" s="30" t="str">
        <f>IF(H525="","",IFERROR(INDEX(Codes!$B$2:$B$13,MATCH(H525,Codes!$A$2:$A$13,0)),""))</f>
        <v/>
      </c>
      <c r="J525" s="23"/>
      <c r="K525" s="23"/>
      <c r="L525" s="23"/>
      <c r="M525" s="23"/>
      <c r="N525" s="23"/>
      <c r="O525" s="23"/>
      <c r="P525" s="23"/>
      <c r="Q525" s="31"/>
      <c r="R525" s="32"/>
      <c r="S525" s="32"/>
      <c r="T525" s="33" t="str">
        <f t="shared" si="16"/>
        <v/>
      </c>
      <c r="U525" s="34"/>
      <c r="V525" s="35"/>
      <c r="W525" s="33" t="str">
        <f t="shared" si="17"/>
        <v/>
      </c>
    </row>
    <row r="526" spans="1:23" x14ac:dyDescent="0.35">
      <c r="A526" s="21" t="str">
        <f>IF(COUNTA(B526:H526,J526:S526,U526:V526)=0,"",IF((IF(B526="","PO Ref, ","")&amp;IF(C526="","Vendor, ","")&amp;IF(D526="","Store, ","")&amp;IF(F526="","Product Type, ","")&amp;IF(G526="","Category, ","")&amp;IF(H526="","HSN Code, ","")&amp;IF(Q526="","Qty, ","")&amp;IF(R526="","Purchase Rate, ","")&amp;IF(S526="","MRP, ",""))&lt;&gt;"","Missing: "&amp;LEFT(IF(B526="","PO Ref, ","")&amp;IF(C526="","Vendor, ","")&amp;IF(D526="","Store, ","")&amp;IF(F526="","Product Type, ","")&amp;IF(G526="","Category, ","")&amp;IF(H526="","HSN Code, ","")&amp;IF(Q526="","Qty, ","")&amp;IF(R526="","Purchase Rate, ","")&amp;IF(S526="","MRP, ",""),LEN(IF(B526="","PO Ref, ","")&amp;IF(C526="","Vendor, ","")&amp;IF(D526="","Store, ","")&amp;IF(F526="","Product Type, ","")&amp;IF(G526="","Category, ","")&amp;IF(H526="","HSN Code, ","")&amp;IF(Q526="","Qty, ","")&amp;IF(R526="","Purchase Rate, ","")&amp;IF(S526="","MRP, ",""))-2),IF(COUNTIF(Vendors!$B$3:$B$202,C526)=0,"Add vendor "&amp;C526&amp;" on the Vendors sheet",IF(ISNA(MATCH(H526,Codes!$A$2:$A$13,0)),"Pick the HSN Code from the list",IF(AND(E526&lt;&gt;"",COUNTIFS($C$3:$C$1002,C526,$E$3:$E$1002,E526,$F$3:$F$1002,"&lt;&gt;"&amp;F526)+COUNTIFS($C$3:$C$1002,C526,$E$3:$E$1002,E526,$G$3:$G$1002,"&lt;&gt;"&amp;G526)&gt;0),"Design "&amp;E526&amp;" has another Product Type or Category on another row",IF(COUNTIFS($F$3:$F$1002,F526,$G$3:$G$1002,G526,$H$3:$H$1002,"&lt;&gt;"&amp;H526)&gt;0,F526&amp;" + "&amp;G526&amp;" has another HSN Code on another row",IF(AND(V526&lt;&gt;"",U526=""),"Received Qty needs the Vendor Invoice No",IF(AND(U526&lt;&gt;"",COUNTIFS(Bills!$B$3:$B$302,U526,Bills!$C$3:$C$302,C526)=0),"Add bill "&amp;U526&amp;" of "&amp;C526&amp;" on the Bills sheet",IF(S526&lt;R526,"MRP is below the Purchase Rate","OK")))))))))</f>
        <v/>
      </c>
      <c r="B526" s="29"/>
      <c r="C526" s="22"/>
      <c r="D526" s="22"/>
      <c r="E526" s="24"/>
      <c r="F526" s="22"/>
      <c r="G526" s="22"/>
      <c r="H526" s="22"/>
      <c r="I526" s="30" t="str">
        <f>IF(H526="","",IFERROR(INDEX(Codes!$B$2:$B$13,MATCH(H526,Codes!$A$2:$A$13,0)),""))</f>
        <v/>
      </c>
      <c r="J526" s="23"/>
      <c r="K526" s="23"/>
      <c r="L526" s="23"/>
      <c r="M526" s="23"/>
      <c r="N526" s="23"/>
      <c r="O526" s="23"/>
      <c r="P526" s="23"/>
      <c r="Q526" s="31"/>
      <c r="R526" s="32"/>
      <c r="S526" s="32"/>
      <c r="T526" s="33" t="str">
        <f t="shared" si="16"/>
        <v/>
      </c>
      <c r="U526" s="34"/>
      <c r="V526" s="35"/>
      <c r="W526" s="33" t="str">
        <f t="shared" si="17"/>
        <v/>
      </c>
    </row>
    <row r="527" spans="1:23" x14ac:dyDescent="0.35">
      <c r="A527" s="21" t="str">
        <f>IF(COUNTA(B527:H527,J527:S527,U527:V527)=0,"",IF((IF(B527="","PO Ref, ","")&amp;IF(C527="","Vendor, ","")&amp;IF(D527="","Store, ","")&amp;IF(F527="","Product Type, ","")&amp;IF(G527="","Category, ","")&amp;IF(H527="","HSN Code, ","")&amp;IF(Q527="","Qty, ","")&amp;IF(R527="","Purchase Rate, ","")&amp;IF(S527="","MRP, ",""))&lt;&gt;"","Missing: "&amp;LEFT(IF(B527="","PO Ref, ","")&amp;IF(C527="","Vendor, ","")&amp;IF(D527="","Store, ","")&amp;IF(F527="","Product Type, ","")&amp;IF(G527="","Category, ","")&amp;IF(H527="","HSN Code, ","")&amp;IF(Q527="","Qty, ","")&amp;IF(R527="","Purchase Rate, ","")&amp;IF(S527="","MRP, ",""),LEN(IF(B527="","PO Ref, ","")&amp;IF(C527="","Vendor, ","")&amp;IF(D527="","Store, ","")&amp;IF(F527="","Product Type, ","")&amp;IF(G527="","Category, ","")&amp;IF(H527="","HSN Code, ","")&amp;IF(Q527="","Qty, ","")&amp;IF(R527="","Purchase Rate, ","")&amp;IF(S527="","MRP, ",""))-2),IF(COUNTIF(Vendors!$B$3:$B$202,C527)=0,"Add vendor "&amp;C527&amp;" on the Vendors sheet",IF(ISNA(MATCH(H527,Codes!$A$2:$A$13,0)),"Pick the HSN Code from the list",IF(AND(E527&lt;&gt;"",COUNTIFS($C$3:$C$1002,C527,$E$3:$E$1002,E527,$F$3:$F$1002,"&lt;&gt;"&amp;F527)+COUNTIFS($C$3:$C$1002,C527,$E$3:$E$1002,E527,$G$3:$G$1002,"&lt;&gt;"&amp;G527)&gt;0),"Design "&amp;E527&amp;" has another Product Type or Category on another row",IF(COUNTIFS($F$3:$F$1002,F527,$G$3:$G$1002,G527,$H$3:$H$1002,"&lt;&gt;"&amp;H527)&gt;0,F527&amp;" + "&amp;G527&amp;" has another HSN Code on another row",IF(AND(V527&lt;&gt;"",U527=""),"Received Qty needs the Vendor Invoice No",IF(AND(U527&lt;&gt;"",COUNTIFS(Bills!$B$3:$B$302,U527,Bills!$C$3:$C$302,C527)=0),"Add bill "&amp;U527&amp;" of "&amp;C527&amp;" on the Bills sheet",IF(S527&lt;R527,"MRP is below the Purchase Rate","OK")))))))))</f>
        <v/>
      </c>
      <c r="B527" s="29"/>
      <c r="C527" s="22"/>
      <c r="D527" s="22"/>
      <c r="E527" s="24"/>
      <c r="F527" s="22"/>
      <c r="G527" s="22"/>
      <c r="H527" s="22"/>
      <c r="I527" s="30" t="str">
        <f>IF(H527="","",IFERROR(INDEX(Codes!$B$2:$B$13,MATCH(H527,Codes!$A$2:$A$13,0)),""))</f>
        <v/>
      </c>
      <c r="J527" s="23"/>
      <c r="K527" s="23"/>
      <c r="L527" s="23"/>
      <c r="M527" s="23"/>
      <c r="N527" s="23"/>
      <c r="O527" s="23"/>
      <c r="P527" s="23"/>
      <c r="Q527" s="31"/>
      <c r="R527" s="32"/>
      <c r="S527" s="32"/>
      <c r="T527" s="33" t="str">
        <f t="shared" si="16"/>
        <v/>
      </c>
      <c r="U527" s="34"/>
      <c r="V527" s="35"/>
      <c r="W527" s="33" t="str">
        <f t="shared" si="17"/>
        <v/>
      </c>
    </row>
    <row r="528" spans="1:23" x14ac:dyDescent="0.35">
      <c r="A528" s="21" t="str">
        <f>IF(COUNTA(B528:H528,J528:S528,U528:V528)=0,"",IF((IF(B528="","PO Ref, ","")&amp;IF(C528="","Vendor, ","")&amp;IF(D528="","Store, ","")&amp;IF(F528="","Product Type, ","")&amp;IF(G528="","Category, ","")&amp;IF(H528="","HSN Code, ","")&amp;IF(Q528="","Qty, ","")&amp;IF(R528="","Purchase Rate, ","")&amp;IF(S528="","MRP, ",""))&lt;&gt;"","Missing: "&amp;LEFT(IF(B528="","PO Ref, ","")&amp;IF(C528="","Vendor, ","")&amp;IF(D528="","Store, ","")&amp;IF(F528="","Product Type, ","")&amp;IF(G528="","Category, ","")&amp;IF(H528="","HSN Code, ","")&amp;IF(Q528="","Qty, ","")&amp;IF(R528="","Purchase Rate, ","")&amp;IF(S528="","MRP, ",""),LEN(IF(B528="","PO Ref, ","")&amp;IF(C528="","Vendor, ","")&amp;IF(D528="","Store, ","")&amp;IF(F528="","Product Type, ","")&amp;IF(G528="","Category, ","")&amp;IF(H528="","HSN Code, ","")&amp;IF(Q528="","Qty, ","")&amp;IF(R528="","Purchase Rate, ","")&amp;IF(S528="","MRP, ",""))-2),IF(COUNTIF(Vendors!$B$3:$B$202,C528)=0,"Add vendor "&amp;C528&amp;" on the Vendors sheet",IF(ISNA(MATCH(H528,Codes!$A$2:$A$13,0)),"Pick the HSN Code from the list",IF(AND(E528&lt;&gt;"",COUNTIFS($C$3:$C$1002,C528,$E$3:$E$1002,E528,$F$3:$F$1002,"&lt;&gt;"&amp;F528)+COUNTIFS($C$3:$C$1002,C528,$E$3:$E$1002,E528,$G$3:$G$1002,"&lt;&gt;"&amp;G528)&gt;0),"Design "&amp;E528&amp;" has another Product Type or Category on another row",IF(COUNTIFS($F$3:$F$1002,F528,$G$3:$G$1002,G528,$H$3:$H$1002,"&lt;&gt;"&amp;H528)&gt;0,F528&amp;" + "&amp;G528&amp;" has another HSN Code on another row",IF(AND(V528&lt;&gt;"",U528=""),"Received Qty needs the Vendor Invoice No",IF(AND(U528&lt;&gt;"",COUNTIFS(Bills!$B$3:$B$302,U528,Bills!$C$3:$C$302,C528)=0),"Add bill "&amp;U528&amp;" of "&amp;C528&amp;" on the Bills sheet",IF(S528&lt;R528,"MRP is below the Purchase Rate","OK")))))))))</f>
        <v/>
      </c>
      <c r="B528" s="29"/>
      <c r="C528" s="22"/>
      <c r="D528" s="22"/>
      <c r="E528" s="24"/>
      <c r="F528" s="22"/>
      <c r="G528" s="22"/>
      <c r="H528" s="22"/>
      <c r="I528" s="30" t="str">
        <f>IF(H528="","",IFERROR(INDEX(Codes!$B$2:$B$13,MATCH(H528,Codes!$A$2:$A$13,0)),""))</f>
        <v/>
      </c>
      <c r="J528" s="23"/>
      <c r="K528" s="23"/>
      <c r="L528" s="23"/>
      <c r="M528" s="23"/>
      <c r="N528" s="23"/>
      <c r="O528" s="23"/>
      <c r="P528" s="23"/>
      <c r="Q528" s="31"/>
      <c r="R528" s="32"/>
      <c r="S528" s="32"/>
      <c r="T528" s="33" t="str">
        <f t="shared" si="16"/>
        <v/>
      </c>
      <c r="U528" s="34"/>
      <c r="V528" s="35"/>
      <c r="W528" s="33" t="str">
        <f t="shared" si="17"/>
        <v/>
      </c>
    </row>
    <row r="529" spans="1:23" x14ac:dyDescent="0.35">
      <c r="A529" s="21" t="str">
        <f>IF(COUNTA(B529:H529,J529:S529,U529:V529)=0,"",IF((IF(B529="","PO Ref, ","")&amp;IF(C529="","Vendor, ","")&amp;IF(D529="","Store, ","")&amp;IF(F529="","Product Type, ","")&amp;IF(G529="","Category, ","")&amp;IF(H529="","HSN Code, ","")&amp;IF(Q529="","Qty, ","")&amp;IF(R529="","Purchase Rate, ","")&amp;IF(S529="","MRP, ",""))&lt;&gt;"","Missing: "&amp;LEFT(IF(B529="","PO Ref, ","")&amp;IF(C529="","Vendor, ","")&amp;IF(D529="","Store, ","")&amp;IF(F529="","Product Type, ","")&amp;IF(G529="","Category, ","")&amp;IF(H529="","HSN Code, ","")&amp;IF(Q529="","Qty, ","")&amp;IF(R529="","Purchase Rate, ","")&amp;IF(S529="","MRP, ",""),LEN(IF(B529="","PO Ref, ","")&amp;IF(C529="","Vendor, ","")&amp;IF(D529="","Store, ","")&amp;IF(F529="","Product Type, ","")&amp;IF(G529="","Category, ","")&amp;IF(H529="","HSN Code, ","")&amp;IF(Q529="","Qty, ","")&amp;IF(R529="","Purchase Rate, ","")&amp;IF(S529="","MRP, ",""))-2),IF(COUNTIF(Vendors!$B$3:$B$202,C529)=0,"Add vendor "&amp;C529&amp;" on the Vendors sheet",IF(ISNA(MATCH(H529,Codes!$A$2:$A$13,0)),"Pick the HSN Code from the list",IF(AND(E529&lt;&gt;"",COUNTIFS($C$3:$C$1002,C529,$E$3:$E$1002,E529,$F$3:$F$1002,"&lt;&gt;"&amp;F529)+COUNTIFS($C$3:$C$1002,C529,$E$3:$E$1002,E529,$G$3:$G$1002,"&lt;&gt;"&amp;G529)&gt;0),"Design "&amp;E529&amp;" has another Product Type or Category on another row",IF(COUNTIFS($F$3:$F$1002,F529,$G$3:$G$1002,G529,$H$3:$H$1002,"&lt;&gt;"&amp;H529)&gt;0,F529&amp;" + "&amp;G529&amp;" has another HSN Code on another row",IF(AND(V529&lt;&gt;"",U529=""),"Received Qty needs the Vendor Invoice No",IF(AND(U529&lt;&gt;"",COUNTIFS(Bills!$B$3:$B$302,U529,Bills!$C$3:$C$302,C529)=0),"Add bill "&amp;U529&amp;" of "&amp;C529&amp;" on the Bills sheet",IF(S529&lt;R529,"MRP is below the Purchase Rate","OK")))))))))</f>
        <v/>
      </c>
      <c r="B529" s="29"/>
      <c r="C529" s="22"/>
      <c r="D529" s="22"/>
      <c r="E529" s="24"/>
      <c r="F529" s="22"/>
      <c r="G529" s="22"/>
      <c r="H529" s="22"/>
      <c r="I529" s="30" t="str">
        <f>IF(H529="","",IFERROR(INDEX(Codes!$B$2:$B$13,MATCH(H529,Codes!$A$2:$A$13,0)),""))</f>
        <v/>
      </c>
      <c r="J529" s="23"/>
      <c r="K529" s="23"/>
      <c r="L529" s="23"/>
      <c r="M529" s="23"/>
      <c r="N529" s="23"/>
      <c r="O529" s="23"/>
      <c r="P529" s="23"/>
      <c r="Q529" s="31"/>
      <c r="R529" s="32"/>
      <c r="S529" s="32"/>
      <c r="T529" s="33" t="str">
        <f t="shared" si="16"/>
        <v/>
      </c>
      <c r="U529" s="34"/>
      <c r="V529" s="35"/>
      <c r="W529" s="33" t="str">
        <f t="shared" si="17"/>
        <v/>
      </c>
    </row>
    <row r="530" spans="1:23" x14ac:dyDescent="0.35">
      <c r="A530" s="21" t="str">
        <f>IF(COUNTA(B530:H530,J530:S530,U530:V530)=0,"",IF((IF(B530="","PO Ref, ","")&amp;IF(C530="","Vendor, ","")&amp;IF(D530="","Store, ","")&amp;IF(F530="","Product Type, ","")&amp;IF(G530="","Category, ","")&amp;IF(H530="","HSN Code, ","")&amp;IF(Q530="","Qty, ","")&amp;IF(R530="","Purchase Rate, ","")&amp;IF(S530="","MRP, ",""))&lt;&gt;"","Missing: "&amp;LEFT(IF(B530="","PO Ref, ","")&amp;IF(C530="","Vendor, ","")&amp;IF(D530="","Store, ","")&amp;IF(F530="","Product Type, ","")&amp;IF(G530="","Category, ","")&amp;IF(H530="","HSN Code, ","")&amp;IF(Q530="","Qty, ","")&amp;IF(R530="","Purchase Rate, ","")&amp;IF(S530="","MRP, ",""),LEN(IF(B530="","PO Ref, ","")&amp;IF(C530="","Vendor, ","")&amp;IF(D530="","Store, ","")&amp;IF(F530="","Product Type, ","")&amp;IF(G530="","Category, ","")&amp;IF(H530="","HSN Code, ","")&amp;IF(Q530="","Qty, ","")&amp;IF(R530="","Purchase Rate, ","")&amp;IF(S530="","MRP, ",""))-2),IF(COUNTIF(Vendors!$B$3:$B$202,C530)=0,"Add vendor "&amp;C530&amp;" on the Vendors sheet",IF(ISNA(MATCH(H530,Codes!$A$2:$A$13,0)),"Pick the HSN Code from the list",IF(AND(E530&lt;&gt;"",COUNTIFS($C$3:$C$1002,C530,$E$3:$E$1002,E530,$F$3:$F$1002,"&lt;&gt;"&amp;F530)+COUNTIFS($C$3:$C$1002,C530,$E$3:$E$1002,E530,$G$3:$G$1002,"&lt;&gt;"&amp;G530)&gt;0),"Design "&amp;E530&amp;" has another Product Type or Category on another row",IF(COUNTIFS($F$3:$F$1002,F530,$G$3:$G$1002,G530,$H$3:$H$1002,"&lt;&gt;"&amp;H530)&gt;0,F530&amp;" + "&amp;G530&amp;" has another HSN Code on another row",IF(AND(V530&lt;&gt;"",U530=""),"Received Qty needs the Vendor Invoice No",IF(AND(U530&lt;&gt;"",COUNTIFS(Bills!$B$3:$B$302,U530,Bills!$C$3:$C$302,C530)=0),"Add bill "&amp;U530&amp;" of "&amp;C530&amp;" on the Bills sheet",IF(S530&lt;R530,"MRP is below the Purchase Rate","OK")))))))))</f>
        <v/>
      </c>
      <c r="B530" s="29"/>
      <c r="C530" s="22"/>
      <c r="D530" s="22"/>
      <c r="E530" s="24"/>
      <c r="F530" s="22"/>
      <c r="G530" s="22"/>
      <c r="H530" s="22"/>
      <c r="I530" s="30" t="str">
        <f>IF(H530="","",IFERROR(INDEX(Codes!$B$2:$B$13,MATCH(H530,Codes!$A$2:$A$13,0)),""))</f>
        <v/>
      </c>
      <c r="J530" s="23"/>
      <c r="K530" s="23"/>
      <c r="L530" s="23"/>
      <c r="M530" s="23"/>
      <c r="N530" s="23"/>
      <c r="O530" s="23"/>
      <c r="P530" s="23"/>
      <c r="Q530" s="31"/>
      <c r="R530" s="32"/>
      <c r="S530" s="32"/>
      <c r="T530" s="33" t="str">
        <f t="shared" si="16"/>
        <v/>
      </c>
      <c r="U530" s="34"/>
      <c r="V530" s="35"/>
      <c r="W530" s="33" t="str">
        <f t="shared" si="17"/>
        <v/>
      </c>
    </row>
    <row r="531" spans="1:23" x14ac:dyDescent="0.35">
      <c r="A531" s="21" t="str">
        <f>IF(COUNTA(B531:H531,J531:S531,U531:V531)=0,"",IF((IF(B531="","PO Ref, ","")&amp;IF(C531="","Vendor, ","")&amp;IF(D531="","Store, ","")&amp;IF(F531="","Product Type, ","")&amp;IF(G531="","Category, ","")&amp;IF(H531="","HSN Code, ","")&amp;IF(Q531="","Qty, ","")&amp;IF(R531="","Purchase Rate, ","")&amp;IF(S531="","MRP, ",""))&lt;&gt;"","Missing: "&amp;LEFT(IF(B531="","PO Ref, ","")&amp;IF(C531="","Vendor, ","")&amp;IF(D531="","Store, ","")&amp;IF(F531="","Product Type, ","")&amp;IF(G531="","Category, ","")&amp;IF(H531="","HSN Code, ","")&amp;IF(Q531="","Qty, ","")&amp;IF(R531="","Purchase Rate, ","")&amp;IF(S531="","MRP, ",""),LEN(IF(B531="","PO Ref, ","")&amp;IF(C531="","Vendor, ","")&amp;IF(D531="","Store, ","")&amp;IF(F531="","Product Type, ","")&amp;IF(G531="","Category, ","")&amp;IF(H531="","HSN Code, ","")&amp;IF(Q531="","Qty, ","")&amp;IF(R531="","Purchase Rate, ","")&amp;IF(S531="","MRP, ",""))-2),IF(COUNTIF(Vendors!$B$3:$B$202,C531)=0,"Add vendor "&amp;C531&amp;" on the Vendors sheet",IF(ISNA(MATCH(H531,Codes!$A$2:$A$13,0)),"Pick the HSN Code from the list",IF(AND(E531&lt;&gt;"",COUNTIFS($C$3:$C$1002,C531,$E$3:$E$1002,E531,$F$3:$F$1002,"&lt;&gt;"&amp;F531)+COUNTIFS($C$3:$C$1002,C531,$E$3:$E$1002,E531,$G$3:$G$1002,"&lt;&gt;"&amp;G531)&gt;0),"Design "&amp;E531&amp;" has another Product Type or Category on another row",IF(COUNTIFS($F$3:$F$1002,F531,$G$3:$G$1002,G531,$H$3:$H$1002,"&lt;&gt;"&amp;H531)&gt;0,F531&amp;" + "&amp;G531&amp;" has another HSN Code on another row",IF(AND(V531&lt;&gt;"",U531=""),"Received Qty needs the Vendor Invoice No",IF(AND(U531&lt;&gt;"",COUNTIFS(Bills!$B$3:$B$302,U531,Bills!$C$3:$C$302,C531)=0),"Add bill "&amp;U531&amp;" of "&amp;C531&amp;" on the Bills sheet",IF(S531&lt;R531,"MRP is below the Purchase Rate","OK")))))))))</f>
        <v/>
      </c>
      <c r="B531" s="29"/>
      <c r="C531" s="22"/>
      <c r="D531" s="22"/>
      <c r="E531" s="24"/>
      <c r="F531" s="22"/>
      <c r="G531" s="22"/>
      <c r="H531" s="22"/>
      <c r="I531" s="30" t="str">
        <f>IF(H531="","",IFERROR(INDEX(Codes!$B$2:$B$13,MATCH(H531,Codes!$A$2:$A$13,0)),""))</f>
        <v/>
      </c>
      <c r="J531" s="23"/>
      <c r="K531" s="23"/>
      <c r="L531" s="23"/>
      <c r="M531" s="23"/>
      <c r="N531" s="23"/>
      <c r="O531" s="23"/>
      <c r="P531" s="23"/>
      <c r="Q531" s="31"/>
      <c r="R531" s="32"/>
      <c r="S531" s="32"/>
      <c r="T531" s="33" t="str">
        <f t="shared" si="16"/>
        <v/>
      </c>
      <c r="U531" s="34"/>
      <c r="V531" s="35"/>
      <c r="W531" s="33" t="str">
        <f t="shared" si="17"/>
        <v/>
      </c>
    </row>
    <row r="532" spans="1:23" x14ac:dyDescent="0.35">
      <c r="A532" s="21" t="str">
        <f>IF(COUNTA(B532:H532,J532:S532,U532:V532)=0,"",IF((IF(B532="","PO Ref, ","")&amp;IF(C532="","Vendor, ","")&amp;IF(D532="","Store, ","")&amp;IF(F532="","Product Type, ","")&amp;IF(G532="","Category, ","")&amp;IF(H532="","HSN Code, ","")&amp;IF(Q532="","Qty, ","")&amp;IF(R532="","Purchase Rate, ","")&amp;IF(S532="","MRP, ",""))&lt;&gt;"","Missing: "&amp;LEFT(IF(B532="","PO Ref, ","")&amp;IF(C532="","Vendor, ","")&amp;IF(D532="","Store, ","")&amp;IF(F532="","Product Type, ","")&amp;IF(G532="","Category, ","")&amp;IF(H532="","HSN Code, ","")&amp;IF(Q532="","Qty, ","")&amp;IF(R532="","Purchase Rate, ","")&amp;IF(S532="","MRP, ",""),LEN(IF(B532="","PO Ref, ","")&amp;IF(C532="","Vendor, ","")&amp;IF(D532="","Store, ","")&amp;IF(F532="","Product Type, ","")&amp;IF(G532="","Category, ","")&amp;IF(H532="","HSN Code, ","")&amp;IF(Q532="","Qty, ","")&amp;IF(R532="","Purchase Rate, ","")&amp;IF(S532="","MRP, ",""))-2),IF(COUNTIF(Vendors!$B$3:$B$202,C532)=0,"Add vendor "&amp;C532&amp;" on the Vendors sheet",IF(ISNA(MATCH(H532,Codes!$A$2:$A$13,0)),"Pick the HSN Code from the list",IF(AND(E532&lt;&gt;"",COUNTIFS($C$3:$C$1002,C532,$E$3:$E$1002,E532,$F$3:$F$1002,"&lt;&gt;"&amp;F532)+COUNTIFS($C$3:$C$1002,C532,$E$3:$E$1002,E532,$G$3:$G$1002,"&lt;&gt;"&amp;G532)&gt;0),"Design "&amp;E532&amp;" has another Product Type or Category on another row",IF(COUNTIFS($F$3:$F$1002,F532,$G$3:$G$1002,G532,$H$3:$H$1002,"&lt;&gt;"&amp;H532)&gt;0,F532&amp;" + "&amp;G532&amp;" has another HSN Code on another row",IF(AND(V532&lt;&gt;"",U532=""),"Received Qty needs the Vendor Invoice No",IF(AND(U532&lt;&gt;"",COUNTIFS(Bills!$B$3:$B$302,U532,Bills!$C$3:$C$302,C532)=0),"Add bill "&amp;U532&amp;" of "&amp;C532&amp;" on the Bills sheet",IF(S532&lt;R532,"MRP is below the Purchase Rate","OK")))))))))</f>
        <v/>
      </c>
      <c r="B532" s="29"/>
      <c r="C532" s="22"/>
      <c r="D532" s="22"/>
      <c r="E532" s="24"/>
      <c r="F532" s="22"/>
      <c r="G532" s="22"/>
      <c r="H532" s="22"/>
      <c r="I532" s="30" t="str">
        <f>IF(H532="","",IFERROR(INDEX(Codes!$B$2:$B$13,MATCH(H532,Codes!$A$2:$A$13,0)),""))</f>
        <v/>
      </c>
      <c r="J532" s="23"/>
      <c r="K532" s="23"/>
      <c r="L532" s="23"/>
      <c r="M532" s="23"/>
      <c r="N532" s="23"/>
      <c r="O532" s="23"/>
      <c r="P532" s="23"/>
      <c r="Q532" s="31"/>
      <c r="R532" s="32"/>
      <c r="S532" s="32"/>
      <c r="T532" s="33" t="str">
        <f t="shared" si="16"/>
        <v/>
      </c>
      <c r="U532" s="34"/>
      <c r="V532" s="35"/>
      <c r="W532" s="33" t="str">
        <f t="shared" si="17"/>
        <v/>
      </c>
    </row>
    <row r="533" spans="1:23" x14ac:dyDescent="0.35">
      <c r="A533" s="21" t="str">
        <f>IF(COUNTA(B533:H533,J533:S533,U533:V533)=0,"",IF((IF(B533="","PO Ref, ","")&amp;IF(C533="","Vendor, ","")&amp;IF(D533="","Store, ","")&amp;IF(F533="","Product Type, ","")&amp;IF(G533="","Category, ","")&amp;IF(H533="","HSN Code, ","")&amp;IF(Q533="","Qty, ","")&amp;IF(R533="","Purchase Rate, ","")&amp;IF(S533="","MRP, ",""))&lt;&gt;"","Missing: "&amp;LEFT(IF(B533="","PO Ref, ","")&amp;IF(C533="","Vendor, ","")&amp;IF(D533="","Store, ","")&amp;IF(F533="","Product Type, ","")&amp;IF(G533="","Category, ","")&amp;IF(H533="","HSN Code, ","")&amp;IF(Q533="","Qty, ","")&amp;IF(R533="","Purchase Rate, ","")&amp;IF(S533="","MRP, ",""),LEN(IF(B533="","PO Ref, ","")&amp;IF(C533="","Vendor, ","")&amp;IF(D533="","Store, ","")&amp;IF(F533="","Product Type, ","")&amp;IF(G533="","Category, ","")&amp;IF(H533="","HSN Code, ","")&amp;IF(Q533="","Qty, ","")&amp;IF(R533="","Purchase Rate, ","")&amp;IF(S533="","MRP, ",""))-2),IF(COUNTIF(Vendors!$B$3:$B$202,C533)=0,"Add vendor "&amp;C533&amp;" on the Vendors sheet",IF(ISNA(MATCH(H533,Codes!$A$2:$A$13,0)),"Pick the HSN Code from the list",IF(AND(E533&lt;&gt;"",COUNTIFS($C$3:$C$1002,C533,$E$3:$E$1002,E533,$F$3:$F$1002,"&lt;&gt;"&amp;F533)+COUNTIFS($C$3:$C$1002,C533,$E$3:$E$1002,E533,$G$3:$G$1002,"&lt;&gt;"&amp;G533)&gt;0),"Design "&amp;E533&amp;" has another Product Type or Category on another row",IF(COUNTIFS($F$3:$F$1002,F533,$G$3:$G$1002,G533,$H$3:$H$1002,"&lt;&gt;"&amp;H533)&gt;0,F533&amp;" + "&amp;G533&amp;" has another HSN Code on another row",IF(AND(V533&lt;&gt;"",U533=""),"Received Qty needs the Vendor Invoice No",IF(AND(U533&lt;&gt;"",COUNTIFS(Bills!$B$3:$B$302,U533,Bills!$C$3:$C$302,C533)=0),"Add bill "&amp;U533&amp;" of "&amp;C533&amp;" on the Bills sheet",IF(S533&lt;R533,"MRP is below the Purchase Rate","OK")))))))))</f>
        <v/>
      </c>
      <c r="B533" s="29"/>
      <c r="C533" s="22"/>
      <c r="D533" s="22"/>
      <c r="E533" s="24"/>
      <c r="F533" s="22"/>
      <c r="G533" s="22"/>
      <c r="H533" s="22"/>
      <c r="I533" s="30" t="str">
        <f>IF(H533="","",IFERROR(INDEX(Codes!$B$2:$B$13,MATCH(H533,Codes!$A$2:$A$13,0)),""))</f>
        <v/>
      </c>
      <c r="J533" s="23"/>
      <c r="K533" s="23"/>
      <c r="L533" s="23"/>
      <c r="M533" s="23"/>
      <c r="N533" s="23"/>
      <c r="O533" s="23"/>
      <c r="P533" s="23"/>
      <c r="Q533" s="31"/>
      <c r="R533" s="32"/>
      <c r="S533" s="32"/>
      <c r="T533" s="33" t="str">
        <f t="shared" si="16"/>
        <v/>
      </c>
      <c r="U533" s="34"/>
      <c r="V533" s="35"/>
      <c r="W533" s="33" t="str">
        <f t="shared" si="17"/>
        <v/>
      </c>
    </row>
    <row r="534" spans="1:23" x14ac:dyDescent="0.35">
      <c r="A534" s="21" t="str">
        <f>IF(COUNTA(B534:H534,J534:S534,U534:V534)=0,"",IF((IF(B534="","PO Ref, ","")&amp;IF(C534="","Vendor, ","")&amp;IF(D534="","Store, ","")&amp;IF(F534="","Product Type, ","")&amp;IF(G534="","Category, ","")&amp;IF(H534="","HSN Code, ","")&amp;IF(Q534="","Qty, ","")&amp;IF(R534="","Purchase Rate, ","")&amp;IF(S534="","MRP, ",""))&lt;&gt;"","Missing: "&amp;LEFT(IF(B534="","PO Ref, ","")&amp;IF(C534="","Vendor, ","")&amp;IF(D534="","Store, ","")&amp;IF(F534="","Product Type, ","")&amp;IF(G534="","Category, ","")&amp;IF(H534="","HSN Code, ","")&amp;IF(Q534="","Qty, ","")&amp;IF(R534="","Purchase Rate, ","")&amp;IF(S534="","MRP, ",""),LEN(IF(B534="","PO Ref, ","")&amp;IF(C534="","Vendor, ","")&amp;IF(D534="","Store, ","")&amp;IF(F534="","Product Type, ","")&amp;IF(G534="","Category, ","")&amp;IF(H534="","HSN Code, ","")&amp;IF(Q534="","Qty, ","")&amp;IF(R534="","Purchase Rate, ","")&amp;IF(S534="","MRP, ",""))-2),IF(COUNTIF(Vendors!$B$3:$B$202,C534)=0,"Add vendor "&amp;C534&amp;" on the Vendors sheet",IF(ISNA(MATCH(H534,Codes!$A$2:$A$13,0)),"Pick the HSN Code from the list",IF(AND(E534&lt;&gt;"",COUNTIFS($C$3:$C$1002,C534,$E$3:$E$1002,E534,$F$3:$F$1002,"&lt;&gt;"&amp;F534)+COUNTIFS($C$3:$C$1002,C534,$E$3:$E$1002,E534,$G$3:$G$1002,"&lt;&gt;"&amp;G534)&gt;0),"Design "&amp;E534&amp;" has another Product Type or Category on another row",IF(COUNTIFS($F$3:$F$1002,F534,$G$3:$G$1002,G534,$H$3:$H$1002,"&lt;&gt;"&amp;H534)&gt;0,F534&amp;" + "&amp;G534&amp;" has another HSN Code on another row",IF(AND(V534&lt;&gt;"",U534=""),"Received Qty needs the Vendor Invoice No",IF(AND(U534&lt;&gt;"",COUNTIFS(Bills!$B$3:$B$302,U534,Bills!$C$3:$C$302,C534)=0),"Add bill "&amp;U534&amp;" of "&amp;C534&amp;" on the Bills sheet",IF(S534&lt;R534,"MRP is below the Purchase Rate","OK")))))))))</f>
        <v/>
      </c>
      <c r="B534" s="29"/>
      <c r="C534" s="22"/>
      <c r="D534" s="22"/>
      <c r="E534" s="24"/>
      <c r="F534" s="22"/>
      <c r="G534" s="22"/>
      <c r="H534" s="22"/>
      <c r="I534" s="30" t="str">
        <f>IF(H534="","",IFERROR(INDEX(Codes!$B$2:$B$13,MATCH(H534,Codes!$A$2:$A$13,0)),""))</f>
        <v/>
      </c>
      <c r="J534" s="23"/>
      <c r="K534" s="23"/>
      <c r="L534" s="23"/>
      <c r="M534" s="23"/>
      <c r="N534" s="23"/>
      <c r="O534" s="23"/>
      <c r="P534" s="23"/>
      <c r="Q534" s="31"/>
      <c r="R534" s="32"/>
      <c r="S534" s="32"/>
      <c r="T534" s="33" t="str">
        <f t="shared" si="16"/>
        <v/>
      </c>
      <c r="U534" s="34"/>
      <c r="V534" s="35"/>
      <c r="W534" s="33" t="str">
        <f t="shared" si="17"/>
        <v/>
      </c>
    </row>
    <row r="535" spans="1:23" x14ac:dyDescent="0.35">
      <c r="A535" s="21" t="str">
        <f>IF(COUNTA(B535:H535,J535:S535,U535:V535)=0,"",IF((IF(B535="","PO Ref, ","")&amp;IF(C535="","Vendor, ","")&amp;IF(D535="","Store, ","")&amp;IF(F535="","Product Type, ","")&amp;IF(G535="","Category, ","")&amp;IF(H535="","HSN Code, ","")&amp;IF(Q535="","Qty, ","")&amp;IF(R535="","Purchase Rate, ","")&amp;IF(S535="","MRP, ",""))&lt;&gt;"","Missing: "&amp;LEFT(IF(B535="","PO Ref, ","")&amp;IF(C535="","Vendor, ","")&amp;IF(D535="","Store, ","")&amp;IF(F535="","Product Type, ","")&amp;IF(G535="","Category, ","")&amp;IF(H535="","HSN Code, ","")&amp;IF(Q535="","Qty, ","")&amp;IF(R535="","Purchase Rate, ","")&amp;IF(S535="","MRP, ",""),LEN(IF(B535="","PO Ref, ","")&amp;IF(C535="","Vendor, ","")&amp;IF(D535="","Store, ","")&amp;IF(F535="","Product Type, ","")&amp;IF(G535="","Category, ","")&amp;IF(H535="","HSN Code, ","")&amp;IF(Q535="","Qty, ","")&amp;IF(R535="","Purchase Rate, ","")&amp;IF(S535="","MRP, ",""))-2),IF(COUNTIF(Vendors!$B$3:$B$202,C535)=0,"Add vendor "&amp;C535&amp;" on the Vendors sheet",IF(ISNA(MATCH(H535,Codes!$A$2:$A$13,0)),"Pick the HSN Code from the list",IF(AND(E535&lt;&gt;"",COUNTIFS($C$3:$C$1002,C535,$E$3:$E$1002,E535,$F$3:$F$1002,"&lt;&gt;"&amp;F535)+COUNTIFS($C$3:$C$1002,C535,$E$3:$E$1002,E535,$G$3:$G$1002,"&lt;&gt;"&amp;G535)&gt;0),"Design "&amp;E535&amp;" has another Product Type or Category on another row",IF(COUNTIFS($F$3:$F$1002,F535,$G$3:$G$1002,G535,$H$3:$H$1002,"&lt;&gt;"&amp;H535)&gt;0,F535&amp;" + "&amp;G535&amp;" has another HSN Code on another row",IF(AND(V535&lt;&gt;"",U535=""),"Received Qty needs the Vendor Invoice No",IF(AND(U535&lt;&gt;"",COUNTIFS(Bills!$B$3:$B$302,U535,Bills!$C$3:$C$302,C535)=0),"Add bill "&amp;U535&amp;" of "&amp;C535&amp;" on the Bills sheet",IF(S535&lt;R535,"MRP is below the Purchase Rate","OK")))))))))</f>
        <v/>
      </c>
      <c r="B535" s="29"/>
      <c r="C535" s="22"/>
      <c r="D535" s="22"/>
      <c r="E535" s="24"/>
      <c r="F535" s="22"/>
      <c r="G535" s="22"/>
      <c r="H535" s="22"/>
      <c r="I535" s="30" t="str">
        <f>IF(H535="","",IFERROR(INDEX(Codes!$B$2:$B$13,MATCH(H535,Codes!$A$2:$A$13,0)),""))</f>
        <v/>
      </c>
      <c r="J535" s="23"/>
      <c r="K535" s="23"/>
      <c r="L535" s="23"/>
      <c r="M535" s="23"/>
      <c r="N535" s="23"/>
      <c r="O535" s="23"/>
      <c r="P535" s="23"/>
      <c r="Q535" s="31"/>
      <c r="R535" s="32"/>
      <c r="S535" s="32"/>
      <c r="T535" s="33" t="str">
        <f t="shared" si="16"/>
        <v/>
      </c>
      <c r="U535" s="34"/>
      <c r="V535" s="35"/>
      <c r="W535" s="33" t="str">
        <f t="shared" si="17"/>
        <v/>
      </c>
    </row>
    <row r="536" spans="1:23" x14ac:dyDescent="0.35">
      <c r="A536" s="21" t="str">
        <f>IF(COUNTA(B536:H536,J536:S536,U536:V536)=0,"",IF((IF(B536="","PO Ref, ","")&amp;IF(C536="","Vendor, ","")&amp;IF(D536="","Store, ","")&amp;IF(F536="","Product Type, ","")&amp;IF(G536="","Category, ","")&amp;IF(H536="","HSN Code, ","")&amp;IF(Q536="","Qty, ","")&amp;IF(R536="","Purchase Rate, ","")&amp;IF(S536="","MRP, ",""))&lt;&gt;"","Missing: "&amp;LEFT(IF(B536="","PO Ref, ","")&amp;IF(C536="","Vendor, ","")&amp;IF(D536="","Store, ","")&amp;IF(F536="","Product Type, ","")&amp;IF(G536="","Category, ","")&amp;IF(H536="","HSN Code, ","")&amp;IF(Q536="","Qty, ","")&amp;IF(R536="","Purchase Rate, ","")&amp;IF(S536="","MRP, ",""),LEN(IF(B536="","PO Ref, ","")&amp;IF(C536="","Vendor, ","")&amp;IF(D536="","Store, ","")&amp;IF(F536="","Product Type, ","")&amp;IF(G536="","Category, ","")&amp;IF(H536="","HSN Code, ","")&amp;IF(Q536="","Qty, ","")&amp;IF(R536="","Purchase Rate, ","")&amp;IF(S536="","MRP, ",""))-2),IF(COUNTIF(Vendors!$B$3:$B$202,C536)=0,"Add vendor "&amp;C536&amp;" on the Vendors sheet",IF(ISNA(MATCH(H536,Codes!$A$2:$A$13,0)),"Pick the HSN Code from the list",IF(AND(E536&lt;&gt;"",COUNTIFS($C$3:$C$1002,C536,$E$3:$E$1002,E536,$F$3:$F$1002,"&lt;&gt;"&amp;F536)+COUNTIFS($C$3:$C$1002,C536,$E$3:$E$1002,E536,$G$3:$G$1002,"&lt;&gt;"&amp;G536)&gt;0),"Design "&amp;E536&amp;" has another Product Type or Category on another row",IF(COUNTIFS($F$3:$F$1002,F536,$G$3:$G$1002,G536,$H$3:$H$1002,"&lt;&gt;"&amp;H536)&gt;0,F536&amp;" + "&amp;G536&amp;" has another HSN Code on another row",IF(AND(V536&lt;&gt;"",U536=""),"Received Qty needs the Vendor Invoice No",IF(AND(U536&lt;&gt;"",COUNTIFS(Bills!$B$3:$B$302,U536,Bills!$C$3:$C$302,C536)=0),"Add bill "&amp;U536&amp;" of "&amp;C536&amp;" on the Bills sheet",IF(S536&lt;R536,"MRP is below the Purchase Rate","OK")))))))))</f>
        <v/>
      </c>
      <c r="B536" s="29"/>
      <c r="C536" s="22"/>
      <c r="D536" s="22"/>
      <c r="E536" s="24"/>
      <c r="F536" s="22"/>
      <c r="G536" s="22"/>
      <c r="H536" s="22"/>
      <c r="I536" s="30" t="str">
        <f>IF(H536="","",IFERROR(INDEX(Codes!$B$2:$B$13,MATCH(H536,Codes!$A$2:$A$13,0)),""))</f>
        <v/>
      </c>
      <c r="J536" s="23"/>
      <c r="K536" s="23"/>
      <c r="L536" s="23"/>
      <c r="M536" s="23"/>
      <c r="N536" s="23"/>
      <c r="O536" s="23"/>
      <c r="P536" s="23"/>
      <c r="Q536" s="31"/>
      <c r="R536" s="32"/>
      <c r="S536" s="32"/>
      <c r="T536" s="33" t="str">
        <f t="shared" si="16"/>
        <v/>
      </c>
      <c r="U536" s="34"/>
      <c r="V536" s="35"/>
      <c r="W536" s="33" t="str">
        <f t="shared" si="17"/>
        <v/>
      </c>
    </row>
    <row r="537" spans="1:23" x14ac:dyDescent="0.35">
      <c r="A537" s="21" t="str">
        <f>IF(COUNTA(B537:H537,J537:S537,U537:V537)=0,"",IF((IF(B537="","PO Ref, ","")&amp;IF(C537="","Vendor, ","")&amp;IF(D537="","Store, ","")&amp;IF(F537="","Product Type, ","")&amp;IF(G537="","Category, ","")&amp;IF(H537="","HSN Code, ","")&amp;IF(Q537="","Qty, ","")&amp;IF(R537="","Purchase Rate, ","")&amp;IF(S537="","MRP, ",""))&lt;&gt;"","Missing: "&amp;LEFT(IF(B537="","PO Ref, ","")&amp;IF(C537="","Vendor, ","")&amp;IF(D537="","Store, ","")&amp;IF(F537="","Product Type, ","")&amp;IF(G537="","Category, ","")&amp;IF(H537="","HSN Code, ","")&amp;IF(Q537="","Qty, ","")&amp;IF(R537="","Purchase Rate, ","")&amp;IF(S537="","MRP, ",""),LEN(IF(B537="","PO Ref, ","")&amp;IF(C537="","Vendor, ","")&amp;IF(D537="","Store, ","")&amp;IF(F537="","Product Type, ","")&amp;IF(G537="","Category, ","")&amp;IF(H537="","HSN Code, ","")&amp;IF(Q537="","Qty, ","")&amp;IF(R537="","Purchase Rate, ","")&amp;IF(S537="","MRP, ",""))-2),IF(COUNTIF(Vendors!$B$3:$B$202,C537)=0,"Add vendor "&amp;C537&amp;" on the Vendors sheet",IF(ISNA(MATCH(H537,Codes!$A$2:$A$13,0)),"Pick the HSN Code from the list",IF(AND(E537&lt;&gt;"",COUNTIFS($C$3:$C$1002,C537,$E$3:$E$1002,E537,$F$3:$F$1002,"&lt;&gt;"&amp;F537)+COUNTIFS($C$3:$C$1002,C537,$E$3:$E$1002,E537,$G$3:$G$1002,"&lt;&gt;"&amp;G537)&gt;0),"Design "&amp;E537&amp;" has another Product Type or Category on another row",IF(COUNTIFS($F$3:$F$1002,F537,$G$3:$G$1002,G537,$H$3:$H$1002,"&lt;&gt;"&amp;H537)&gt;0,F537&amp;" + "&amp;G537&amp;" has another HSN Code on another row",IF(AND(V537&lt;&gt;"",U537=""),"Received Qty needs the Vendor Invoice No",IF(AND(U537&lt;&gt;"",COUNTIFS(Bills!$B$3:$B$302,U537,Bills!$C$3:$C$302,C537)=0),"Add bill "&amp;U537&amp;" of "&amp;C537&amp;" on the Bills sheet",IF(S537&lt;R537,"MRP is below the Purchase Rate","OK")))))))))</f>
        <v/>
      </c>
      <c r="B537" s="29"/>
      <c r="C537" s="22"/>
      <c r="D537" s="22"/>
      <c r="E537" s="24"/>
      <c r="F537" s="22"/>
      <c r="G537" s="22"/>
      <c r="H537" s="22"/>
      <c r="I537" s="30" t="str">
        <f>IF(H537="","",IFERROR(INDEX(Codes!$B$2:$B$13,MATCH(H537,Codes!$A$2:$A$13,0)),""))</f>
        <v/>
      </c>
      <c r="J537" s="23"/>
      <c r="K537" s="23"/>
      <c r="L537" s="23"/>
      <c r="M537" s="23"/>
      <c r="N537" s="23"/>
      <c r="O537" s="23"/>
      <c r="P537" s="23"/>
      <c r="Q537" s="31"/>
      <c r="R537" s="32"/>
      <c r="S537" s="32"/>
      <c r="T537" s="33" t="str">
        <f t="shared" si="16"/>
        <v/>
      </c>
      <c r="U537" s="34"/>
      <c r="V537" s="35"/>
      <c r="W537" s="33" t="str">
        <f t="shared" si="17"/>
        <v/>
      </c>
    </row>
    <row r="538" spans="1:23" x14ac:dyDescent="0.35">
      <c r="A538" s="21" t="str">
        <f>IF(COUNTA(B538:H538,J538:S538,U538:V538)=0,"",IF((IF(B538="","PO Ref, ","")&amp;IF(C538="","Vendor, ","")&amp;IF(D538="","Store, ","")&amp;IF(F538="","Product Type, ","")&amp;IF(G538="","Category, ","")&amp;IF(H538="","HSN Code, ","")&amp;IF(Q538="","Qty, ","")&amp;IF(R538="","Purchase Rate, ","")&amp;IF(S538="","MRP, ",""))&lt;&gt;"","Missing: "&amp;LEFT(IF(B538="","PO Ref, ","")&amp;IF(C538="","Vendor, ","")&amp;IF(D538="","Store, ","")&amp;IF(F538="","Product Type, ","")&amp;IF(G538="","Category, ","")&amp;IF(H538="","HSN Code, ","")&amp;IF(Q538="","Qty, ","")&amp;IF(R538="","Purchase Rate, ","")&amp;IF(S538="","MRP, ",""),LEN(IF(B538="","PO Ref, ","")&amp;IF(C538="","Vendor, ","")&amp;IF(D538="","Store, ","")&amp;IF(F538="","Product Type, ","")&amp;IF(G538="","Category, ","")&amp;IF(H538="","HSN Code, ","")&amp;IF(Q538="","Qty, ","")&amp;IF(R538="","Purchase Rate, ","")&amp;IF(S538="","MRP, ",""))-2),IF(COUNTIF(Vendors!$B$3:$B$202,C538)=0,"Add vendor "&amp;C538&amp;" on the Vendors sheet",IF(ISNA(MATCH(H538,Codes!$A$2:$A$13,0)),"Pick the HSN Code from the list",IF(AND(E538&lt;&gt;"",COUNTIFS($C$3:$C$1002,C538,$E$3:$E$1002,E538,$F$3:$F$1002,"&lt;&gt;"&amp;F538)+COUNTIFS($C$3:$C$1002,C538,$E$3:$E$1002,E538,$G$3:$G$1002,"&lt;&gt;"&amp;G538)&gt;0),"Design "&amp;E538&amp;" has another Product Type or Category on another row",IF(COUNTIFS($F$3:$F$1002,F538,$G$3:$G$1002,G538,$H$3:$H$1002,"&lt;&gt;"&amp;H538)&gt;0,F538&amp;" + "&amp;G538&amp;" has another HSN Code on another row",IF(AND(V538&lt;&gt;"",U538=""),"Received Qty needs the Vendor Invoice No",IF(AND(U538&lt;&gt;"",COUNTIFS(Bills!$B$3:$B$302,U538,Bills!$C$3:$C$302,C538)=0),"Add bill "&amp;U538&amp;" of "&amp;C538&amp;" on the Bills sheet",IF(S538&lt;R538,"MRP is below the Purchase Rate","OK")))))))))</f>
        <v/>
      </c>
      <c r="B538" s="29"/>
      <c r="C538" s="22"/>
      <c r="D538" s="22"/>
      <c r="E538" s="24"/>
      <c r="F538" s="22"/>
      <c r="G538" s="22"/>
      <c r="H538" s="22"/>
      <c r="I538" s="30" t="str">
        <f>IF(H538="","",IFERROR(INDEX(Codes!$B$2:$B$13,MATCH(H538,Codes!$A$2:$A$13,0)),""))</f>
        <v/>
      </c>
      <c r="J538" s="23"/>
      <c r="K538" s="23"/>
      <c r="L538" s="23"/>
      <c r="M538" s="23"/>
      <c r="N538" s="23"/>
      <c r="O538" s="23"/>
      <c r="P538" s="23"/>
      <c r="Q538" s="31"/>
      <c r="R538" s="32"/>
      <c r="S538" s="32"/>
      <c r="T538" s="33" t="str">
        <f t="shared" si="16"/>
        <v/>
      </c>
      <c r="U538" s="34"/>
      <c r="V538" s="35"/>
      <c r="W538" s="33" t="str">
        <f t="shared" si="17"/>
        <v/>
      </c>
    </row>
    <row r="539" spans="1:23" x14ac:dyDescent="0.35">
      <c r="A539" s="21" t="str">
        <f>IF(COUNTA(B539:H539,J539:S539,U539:V539)=0,"",IF((IF(B539="","PO Ref, ","")&amp;IF(C539="","Vendor, ","")&amp;IF(D539="","Store, ","")&amp;IF(F539="","Product Type, ","")&amp;IF(G539="","Category, ","")&amp;IF(H539="","HSN Code, ","")&amp;IF(Q539="","Qty, ","")&amp;IF(R539="","Purchase Rate, ","")&amp;IF(S539="","MRP, ",""))&lt;&gt;"","Missing: "&amp;LEFT(IF(B539="","PO Ref, ","")&amp;IF(C539="","Vendor, ","")&amp;IF(D539="","Store, ","")&amp;IF(F539="","Product Type, ","")&amp;IF(G539="","Category, ","")&amp;IF(H539="","HSN Code, ","")&amp;IF(Q539="","Qty, ","")&amp;IF(R539="","Purchase Rate, ","")&amp;IF(S539="","MRP, ",""),LEN(IF(B539="","PO Ref, ","")&amp;IF(C539="","Vendor, ","")&amp;IF(D539="","Store, ","")&amp;IF(F539="","Product Type, ","")&amp;IF(G539="","Category, ","")&amp;IF(H539="","HSN Code, ","")&amp;IF(Q539="","Qty, ","")&amp;IF(R539="","Purchase Rate, ","")&amp;IF(S539="","MRP, ",""))-2),IF(COUNTIF(Vendors!$B$3:$B$202,C539)=0,"Add vendor "&amp;C539&amp;" on the Vendors sheet",IF(ISNA(MATCH(H539,Codes!$A$2:$A$13,0)),"Pick the HSN Code from the list",IF(AND(E539&lt;&gt;"",COUNTIFS($C$3:$C$1002,C539,$E$3:$E$1002,E539,$F$3:$F$1002,"&lt;&gt;"&amp;F539)+COUNTIFS($C$3:$C$1002,C539,$E$3:$E$1002,E539,$G$3:$G$1002,"&lt;&gt;"&amp;G539)&gt;0),"Design "&amp;E539&amp;" has another Product Type or Category on another row",IF(COUNTIFS($F$3:$F$1002,F539,$G$3:$G$1002,G539,$H$3:$H$1002,"&lt;&gt;"&amp;H539)&gt;0,F539&amp;" + "&amp;G539&amp;" has another HSN Code on another row",IF(AND(V539&lt;&gt;"",U539=""),"Received Qty needs the Vendor Invoice No",IF(AND(U539&lt;&gt;"",COUNTIFS(Bills!$B$3:$B$302,U539,Bills!$C$3:$C$302,C539)=0),"Add bill "&amp;U539&amp;" of "&amp;C539&amp;" on the Bills sheet",IF(S539&lt;R539,"MRP is below the Purchase Rate","OK")))))))))</f>
        <v/>
      </c>
      <c r="B539" s="29"/>
      <c r="C539" s="22"/>
      <c r="D539" s="22"/>
      <c r="E539" s="24"/>
      <c r="F539" s="22"/>
      <c r="G539" s="22"/>
      <c r="H539" s="22"/>
      <c r="I539" s="30" t="str">
        <f>IF(H539="","",IFERROR(INDEX(Codes!$B$2:$B$13,MATCH(H539,Codes!$A$2:$A$13,0)),""))</f>
        <v/>
      </c>
      <c r="J539" s="23"/>
      <c r="K539" s="23"/>
      <c r="L539" s="23"/>
      <c r="M539" s="23"/>
      <c r="N539" s="23"/>
      <c r="O539" s="23"/>
      <c r="P539" s="23"/>
      <c r="Q539" s="31"/>
      <c r="R539" s="32"/>
      <c r="S539" s="32"/>
      <c r="T539" s="33" t="str">
        <f t="shared" si="16"/>
        <v/>
      </c>
      <c r="U539" s="34"/>
      <c r="V539" s="35"/>
      <c r="W539" s="33" t="str">
        <f t="shared" si="17"/>
        <v/>
      </c>
    </row>
    <row r="540" spans="1:23" x14ac:dyDescent="0.35">
      <c r="A540" s="21" t="str">
        <f>IF(COUNTA(B540:H540,J540:S540,U540:V540)=0,"",IF((IF(B540="","PO Ref, ","")&amp;IF(C540="","Vendor, ","")&amp;IF(D540="","Store, ","")&amp;IF(F540="","Product Type, ","")&amp;IF(G540="","Category, ","")&amp;IF(H540="","HSN Code, ","")&amp;IF(Q540="","Qty, ","")&amp;IF(R540="","Purchase Rate, ","")&amp;IF(S540="","MRP, ",""))&lt;&gt;"","Missing: "&amp;LEFT(IF(B540="","PO Ref, ","")&amp;IF(C540="","Vendor, ","")&amp;IF(D540="","Store, ","")&amp;IF(F540="","Product Type, ","")&amp;IF(G540="","Category, ","")&amp;IF(H540="","HSN Code, ","")&amp;IF(Q540="","Qty, ","")&amp;IF(R540="","Purchase Rate, ","")&amp;IF(S540="","MRP, ",""),LEN(IF(B540="","PO Ref, ","")&amp;IF(C540="","Vendor, ","")&amp;IF(D540="","Store, ","")&amp;IF(F540="","Product Type, ","")&amp;IF(G540="","Category, ","")&amp;IF(H540="","HSN Code, ","")&amp;IF(Q540="","Qty, ","")&amp;IF(R540="","Purchase Rate, ","")&amp;IF(S540="","MRP, ",""))-2),IF(COUNTIF(Vendors!$B$3:$B$202,C540)=0,"Add vendor "&amp;C540&amp;" on the Vendors sheet",IF(ISNA(MATCH(H540,Codes!$A$2:$A$13,0)),"Pick the HSN Code from the list",IF(AND(E540&lt;&gt;"",COUNTIFS($C$3:$C$1002,C540,$E$3:$E$1002,E540,$F$3:$F$1002,"&lt;&gt;"&amp;F540)+COUNTIFS($C$3:$C$1002,C540,$E$3:$E$1002,E540,$G$3:$G$1002,"&lt;&gt;"&amp;G540)&gt;0),"Design "&amp;E540&amp;" has another Product Type or Category on another row",IF(COUNTIFS($F$3:$F$1002,F540,$G$3:$G$1002,G540,$H$3:$H$1002,"&lt;&gt;"&amp;H540)&gt;0,F540&amp;" + "&amp;G540&amp;" has another HSN Code on another row",IF(AND(V540&lt;&gt;"",U540=""),"Received Qty needs the Vendor Invoice No",IF(AND(U540&lt;&gt;"",COUNTIFS(Bills!$B$3:$B$302,U540,Bills!$C$3:$C$302,C540)=0),"Add bill "&amp;U540&amp;" of "&amp;C540&amp;" on the Bills sheet",IF(S540&lt;R540,"MRP is below the Purchase Rate","OK")))))))))</f>
        <v/>
      </c>
      <c r="B540" s="29"/>
      <c r="C540" s="22"/>
      <c r="D540" s="22"/>
      <c r="E540" s="24"/>
      <c r="F540" s="22"/>
      <c r="G540" s="22"/>
      <c r="H540" s="22"/>
      <c r="I540" s="30" t="str">
        <f>IF(H540="","",IFERROR(INDEX(Codes!$B$2:$B$13,MATCH(H540,Codes!$A$2:$A$13,0)),""))</f>
        <v/>
      </c>
      <c r="J540" s="23"/>
      <c r="K540" s="23"/>
      <c r="L540" s="23"/>
      <c r="M540" s="23"/>
      <c r="N540" s="23"/>
      <c r="O540" s="23"/>
      <c r="P540" s="23"/>
      <c r="Q540" s="31"/>
      <c r="R540" s="32"/>
      <c r="S540" s="32"/>
      <c r="T540" s="33" t="str">
        <f t="shared" si="16"/>
        <v/>
      </c>
      <c r="U540" s="34"/>
      <c r="V540" s="35"/>
      <c r="W540" s="33" t="str">
        <f t="shared" si="17"/>
        <v/>
      </c>
    </row>
    <row r="541" spans="1:23" x14ac:dyDescent="0.35">
      <c r="A541" s="21" t="str">
        <f>IF(COUNTA(B541:H541,J541:S541,U541:V541)=0,"",IF((IF(B541="","PO Ref, ","")&amp;IF(C541="","Vendor, ","")&amp;IF(D541="","Store, ","")&amp;IF(F541="","Product Type, ","")&amp;IF(G541="","Category, ","")&amp;IF(H541="","HSN Code, ","")&amp;IF(Q541="","Qty, ","")&amp;IF(R541="","Purchase Rate, ","")&amp;IF(S541="","MRP, ",""))&lt;&gt;"","Missing: "&amp;LEFT(IF(B541="","PO Ref, ","")&amp;IF(C541="","Vendor, ","")&amp;IF(D541="","Store, ","")&amp;IF(F541="","Product Type, ","")&amp;IF(G541="","Category, ","")&amp;IF(H541="","HSN Code, ","")&amp;IF(Q541="","Qty, ","")&amp;IF(R541="","Purchase Rate, ","")&amp;IF(S541="","MRP, ",""),LEN(IF(B541="","PO Ref, ","")&amp;IF(C541="","Vendor, ","")&amp;IF(D541="","Store, ","")&amp;IF(F541="","Product Type, ","")&amp;IF(G541="","Category, ","")&amp;IF(H541="","HSN Code, ","")&amp;IF(Q541="","Qty, ","")&amp;IF(R541="","Purchase Rate, ","")&amp;IF(S541="","MRP, ",""))-2),IF(COUNTIF(Vendors!$B$3:$B$202,C541)=0,"Add vendor "&amp;C541&amp;" on the Vendors sheet",IF(ISNA(MATCH(H541,Codes!$A$2:$A$13,0)),"Pick the HSN Code from the list",IF(AND(E541&lt;&gt;"",COUNTIFS($C$3:$C$1002,C541,$E$3:$E$1002,E541,$F$3:$F$1002,"&lt;&gt;"&amp;F541)+COUNTIFS($C$3:$C$1002,C541,$E$3:$E$1002,E541,$G$3:$G$1002,"&lt;&gt;"&amp;G541)&gt;0),"Design "&amp;E541&amp;" has another Product Type or Category on another row",IF(COUNTIFS($F$3:$F$1002,F541,$G$3:$G$1002,G541,$H$3:$H$1002,"&lt;&gt;"&amp;H541)&gt;0,F541&amp;" + "&amp;G541&amp;" has another HSN Code on another row",IF(AND(V541&lt;&gt;"",U541=""),"Received Qty needs the Vendor Invoice No",IF(AND(U541&lt;&gt;"",COUNTIFS(Bills!$B$3:$B$302,U541,Bills!$C$3:$C$302,C541)=0),"Add bill "&amp;U541&amp;" of "&amp;C541&amp;" on the Bills sheet",IF(S541&lt;R541,"MRP is below the Purchase Rate","OK")))))))))</f>
        <v/>
      </c>
      <c r="B541" s="29"/>
      <c r="C541" s="22"/>
      <c r="D541" s="22"/>
      <c r="E541" s="24"/>
      <c r="F541" s="22"/>
      <c r="G541" s="22"/>
      <c r="H541" s="22"/>
      <c r="I541" s="30" t="str">
        <f>IF(H541="","",IFERROR(INDEX(Codes!$B$2:$B$13,MATCH(H541,Codes!$A$2:$A$13,0)),""))</f>
        <v/>
      </c>
      <c r="J541" s="23"/>
      <c r="K541" s="23"/>
      <c r="L541" s="23"/>
      <c r="M541" s="23"/>
      <c r="N541" s="23"/>
      <c r="O541" s="23"/>
      <c r="P541" s="23"/>
      <c r="Q541" s="31"/>
      <c r="R541" s="32"/>
      <c r="S541" s="32"/>
      <c r="T541" s="33" t="str">
        <f t="shared" si="16"/>
        <v/>
      </c>
      <c r="U541" s="34"/>
      <c r="V541" s="35"/>
      <c r="W541" s="33" t="str">
        <f t="shared" si="17"/>
        <v/>
      </c>
    </row>
    <row r="542" spans="1:23" x14ac:dyDescent="0.35">
      <c r="A542" s="21" t="str">
        <f>IF(COUNTA(B542:H542,J542:S542,U542:V542)=0,"",IF((IF(B542="","PO Ref, ","")&amp;IF(C542="","Vendor, ","")&amp;IF(D542="","Store, ","")&amp;IF(F542="","Product Type, ","")&amp;IF(G542="","Category, ","")&amp;IF(H542="","HSN Code, ","")&amp;IF(Q542="","Qty, ","")&amp;IF(R542="","Purchase Rate, ","")&amp;IF(S542="","MRP, ",""))&lt;&gt;"","Missing: "&amp;LEFT(IF(B542="","PO Ref, ","")&amp;IF(C542="","Vendor, ","")&amp;IF(D542="","Store, ","")&amp;IF(F542="","Product Type, ","")&amp;IF(G542="","Category, ","")&amp;IF(H542="","HSN Code, ","")&amp;IF(Q542="","Qty, ","")&amp;IF(R542="","Purchase Rate, ","")&amp;IF(S542="","MRP, ",""),LEN(IF(B542="","PO Ref, ","")&amp;IF(C542="","Vendor, ","")&amp;IF(D542="","Store, ","")&amp;IF(F542="","Product Type, ","")&amp;IF(G542="","Category, ","")&amp;IF(H542="","HSN Code, ","")&amp;IF(Q542="","Qty, ","")&amp;IF(R542="","Purchase Rate, ","")&amp;IF(S542="","MRP, ",""))-2),IF(COUNTIF(Vendors!$B$3:$B$202,C542)=0,"Add vendor "&amp;C542&amp;" on the Vendors sheet",IF(ISNA(MATCH(H542,Codes!$A$2:$A$13,0)),"Pick the HSN Code from the list",IF(AND(E542&lt;&gt;"",COUNTIFS($C$3:$C$1002,C542,$E$3:$E$1002,E542,$F$3:$F$1002,"&lt;&gt;"&amp;F542)+COUNTIFS($C$3:$C$1002,C542,$E$3:$E$1002,E542,$G$3:$G$1002,"&lt;&gt;"&amp;G542)&gt;0),"Design "&amp;E542&amp;" has another Product Type or Category on another row",IF(COUNTIFS($F$3:$F$1002,F542,$G$3:$G$1002,G542,$H$3:$H$1002,"&lt;&gt;"&amp;H542)&gt;0,F542&amp;" + "&amp;G542&amp;" has another HSN Code on another row",IF(AND(V542&lt;&gt;"",U542=""),"Received Qty needs the Vendor Invoice No",IF(AND(U542&lt;&gt;"",COUNTIFS(Bills!$B$3:$B$302,U542,Bills!$C$3:$C$302,C542)=0),"Add bill "&amp;U542&amp;" of "&amp;C542&amp;" on the Bills sheet",IF(S542&lt;R542,"MRP is below the Purchase Rate","OK")))))))))</f>
        <v/>
      </c>
      <c r="B542" s="29"/>
      <c r="C542" s="22"/>
      <c r="D542" s="22"/>
      <c r="E542" s="24"/>
      <c r="F542" s="22"/>
      <c r="G542" s="22"/>
      <c r="H542" s="22"/>
      <c r="I542" s="30" t="str">
        <f>IF(H542="","",IFERROR(INDEX(Codes!$B$2:$B$13,MATCH(H542,Codes!$A$2:$A$13,0)),""))</f>
        <v/>
      </c>
      <c r="J542" s="23"/>
      <c r="K542" s="23"/>
      <c r="L542" s="23"/>
      <c r="M542" s="23"/>
      <c r="N542" s="23"/>
      <c r="O542" s="23"/>
      <c r="P542" s="23"/>
      <c r="Q542" s="31"/>
      <c r="R542" s="32"/>
      <c r="S542" s="32"/>
      <c r="T542" s="33" t="str">
        <f t="shared" si="16"/>
        <v/>
      </c>
      <c r="U542" s="34"/>
      <c r="V542" s="35"/>
      <c r="W542" s="33" t="str">
        <f t="shared" si="17"/>
        <v/>
      </c>
    </row>
    <row r="543" spans="1:23" x14ac:dyDescent="0.35">
      <c r="A543" s="21" t="str">
        <f>IF(COUNTA(B543:H543,J543:S543,U543:V543)=0,"",IF((IF(B543="","PO Ref, ","")&amp;IF(C543="","Vendor, ","")&amp;IF(D543="","Store, ","")&amp;IF(F543="","Product Type, ","")&amp;IF(G543="","Category, ","")&amp;IF(H543="","HSN Code, ","")&amp;IF(Q543="","Qty, ","")&amp;IF(R543="","Purchase Rate, ","")&amp;IF(S543="","MRP, ",""))&lt;&gt;"","Missing: "&amp;LEFT(IF(B543="","PO Ref, ","")&amp;IF(C543="","Vendor, ","")&amp;IF(D543="","Store, ","")&amp;IF(F543="","Product Type, ","")&amp;IF(G543="","Category, ","")&amp;IF(H543="","HSN Code, ","")&amp;IF(Q543="","Qty, ","")&amp;IF(R543="","Purchase Rate, ","")&amp;IF(S543="","MRP, ",""),LEN(IF(B543="","PO Ref, ","")&amp;IF(C543="","Vendor, ","")&amp;IF(D543="","Store, ","")&amp;IF(F543="","Product Type, ","")&amp;IF(G543="","Category, ","")&amp;IF(H543="","HSN Code, ","")&amp;IF(Q543="","Qty, ","")&amp;IF(R543="","Purchase Rate, ","")&amp;IF(S543="","MRP, ",""))-2),IF(COUNTIF(Vendors!$B$3:$B$202,C543)=0,"Add vendor "&amp;C543&amp;" on the Vendors sheet",IF(ISNA(MATCH(H543,Codes!$A$2:$A$13,0)),"Pick the HSN Code from the list",IF(AND(E543&lt;&gt;"",COUNTIFS($C$3:$C$1002,C543,$E$3:$E$1002,E543,$F$3:$F$1002,"&lt;&gt;"&amp;F543)+COUNTIFS($C$3:$C$1002,C543,$E$3:$E$1002,E543,$G$3:$G$1002,"&lt;&gt;"&amp;G543)&gt;0),"Design "&amp;E543&amp;" has another Product Type or Category on another row",IF(COUNTIFS($F$3:$F$1002,F543,$G$3:$G$1002,G543,$H$3:$H$1002,"&lt;&gt;"&amp;H543)&gt;0,F543&amp;" + "&amp;G543&amp;" has another HSN Code on another row",IF(AND(V543&lt;&gt;"",U543=""),"Received Qty needs the Vendor Invoice No",IF(AND(U543&lt;&gt;"",COUNTIFS(Bills!$B$3:$B$302,U543,Bills!$C$3:$C$302,C543)=0),"Add bill "&amp;U543&amp;" of "&amp;C543&amp;" on the Bills sheet",IF(S543&lt;R543,"MRP is below the Purchase Rate","OK")))))))))</f>
        <v/>
      </c>
      <c r="B543" s="29"/>
      <c r="C543" s="22"/>
      <c r="D543" s="22"/>
      <c r="E543" s="24"/>
      <c r="F543" s="22"/>
      <c r="G543" s="22"/>
      <c r="H543" s="22"/>
      <c r="I543" s="30" t="str">
        <f>IF(H543="","",IFERROR(INDEX(Codes!$B$2:$B$13,MATCH(H543,Codes!$A$2:$A$13,0)),""))</f>
        <v/>
      </c>
      <c r="J543" s="23"/>
      <c r="K543" s="23"/>
      <c r="L543" s="23"/>
      <c r="M543" s="23"/>
      <c r="N543" s="23"/>
      <c r="O543" s="23"/>
      <c r="P543" s="23"/>
      <c r="Q543" s="31"/>
      <c r="R543" s="32"/>
      <c r="S543" s="32"/>
      <c r="T543" s="33" t="str">
        <f t="shared" si="16"/>
        <v/>
      </c>
      <c r="U543" s="34"/>
      <c r="V543" s="35"/>
      <c r="W543" s="33" t="str">
        <f t="shared" si="17"/>
        <v/>
      </c>
    </row>
    <row r="544" spans="1:23" x14ac:dyDescent="0.35">
      <c r="A544" s="21" t="str">
        <f>IF(COUNTA(B544:H544,J544:S544,U544:V544)=0,"",IF((IF(B544="","PO Ref, ","")&amp;IF(C544="","Vendor, ","")&amp;IF(D544="","Store, ","")&amp;IF(F544="","Product Type, ","")&amp;IF(G544="","Category, ","")&amp;IF(H544="","HSN Code, ","")&amp;IF(Q544="","Qty, ","")&amp;IF(R544="","Purchase Rate, ","")&amp;IF(S544="","MRP, ",""))&lt;&gt;"","Missing: "&amp;LEFT(IF(B544="","PO Ref, ","")&amp;IF(C544="","Vendor, ","")&amp;IF(D544="","Store, ","")&amp;IF(F544="","Product Type, ","")&amp;IF(G544="","Category, ","")&amp;IF(H544="","HSN Code, ","")&amp;IF(Q544="","Qty, ","")&amp;IF(R544="","Purchase Rate, ","")&amp;IF(S544="","MRP, ",""),LEN(IF(B544="","PO Ref, ","")&amp;IF(C544="","Vendor, ","")&amp;IF(D544="","Store, ","")&amp;IF(F544="","Product Type, ","")&amp;IF(G544="","Category, ","")&amp;IF(H544="","HSN Code, ","")&amp;IF(Q544="","Qty, ","")&amp;IF(R544="","Purchase Rate, ","")&amp;IF(S544="","MRP, ",""))-2),IF(COUNTIF(Vendors!$B$3:$B$202,C544)=0,"Add vendor "&amp;C544&amp;" on the Vendors sheet",IF(ISNA(MATCH(H544,Codes!$A$2:$A$13,0)),"Pick the HSN Code from the list",IF(AND(E544&lt;&gt;"",COUNTIFS($C$3:$C$1002,C544,$E$3:$E$1002,E544,$F$3:$F$1002,"&lt;&gt;"&amp;F544)+COUNTIFS($C$3:$C$1002,C544,$E$3:$E$1002,E544,$G$3:$G$1002,"&lt;&gt;"&amp;G544)&gt;0),"Design "&amp;E544&amp;" has another Product Type or Category on another row",IF(COUNTIFS($F$3:$F$1002,F544,$G$3:$G$1002,G544,$H$3:$H$1002,"&lt;&gt;"&amp;H544)&gt;0,F544&amp;" + "&amp;G544&amp;" has another HSN Code on another row",IF(AND(V544&lt;&gt;"",U544=""),"Received Qty needs the Vendor Invoice No",IF(AND(U544&lt;&gt;"",COUNTIFS(Bills!$B$3:$B$302,U544,Bills!$C$3:$C$302,C544)=0),"Add bill "&amp;U544&amp;" of "&amp;C544&amp;" on the Bills sheet",IF(S544&lt;R544,"MRP is below the Purchase Rate","OK")))))))))</f>
        <v/>
      </c>
      <c r="B544" s="29"/>
      <c r="C544" s="22"/>
      <c r="D544" s="22"/>
      <c r="E544" s="24"/>
      <c r="F544" s="22"/>
      <c r="G544" s="22"/>
      <c r="H544" s="22"/>
      <c r="I544" s="30" t="str">
        <f>IF(H544="","",IFERROR(INDEX(Codes!$B$2:$B$13,MATCH(H544,Codes!$A$2:$A$13,0)),""))</f>
        <v/>
      </c>
      <c r="J544" s="23"/>
      <c r="K544" s="23"/>
      <c r="L544" s="23"/>
      <c r="M544" s="23"/>
      <c r="N544" s="23"/>
      <c r="O544" s="23"/>
      <c r="P544" s="23"/>
      <c r="Q544" s="31"/>
      <c r="R544" s="32"/>
      <c r="S544" s="32"/>
      <c r="T544" s="33" t="str">
        <f t="shared" si="16"/>
        <v/>
      </c>
      <c r="U544" s="34"/>
      <c r="V544" s="35"/>
      <c r="W544" s="33" t="str">
        <f t="shared" si="17"/>
        <v/>
      </c>
    </row>
    <row r="545" spans="1:23" x14ac:dyDescent="0.35">
      <c r="A545" s="21" t="str">
        <f>IF(COUNTA(B545:H545,J545:S545,U545:V545)=0,"",IF((IF(B545="","PO Ref, ","")&amp;IF(C545="","Vendor, ","")&amp;IF(D545="","Store, ","")&amp;IF(F545="","Product Type, ","")&amp;IF(G545="","Category, ","")&amp;IF(H545="","HSN Code, ","")&amp;IF(Q545="","Qty, ","")&amp;IF(R545="","Purchase Rate, ","")&amp;IF(S545="","MRP, ",""))&lt;&gt;"","Missing: "&amp;LEFT(IF(B545="","PO Ref, ","")&amp;IF(C545="","Vendor, ","")&amp;IF(D545="","Store, ","")&amp;IF(F545="","Product Type, ","")&amp;IF(G545="","Category, ","")&amp;IF(H545="","HSN Code, ","")&amp;IF(Q545="","Qty, ","")&amp;IF(R545="","Purchase Rate, ","")&amp;IF(S545="","MRP, ",""),LEN(IF(B545="","PO Ref, ","")&amp;IF(C545="","Vendor, ","")&amp;IF(D545="","Store, ","")&amp;IF(F545="","Product Type, ","")&amp;IF(G545="","Category, ","")&amp;IF(H545="","HSN Code, ","")&amp;IF(Q545="","Qty, ","")&amp;IF(R545="","Purchase Rate, ","")&amp;IF(S545="","MRP, ",""))-2),IF(COUNTIF(Vendors!$B$3:$B$202,C545)=0,"Add vendor "&amp;C545&amp;" on the Vendors sheet",IF(ISNA(MATCH(H545,Codes!$A$2:$A$13,0)),"Pick the HSN Code from the list",IF(AND(E545&lt;&gt;"",COUNTIFS($C$3:$C$1002,C545,$E$3:$E$1002,E545,$F$3:$F$1002,"&lt;&gt;"&amp;F545)+COUNTIFS($C$3:$C$1002,C545,$E$3:$E$1002,E545,$G$3:$G$1002,"&lt;&gt;"&amp;G545)&gt;0),"Design "&amp;E545&amp;" has another Product Type or Category on another row",IF(COUNTIFS($F$3:$F$1002,F545,$G$3:$G$1002,G545,$H$3:$H$1002,"&lt;&gt;"&amp;H545)&gt;0,F545&amp;" + "&amp;G545&amp;" has another HSN Code on another row",IF(AND(V545&lt;&gt;"",U545=""),"Received Qty needs the Vendor Invoice No",IF(AND(U545&lt;&gt;"",COUNTIFS(Bills!$B$3:$B$302,U545,Bills!$C$3:$C$302,C545)=0),"Add bill "&amp;U545&amp;" of "&amp;C545&amp;" on the Bills sheet",IF(S545&lt;R545,"MRP is below the Purchase Rate","OK")))))))))</f>
        <v/>
      </c>
      <c r="B545" s="29"/>
      <c r="C545" s="22"/>
      <c r="D545" s="22"/>
      <c r="E545" s="24"/>
      <c r="F545" s="22"/>
      <c r="G545" s="22"/>
      <c r="H545" s="22"/>
      <c r="I545" s="30" t="str">
        <f>IF(H545="","",IFERROR(INDEX(Codes!$B$2:$B$13,MATCH(H545,Codes!$A$2:$A$13,0)),""))</f>
        <v/>
      </c>
      <c r="J545" s="23"/>
      <c r="K545" s="23"/>
      <c r="L545" s="23"/>
      <c r="M545" s="23"/>
      <c r="N545" s="23"/>
      <c r="O545" s="23"/>
      <c r="P545" s="23"/>
      <c r="Q545" s="31"/>
      <c r="R545" s="32"/>
      <c r="S545" s="32"/>
      <c r="T545" s="33" t="str">
        <f t="shared" si="16"/>
        <v/>
      </c>
      <c r="U545" s="34"/>
      <c r="V545" s="35"/>
      <c r="W545" s="33" t="str">
        <f t="shared" si="17"/>
        <v/>
      </c>
    </row>
    <row r="546" spans="1:23" x14ac:dyDescent="0.35">
      <c r="A546" s="21" t="str">
        <f>IF(COUNTA(B546:H546,J546:S546,U546:V546)=0,"",IF((IF(B546="","PO Ref, ","")&amp;IF(C546="","Vendor, ","")&amp;IF(D546="","Store, ","")&amp;IF(F546="","Product Type, ","")&amp;IF(G546="","Category, ","")&amp;IF(H546="","HSN Code, ","")&amp;IF(Q546="","Qty, ","")&amp;IF(R546="","Purchase Rate, ","")&amp;IF(S546="","MRP, ",""))&lt;&gt;"","Missing: "&amp;LEFT(IF(B546="","PO Ref, ","")&amp;IF(C546="","Vendor, ","")&amp;IF(D546="","Store, ","")&amp;IF(F546="","Product Type, ","")&amp;IF(G546="","Category, ","")&amp;IF(H546="","HSN Code, ","")&amp;IF(Q546="","Qty, ","")&amp;IF(R546="","Purchase Rate, ","")&amp;IF(S546="","MRP, ",""),LEN(IF(B546="","PO Ref, ","")&amp;IF(C546="","Vendor, ","")&amp;IF(D546="","Store, ","")&amp;IF(F546="","Product Type, ","")&amp;IF(G546="","Category, ","")&amp;IF(H546="","HSN Code, ","")&amp;IF(Q546="","Qty, ","")&amp;IF(R546="","Purchase Rate, ","")&amp;IF(S546="","MRP, ",""))-2),IF(COUNTIF(Vendors!$B$3:$B$202,C546)=0,"Add vendor "&amp;C546&amp;" on the Vendors sheet",IF(ISNA(MATCH(H546,Codes!$A$2:$A$13,0)),"Pick the HSN Code from the list",IF(AND(E546&lt;&gt;"",COUNTIFS($C$3:$C$1002,C546,$E$3:$E$1002,E546,$F$3:$F$1002,"&lt;&gt;"&amp;F546)+COUNTIFS($C$3:$C$1002,C546,$E$3:$E$1002,E546,$G$3:$G$1002,"&lt;&gt;"&amp;G546)&gt;0),"Design "&amp;E546&amp;" has another Product Type or Category on another row",IF(COUNTIFS($F$3:$F$1002,F546,$G$3:$G$1002,G546,$H$3:$H$1002,"&lt;&gt;"&amp;H546)&gt;0,F546&amp;" + "&amp;G546&amp;" has another HSN Code on another row",IF(AND(V546&lt;&gt;"",U546=""),"Received Qty needs the Vendor Invoice No",IF(AND(U546&lt;&gt;"",COUNTIFS(Bills!$B$3:$B$302,U546,Bills!$C$3:$C$302,C546)=0),"Add bill "&amp;U546&amp;" of "&amp;C546&amp;" on the Bills sheet",IF(S546&lt;R546,"MRP is below the Purchase Rate","OK")))))))))</f>
        <v/>
      </c>
      <c r="B546" s="29"/>
      <c r="C546" s="22"/>
      <c r="D546" s="22"/>
      <c r="E546" s="24"/>
      <c r="F546" s="22"/>
      <c r="G546" s="22"/>
      <c r="H546" s="22"/>
      <c r="I546" s="30" t="str">
        <f>IF(H546="","",IFERROR(INDEX(Codes!$B$2:$B$13,MATCH(H546,Codes!$A$2:$A$13,0)),""))</f>
        <v/>
      </c>
      <c r="J546" s="23"/>
      <c r="K546" s="23"/>
      <c r="L546" s="23"/>
      <c r="M546" s="23"/>
      <c r="N546" s="23"/>
      <c r="O546" s="23"/>
      <c r="P546" s="23"/>
      <c r="Q546" s="31"/>
      <c r="R546" s="32"/>
      <c r="S546" s="32"/>
      <c r="T546" s="33" t="str">
        <f t="shared" si="16"/>
        <v/>
      </c>
      <c r="U546" s="34"/>
      <c r="V546" s="35"/>
      <c r="W546" s="33" t="str">
        <f t="shared" si="17"/>
        <v/>
      </c>
    </row>
    <row r="547" spans="1:23" x14ac:dyDescent="0.35">
      <c r="A547" s="21" t="str">
        <f>IF(COUNTA(B547:H547,J547:S547,U547:V547)=0,"",IF((IF(B547="","PO Ref, ","")&amp;IF(C547="","Vendor, ","")&amp;IF(D547="","Store, ","")&amp;IF(F547="","Product Type, ","")&amp;IF(G547="","Category, ","")&amp;IF(H547="","HSN Code, ","")&amp;IF(Q547="","Qty, ","")&amp;IF(R547="","Purchase Rate, ","")&amp;IF(S547="","MRP, ",""))&lt;&gt;"","Missing: "&amp;LEFT(IF(B547="","PO Ref, ","")&amp;IF(C547="","Vendor, ","")&amp;IF(D547="","Store, ","")&amp;IF(F547="","Product Type, ","")&amp;IF(G547="","Category, ","")&amp;IF(H547="","HSN Code, ","")&amp;IF(Q547="","Qty, ","")&amp;IF(R547="","Purchase Rate, ","")&amp;IF(S547="","MRP, ",""),LEN(IF(B547="","PO Ref, ","")&amp;IF(C547="","Vendor, ","")&amp;IF(D547="","Store, ","")&amp;IF(F547="","Product Type, ","")&amp;IF(G547="","Category, ","")&amp;IF(H547="","HSN Code, ","")&amp;IF(Q547="","Qty, ","")&amp;IF(R547="","Purchase Rate, ","")&amp;IF(S547="","MRP, ",""))-2),IF(COUNTIF(Vendors!$B$3:$B$202,C547)=0,"Add vendor "&amp;C547&amp;" on the Vendors sheet",IF(ISNA(MATCH(H547,Codes!$A$2:$A$13,0)),"Pick the HSN Code from the list",IF(AND(E547&lt;&gt;"",COUNTIFS($C$3:$C$1002,C547,$E$3:$E$1002,E547,$F$3:$F$1002,"&lt;&gt;"&amp;F547)+COUNTIFS($C$3:$C$1002,C547,$E$3:$E$1002,E547,$G$3:$G$1002,"&lt;&gt;"&amp;G547)&gt;0),"Design "&amp;E547&amp;" has another Product Type or Category on another row",IF(COUNTIFS($F$3:$F$1002,F547,$G$3:$G$1002,G547,$H$3:$H$1002,"&lt;&gt;"&amp;H547)&gt;0,F547&amp;" + "&amp;G547&amp;" has another HSN Code on another row",IF(AND(V547&lt;&gt;"",U547=""),"Received Qty needs the Vendor Invoice No",IF(AND(U547&lt;&gt;"",COUNTIFS(Bills!$B$3:$B$302,U547,Bills!$C$3:$C$302,C547)=0),"Add bill "&amp;U547&amp;" of "&amp;C547&amp;" on the Bills sheet",IF(S547&lt;R547,"MRP is below the Purchase Rate","OK")))))))))</f>
        <v/>
      </c>
      <c r="B547" s="29"/>
      <c r="C547" s="22"/>
      <c r="D547" s="22"/>
      <c r="E547" s="24"/>
      <c r="F547" s="22"/>
      <c r="G547" s="22"/>
      <c r="H547" s="22"/>
      <c r="I547" s="30" t="str">
        <f>IF(H547="","",IFERROR(INDEX(Codes!$B$2:$B$13,MATCH(H547,Codes!$A$2:$A$13,0)),""))</f>
        <v/>
      </c>
      <c r="J547" s="23"/>
      <c r="K547" s="23"/>
      <c r="L547" s="23"/>
      <c r="M547" s="23"/>
      <c r="N547" s="23"/>
      <c r="O547" s="23"/>
      <c r="P547" s="23"/>
      <c r="Q547" s="31"/>
      <c r="R547" s="32"/>
      <c r="S547" s="32"/>
      <c r="T547" s="33" t="str">
        <f t="shared" si="16"/>
        <v/>
      </c>
      <c r="U547" s="34"/>
      <c r="V547" s="35"/>
      <c r="W547" s="33" t="str">
        <f t="shared" si="17"/>
        <v/>
      </c>
    </row>
    <row r="548" spans="1:23" x14ac:dyDescent="0.35">
      <c r="A548" s="21" t="str">
        <f>IF(COUNTA(B548:H548,J548:S548,U548:V548)=0,"",IF((IF(B548="","PO Ref, ","")&amp;IF(C548="","Vendor, ","")&amp;IF(D548="","Store, ","")&amp;IF(F548="","Product Type, ","")&amp;IF(G548="","Category, ","")&amp;IF(H548="","HSN Code, ","")&amp;IF(Q548="","Qty, ","")&amp;IF(R548="","Purchase Rate, ","")&amp;IF(S548="","MRP, ",""))&lt;&gt;"","Missing: "&amp;LEFT(IF(B548="","PO Ref, ","")&amp;IF(C548="","Vendor, ","")&amp;IF(D548="","Store, ","")&amp;IF(F548="","Product Type, ","")&amp;IF(G548="","Category, ","")&amp;IF(H548="","HSN Code, ","")&amp;IF(Q548="","Qty, ","")&amp;IF(R548="","Purchase Rate, ","")&amp;IF(S548="","MRP, ",""),LEN(IF(B548="","PO Ref, ","")&amp;IF(C548="","Vendor, ","")&amp;IF(D548="","Store, ","")&amp;IF(F548="","Product Type, ","")&amp;IF(G548="","Category, ","")&amp;IF(H548="","HSN Code, ","")&amp;IF(Q548="","Qty, ","")&amp;IF(R548="","Purchase Rate, ","")&amp;IF(S548="","MRP, ",""))-2),IF(COUNTIF(Vendors!$B$3:$B$202,C548)=0,"Add vendor "&amp;C548&amp;" on the Vendors sheet",IF(ISNA(MATCH(H548,Codes!$A$2:$A$13,0)),"Pick the HSN Code from the list",IF(AND(E548&lt;&gt;"",COUNTIFS($C$3:$C$1002,C548,$E$3:$E$1002,E548,$F$3:$F$1002,"&lt;&gt;"&amp;F548)+COUNTIFS($C$3:$C$1002,C548,$E$3:$E$1002,E548,$G$3:$G$1002,"&lt;&gt;"&amp;G548)&gt;0),"Design "&amp;E548&amp;" has another Product Type or Category on another row",IF(COUNTIFS($F$3:$F$1002,F548,$G$3:$G$1002,G548,$H$3:$H$1002,"&lt;&gt;"&amp;H548)&gt;0,F548&amp;" + "&amp;G548&amp;" has another HSN Code on another row",IF(AND(V548&lt;&gt;"",U548=""),"Received Qty needs the Vendor Invoice No",IF(AND(U548&lt;&gt;"",COUNTIFS(Bills!$B$3:$B$302,U548,Bills!$C$3:$C$302,C548)=0),"Add bill "&amp;U548&amp;" of "&amp;C548&amp;" on the Bills sheet",IF(S548&lt;R548,"MRP is below the Purchase Rate","OK")))))))))</f>
        <v/>
      </c>
      <c r="B548" s="29"/>
      <c r="C548" s="22"/>
      <c r="D548" s="22"/>
      <c r="E548" s="24"/>
      <c r="F548" s="22"/>
      <c r="G548" s="22"/>
      <c r="H548" s="22"/>
      <c r="I548" s="30" t="str">
        <f>IF(H548="","",IFERROR(INDEX(Codes!$B$2:$B$13,MATCH(H548,Codes!$A$2:$A$13,0)),""))</f>
        <v/>
      </c>
      <c r="J548" s="23"/>
      <c r="K548" s="23"/>
      <c r="L548" s="23"/>
      <c r="M548" s="23"/>
      <c r="N548" s="23"/>
      <c r="O548" s="23"/>
      <c r="P548" s="23"/>
      <c r="Q548" s="31"/>
      <c r="R548" s="32"/>
      <c r="S548" s="32"/>
      <c r="T548" s="33" t="str">
        <f t="shared" si="16"/>
        <v/>
      </c>
      <c r="U548" s="34"/>
      <c r="V548" s="35"/>
      <c r="W548" s="33" t="str">
        <f t="shared" si="17"/>
        <v/>
      </c>
    </row>
    <row r="549" spans="1:23" x14ac:dyDescent="0.35">
      <c r="A549" s="21" t="str">
        <f>IF(COUNTA(B549:H549,J549:S549,U549:V549)=0,"",IF((IF(B549="","PO Ref, ","")&amp;IF(C549="","Vendor, ","")&amp;IF(D549="","Store, ","")&amp;IF(F549="","Product Type, ","")&amp;IF(G549="","Category, ","")&amp;IF(H549="","HSN Code, ","")&amp;IF(Q549="","Qty, ","")&amp;IF(R549="","Purchase Rate, ","")&amp;IF(S549="","MRP, ",""))&lt;&gt;"","Missing: "&amp;LEFT(IF(B549="","PO Ref, ","")&amp;IF(C549="","Vendor, ","")&amp;IF(D549="","Store, ","")&amp;IF(F549="","Product Type, ","")&amp;IF(G549="","Category, ","")&amp;IF(H549="","HSN Code, ","")&amp;IF(Q549="","Qty, ","")&amp;IF(R549="","Purchase Rate, ","")&amp;IF(S549="","MRP, ",""),LEN(IF(B549="","PO Ref, ","")&amp;IF(C549="","Vendor, ","")&amp;IF(D549="","Store, ","")&amp;IF(F549="","Product Type, ","")&amp;IF(G549="","Category, ","")&amp;IF(H549="","HSN Code, ","")&amp;IF(Q549="","Qty, ","")&amp;IF(R549="","Purchase Rate, ","")&amp;IF(S549="","MRP, ",""))-2),IF(COUNTIF(Vendors!$B$3:$B$202,C549)=0,"Add vendor "&amp;C549&amp;" on the Vendors sheet",IF(ISNA(MATCH(H549,Codes!$A$2:$A$13,0)),"Pick the HSN Code from the list",IF(AND(E549&lt;&gt;"",COUNTIFS($C$3:$C$1002,C549,$E$3:$E$1002,E549,$F$3:$F$1002,"&lt;&gt;"&amp;F549)+COUNTIFS($C$3:$C$1002,C549,$E$3:$E$1002,E549,$G$3:$G$1002,"&lt;&gt;"&amp;G549)&gt;0),"Design "&amp;E549&amp;" has another Product Type or Category on another row",IF(COUNTIFS($F$3:$F$1002,F549,$G$3:$G$1002,G549,$H$3:$H$1002,"&lt;&gt;"&amp;H549)&gt;0,F549&amp;" + "&amp;G549&amp;" has another HSN Code on another row",IF(AND(V549&lt;&gt;"",U549=""),"Received Qty needs the Vendor Invoice No",IF(AND(U549&lt;&gt;"",COUNTIFS(Bills!$B$3:$B$302,U549,Bills!$C$3:$C$302,C549)=0),"Add bill "&amp;U549&amp;" of "&amp;C549&amp;" on the Bills sheet",IF(S549&lt;R549,"MRP is below the Purchase Rate","OK")))))))))</f>
        <v/>
      </c>
      <c r="B549" s="29"/>
      <c r="C549" s="22"/>
      <c r="D549" s="22"/>
      <c r="E549" s="24"/>
      <c r="F549" s="22"/>
      <c r="G549" s="22"/>
      <c r="H549" s="22"/>
      <c r="I549" s="30" t="str">
        <f>IF(H549="","",IFERROR(INDEX(Codes!$B$2:$B$13,MATCH(H549,Codes!$A$2:$A$13,0)),""))</f>
        <v/>
      </c>
      <c r="J549" s="23"/>
      <c r="K549" s="23"/>
      <c r="L549" s="23"/>
      <c r="M549" s="23"/>
      <c r="N549" s="23"/>
      <c r="O549" s="23"/>
      <c r="P549" s="23"/>
      <c r="Q549" s="31"/>
      <c r="R549" s="32"/>
      <c r="S549" s="32"/>
      <c r="T549" s="33" t="str">
        <f t="shared" si="16"/>
        <v/>
      </c>
      <c r="U549" s="34"/>
      <c r="V549" s="35"/>
      <c r="W549" s="33" t="str">
        <f t="shared" si="17"/>
        <v/>
      </c>
    </row>
    <row r="550" spans="1:23" x14ac:dyDescent="0.35">
      <c r="A550" s="21" t="str">
        <f>IF(COUNTA(B550:H550,J550:S550,U550:V550)=0,"",IF((IF(B550="","PO Ref, ","")&amp;IF(C550="","Vendor, ","")&amp;IF(D550="","Store, ","")&amp;IF(F550="","Product Type, ","")&amp;IF(G550="","Category, ","")&amp;IF(H550="","HSN Code, ","")&amp;IF(Q550="","Qty, ","")&amp;IF(R550="","Purchase Rate, ","")&amp;IF(S550="","MRP, ",""))&lt;&gt;"","Missing: "&amp;LEFT(IF(B550="","PO Ref, ","")&amp;IF(C550="","Vendor, ","")&amp;IF(D550="","Store, ","")&amp;IF(F550="","Product Type, ","")&amp;IF(G550="","Category, ","")&amp;IF(H550="","HSN Code, ","")&amp;IF(Q550="","Qty, ","")&amp;IF(R550="","Purchase Rate, ","")&amp;IF(S550="","MRP, ",""),LEN(IF(B550="","PO Ref, ","")&amp;IF(C550="","Vendor, ","")&amp;IF(D550="","Store, ","")&amp;IF(F550="","Product Type, ","")&amp;IF(G550="","Category, ","")&amp;IF(H550="","HSN Code, ","")&amp;IF(Q550="","Qty, ","")&amp;IF(R550="","Purchase Rate, ","")&amp;IF(S550="","MRP, ",""))-2),IF(COUNTIF(Vendors!$B$3:$B$202,C550)=0,"Add vendor "&amp;C550&amp;" on the Vendors sheet",IF(ISNA(MATCH(H550,Codes!$A$2:$A$13,0)),"Pick the HSN Code from the list",IF(AND(E550&lt;&gt;"",COUNTIFS($C$3:$C$1002,C550,$E$3:$E$1002,E550,$F$3:$F$1002,"&lt;&gt;"&amp;F550)+COUNTIFS($C$3:$C$1002,C550,$E$3:$E$1002,E550,$G$3:$G$1002,"&lt;&gt;"&amp;G550)&gt;0),"Design "&amp;E550&amp;" has another Product Type or Category on another row",IF(COUNTIFS($F$3:$F$1002,F550,$G$3:$G$1002,G550,$H$3:$H$1002,"&lt;&gt;"&amp;H550)&gt;0,F550&amp;" + "&amp;G550&amp;" has another HSN Code on another row",IF(AND(V550&lt;&gt;"",U550=""),"Received Qty needs the Vendor Invoice No",IF(AND(U550&lt;&gt;"",COUNTIFS(Bills!$B$3:$B$302,U550,Bills!$C$3:$C$302,C550)=0),"Add bill "&amp;U550&amp;" of "&amp;C550&amp;" on the Bills sheet",IF(S550&lt;R550,"MRP is below the Purchase Rate","OK")))))))))</f>
        <v/>
      </c>
      <c r="B550" s="29"/>
      <c r="C550" s="22"/>
      <c r="D550" s="22"/>
      <c r="E550" s="24"/>
      <c r="F550" s="22"/>
      <c r="G550" s="22"/>
      <c r="H550" s="22"/>
      <c r="I550" s="30" t="str">
        <f>IF(H550="","",IFERROR(INDEX(Codes!$B$2:$B$13,MATCH(H550,Codes!$A$2:$A$13,0)),""))</f>
        <v/>
      </c>
      <c r="J550" s="23"/>
      <c r="K550" s="23"/>
      <c r="L550" s="23"/>
      <c r="M550" s="23"/>
      <c r="N550" s="23"/>
      <c r="O550" s="23"/>
      <c r="P550" s="23"/>
      <c r="Q550" s="31"/>
      <c r="R550" s="32"/>
      <c r="S550" s="32"/>
      <c r="T550" s="33" t="str">
        <f t="shared" si="16"/>
        <v/>
      </c>
      <c r="U550" s="34"/>
      <c r="V550" s="35"/>
      <c r="W550" s="33" t="str">
        <f t="shared" si="17"/>
        <v/>
      </c>
    </row>
    <row r="551" spans="1:23" x14ac:dyDescent="0.35">
      <c r="A551" s="21" t="str">
        <f>IF(COUNTA(B551:H551,J551:S551,U551:V551)=0,"",IF((IF(B551="","PO Ref, ","")&amp;IF(C551="","Vendor, ","")&amp;IF(D551="","Store, ","")&amp;IF(F551="","Product Type, ","")&amp;IF(G551="","Category, ","")&amp;IF(H551="","HSN Code, ","")&amp;IF(Q551="","Qty, ","")&amp;IF(R551="","Purchase Rate, ","")&amp;IF(S551="","MRP, ",""))&lt;&gt;"","Missing: "&amp;LEFT(IF(B551="","PO Ref, ","")&amp;IF(C551="","Vendor, ","")&amp;IF(D551="","Store, ","")&amp;IF(F551="","Product Type, ","")&amp;IF(G551="","Category, ","")&amp;IF(H551="","HSN Code, ","")&amp;IF(Q551="","Qty, ","")&amp;IF(R551="","Purchase Rate, ","")&amp;IF(S551="","MRP, ",""),LEN(IF(B551="","PO Ref, ","")&amp;IF(C551="","Vendor, ","")&amp;IF(D551="","Store, ","")&amp;IF(F551="","Product Type, ","")&amp;IF(G551="","Category, ","")&amp;IF(H551="","HSN Code, ","")&amp;IF(Q551="","Qty, ","")&amp;IF(R551="","Purchase Rate, ","")&amp;IF(S551="","MRP, ",""))-2),IF(COUNTIF(Vendors!$B$3:$B$202,C551)=0,"Add vendor "&amp;C551&amp;" on the Vendors sheet",IF(ISNA(MATCH(H551,Codes!$A$2:$A$13,0)),"Pick the HSN Code from the list",IF(AND(E551&lt;&gt;"",COUNTIFS($C$3:$C$1002,C551,$E$3:$E$1002,E551,$F$3:$F$1002,"&lt;&gt;"&amp;F551)+COUNTIFS($C$3:$C$1002,C551,$E$3:$E$1002,E551,$G$3:$G$1002,"&lt;&gt;"&amp;G551)&gt;0),"Design "&amp;E551&amp;" has another Product Type or Category on another row",IF(COUNTIFS($F$3:$F$1002,F551,$G$3:$G$1002,G551,$H$3:$H$1002,"&lt;&gt;"&amp;H551)&gt;0,F551&amp;" + "&amp;G551&amp;" has another HSN Code on another row",IF(AND(V551&lt;&gt;"",U551=""),"Received Qty needs the Vendor Invoice No",IF(AND(U551&lt;&gt;"",COUNTIFS(Bills!$B$3:$B$302,U551,Bills!$C$3:$C$302,C551)=0),"Add bill "&amp;U551&amp;" of "&amp;C551&amp;" on the Bills sheet",IF(S551&lt;R551,"MRP is below the Purchase Rate","OK")))))))))</f>
        <v/>
      </c>
      <c r="B551" s="29"/>
      <c r="C551" s="22"/>
      <c r="D551" s="22"/>
      <c r="E551" s="24"/>
      <c r="F551" s="22"/>
      <c r="G551" s="22"/>
      <c r="H551" s="22"/>
      <c r="I551" s="30" t="str">
        <f>IF(H551="","",IFERROR(INDEX(Codes!$B$2:$B$13,MATCH(H551,Codes!$A$2:$A$13,0)),""))</f>
        <v/>
      </c>
      <c r="J551" s="23"/>
      <c r="K551" s="23"/>
      <c r="L551" s="23"/>
      <c r="M551" s="23"/>
      <c r="N551" s="23"/>
      <c r="O551" s="23"/>
      <c r="P551" s="23"/>
      <c r="Q551" s="31"/>
      <c r="R551" s="32"/>
      <c r="S551" s="32"/>
      <c r="T551" s="33" t="str">
        <f t="shared" si="16"/>
        <v/>
      </c>
      <c r="U551" s="34"/>
      <c r="V551" s="35"/>
      <c r="W551" s="33" t="str">
        <f t="shared" si="17"/>
        <v/>
      </c>
    </row>
    <row r="552" spans="1:23" x14ac:dyDescent="0.35">
      <c r="A552" s="21" t="str">
        <f>IF(COUNTA(B552:H552,J552:S552,U552:V552)=0,"",IF((IF(B552="","PO Ref, ","")&amp;IF(C552="","Vendor, ","")&amp;IF(D552="","Store, ","")&amp;IF(F552="","Product Type, ","")&amp;IF(G552="","Category, ","")&amp;IF(H552="","HSN Code, ","")&amp;IF(Q552="","Qty, ","")&amp;IF(R552="","Purchase Rate, ","")&amp;IF(S552="","MRP, ",""))&lt;&gt;"","Missing: "&amp;LEFT(IF(B552="","PO Ref, ","")&amp;IF(C552="","Vendor, ","")&amp;IF(D552="","Store, ","")&amp;IF(F552="","Product Type, ","")&amp;IF(G552="","Category, ","")&amp;IF(H552="","HSN Code, ","")&amp;IF(Q552="","Qty, ","")&amp;IF(R552="","Purchase Rate, ","")&amp;IF(S552="","MRP, ",""),LEN(IF(B552="","PO Ref, ","")&amp;IF(C552="","Vendor, ","")&amp;IF(D552="","Store, ","")&amp;IF(F552="","Product Type, ","")&amp;IF(G552="","Category, ","")&amp;IF(H552="","HSN Code, ","")&amp;IF(Q552="","Qty, ","")&amp;IF(R552="","Purchase Rate, ","")&amp;IF(S552="","MRP, ",""))-2),IF(COUNTIF(Vendors!$B$3:$B$202,C552)=0,"Add vendor "&amp;C552&amp;" on the Vendors sheet",IF(ISNA(MATCH(H552,Codes!$A$2:$A$13,0)),"Pick the HSN Code from the list",IF(AND(E552&lt;&gt;"",COUNTIFS($C$3:$C$1002,C552,$E$3:$E$1002,E552,$F$3:$F$1002,"&lt;&gt;"&amp;F552)+COUNTIFS($C$3:$C$1002,C552,$E$3:$E$1002,E552,$G$3:$G$1002,"&lt;&gt;"&amp;G552)&gt;0),"Design "&amp;E552&amp;" has another Product Type or Category on another row",IF(COUNTIFS($F$3:$F$1002,F552,$G$3:$G$1002,G552,$H$3:$H$1002,"&lt;&gt;"&amp;H552)&gt;0,F552&amp;" + "&amp;G552&amp;" has another HSN Code on another row",IF(AND(V552&lt;&gt;"",U552=""),"Received Qty needs the Vendor Invoice No",IF(AND(U552&lt;&gt;"",COUNTIFS(Bills!$B$3:$B$302,U552,Bills!$C$3:$C$302,C552)=0),"Add bill "&amp;U552&amp;" of "&amp;C552&amp;" on the Bills sheet",IF(S552&lt;R552,"MRP is below the Purchase Rate","OK")))))))))</f>
        <v/>
      </c>
      <c r="B552" s="29"/>
      <c r="C552" s="22"/>
      <c r="D552" s="22"/>
      <c r="E552" s="24"/>
      <c r="F552" s="22"/>
      <c r="G552" s="22"/>
      <c r="H552" s="22"/>
      <c r="I552" s="30" t="str">
        <f>IF(H552="","",IFERROR(INDEX(Codes!$B$2:$B$13,MATCH(H552,Codes!$A$2:$A$13,0)),""))</f>
        <v/>
      </c>
      <c r="J552" s="23"/>
      <c r="K552" s="23"/>
      <c r="L552" s="23"/>
      <c r="M552" s="23"/>
      <c r="N552" s="23"/>
      <c r="O552" s="23"/>
      <c r="P552" s="23"/>
      <c r="Q552" s="31"/>
      <c r="R552" s="32"/>
      <c r="S552" s="32"/>
      <c r="T552" s="33" t="str">
        <f t="shared" si="16"/>
        <v/>
      </c>
      <c r="U552" s="34"/>
      <c r="V552" s="35"/>
      <c r="W552" s="33" t="str">
        <f t="shared" si="17"/>
        <v/>
      </c>
    </row>
    <row r="553" spans="1:23" x14ac:dyDescent="0.35">
      <c r="A553" s="21" t="str">
        <f>IF(COUNTA(B553:H553,J553:S553,U553:V553)=0,"",IF((IF(B553="","PO Ref, ","")&amp;IF(C553="","Vendor, ","")&amp;IF(D553="","Store, ","")&amp;IF(F553="","Product Type, ","")&amp;IF(G553="","Category, ","")&amp;IF(H553="","HSN Code, ","")&amp;IF(Q553="","Qty, ","")&amp;IF(R553="","Purchase Rate, ","")&amp;IF(S553="","MRP, ",""))&lt;&gt;"","Missing: "&amp;LEFT(IF(B553="","PO Ref, ","")&amp;IF(C553="","Vendor, ","")&amp;IF(D553="","Store, ","")&amp;IF(F553="","Product Type, ","")&amp;IF(G553="","Category, ","")&amp;IF(H553="","HSN Code, ","")&amp;IF(Q553="","Qty, ","")&amp;IF(R553="","Purchase Rate, ","")&amp;IF(S553="","MRP, ",""),LEN(IF(B553="","PO Ref, ","")&amp;IF(C553="","Vendor, ","")&amp;IF(D553="","Store, ","")&amp;IF(F553="","Product Type, ","")&amp;IF(G553="","Category, ","")&amp;IF(H553="","HSN Code, ","")&amp;IF(Q553="","Qty, ","")&amp;IF(R553="","Purchase Rate, ","")&amp;IF(S553="","MRP, ",""))-2),IF(COUNTIF(Vendors!$B$3:$B$202,C553)=0,"Add vendor "&amp;C553&amp;" on the Vendors sheet",IF(ISNA(MATCH(H553,Codes!$A$2:$A$13,0)),"Pick the HSN Code from the list",IF(AND(E553&lt;&gt;"",COUNTIFS($C$3:$C$1002,C553,$E$3:$E$1002,E553,$F$3:$F$1002,"&lt;&gt;"&amp;F553)+COUNTIFS($C$3:$C$1002,C553,$E$3:$E$1002,E553,$G$3:$G$1002,"&lt;&gt;"&amp;G553)&gt;0),"Design "&amp;E553&amp;" has another Product Type or Category on another row",IF(COUNTIFS($F$3:$F$1002,F553,$G$3:$G$1002,G553,$H$3:$H$1002,"&lt;&gt;"&amp;H553)&gt;0,F553&amp;" + "&amp;G553&amp;" has another HSN Code on another row",IF(AND(V553&lt;&gt;"",U553=""),"Received Qty needs the Vendor Invoice No",IF(AND(U553&lt;&gt;"",COUNTIFS(Bills!$B$3:$B$302,U553,Bills!$C$3:$C$302,C553)=0),"Add bill "&amp;U553&amp;" of "&amp;C553&amp;" on the Bills sheet",IF(S553&lt;R553,"MRP is below the Purchase Rate","OK")))))))))</f>
        <v/>
      </c>
      <c r="B553" s="29"/>
      <c r="C553" s="22"/>
      <c r="D553" s="22"/>
      <c r="E553" s="24"/>
      <c r="F553" s="22"/>
      <c r="G553" s="22"/>
      <c r="H553" s="22"/>
      <c r="I553" s="30" t="str">
        <f>IF(H553="","",IFERROR(INDEX(Codes!$B$2:$B$13,MATCH(H553,Codes!$A$2:$A$13,0)),""))</f>
        <v/>
      </c>
      <c r="J553" s="23"/>
      <c r="K553" s="23"/>
      <c r="L553" s="23"/>
      <c r="M553" s="23"/>
      <c r="N553" s="23"/>
      <c r="O553" s="23"/>
      <c r="P553" s="23"/>
      <c r="Q553" s="31"/>
      <c r="R553" s="32"/>
      <c r="S553" s="32"/>
      <c r="T553" s="33" t="str">
        <f t="shared" si="16"/>
        <v/>
      </c>
      <c r="U553" s="34"/>
      <c r="V553" s="35"/>
      <c r="W553" s="33" t="str">
        <f t="shared" si="17"/>
        <v/>
      </c>
    </row>
    <row r="554" spans="1:23" x14ac:dyDescent="0.35">
      <c r="A554" s="21" t="str">
        <f>IF(COUNTA(B554:H554,J554:S554,U554:V554)=0,"",IF((IF(B554="","PO Ref, ","")&amp;IF(C554="","Vendor, ","")&amp;IF(D554="","Store, ","")&amp;IF(F554="","Product Type, ","")&amp;IF(G554="","Category, ","")&amp;IF(H554="","HSN Code, ","")&amp;IF(Q554="","Qty, ","")&amp;IF(R554="","Purchase Rate, ","")&amp;IF(S554="","MRP, ",""))&lt;&gt;"","Missing: "&amp;LEFT(IF(B554="","PO Ref, ","")&amp;IF(C554="","Vendor, ","")&amp;IF(D554="","Store, ","")&amp;IF(F554="","Product Type, ","")&amp;IF(G554="","Category, ","")&amp;IF(H554="","HSN Code, ","")&amp;IF(Q554="","Qty, ","")&amp;IF(R554="","Purchase Rate, ","")&amp;IF(S554="","MRP, ",""),LEN(IF(B554="","PO Ref, ","")&amp;IF(C554="","Vendor, ","")&amp;IF(D554="","Store, ","")&amp;IF(F554="","Product Type, ","")&amp;IF(G554="","Category, ","")&amp;IF(H554="","HSN Code, ","")&amp;IF(Q554="","Qty, ","")&amp;IF(R554="","Purchase Rate, ","")&amp;IF(S554="","MRP, ",""))-2),IF(COUNTIF(Vendors!$B$3:$B$202,C554)=0,"Add vendor "&amp;C554&amp;" on the Vendors sheet",IF(ISNA(MATCH(H554,Codes!$A$2:$A$13,0)),"Pick the HSN Code from the list",IF(AND(E554&lt;&gt;"",COUNTIFS($C$3:$C$1002,C554,$E$3:$E$1002,E554,$F$3:$F$1002,"&lt;&gt;"&amp;F554)+COUNTIFS($C$3:$C$1002,C554,$E$3:$E$1002,E554,$G$3:$G$1002,"&lt;&gt;"&amp;G554)&gt;0),"Design "&amp;E554&amp;" has another Product Type or Category on another row",IF(COUNTIFS($F$3:$F$1002,F554,$G$3:$G$1002,G554,$H$3:$H$1002,"&lt;&gt;"&amp;H554)&gt;0,F554&amp;" + "&amp;G554&amp;" has another HSN Code on another row",IF(AND(V554&lt;&gt;"",U554=""),"Received Qty needs the Vendor Invoice No",IF(AND(U554&lt;&gt;"",COUNTIFS(Bills!$B$3:$B$302,U554,Bills!$C$3:$C$302,C554)=0),"Add bill "&amp;U554&amp;" of "&amp;C554&amp;" on the Bills sheet",IF(S554&lt;R554,"MRP is below the Purchase Rate","OK")))))))))</f>
        <v/>
      </c>
      <c r="B554" s="29"/>
      <c r="C554" s="22"/>
      <c r="D554" s="22"/>
      <c r="E554" s="24"/>
      <c r="F554" s="22"/>
      <c r="G554" s="22"/>
      <c r="H554" s="22"/>
      <c r="I554" s="30" t="str">
        <f>IF(H554="","",IFERROR(INDEX(Codes!$B$2:$B$13,MATCH(H554,Codes!$A$2:$A$13,0)),""))</f>
        <v/>
      </c>
      <c r="J554" s="23"/>
      <c r="K554" s="23"/>
      <c r="L554" s="23"/>
      <c r="M554" s="23"/>
      <c r="N554" s="23"/>
      <c r="O554" s="23"/>
      <c r="P554" s="23"/>
      <c r="Q554" s="31"/>
      <c r="R554" s="32"/>
      <c r="S554" s="32"/>
      <c r="T554" s="33" t="str">
        <f t="shared" si="16"/>
        <v/>
      </c>
      <c r="U554" s="34"/>
      <c r="V554" s="35"/>
      <c r="W554" s="33" t="str">
        <f t="shared" si="17"/>
        <v/>
      </c>
    </row>
    <row r="555" spans="1:23" x14ac:dyDescent="0.35">
      <c r="A555" s="21" t="str">
        <f>IF(COUNTA(B555:H555,J555:S555,U555:V555)=0,"",IF((IF(B555="","PO Ref, ","")&amp;IF(C555="","Vendor, ","")&amp;IF(D555="","Store, ","")&amp;IF(F555="","Product Type, ","")&amp;IF(G555="","Category, ","")&amp;IF(H555="","HSN Code, ","")&amp;IF(Q555="","Qty, ","")&amp;IF(R555="","Purchase Rate, ","")&amp;IF(S555="","MRP, ",""))&lt;&gt;"","Missing: "&amp;LEFT(IF(B555="","PO Ref, ","")&amp;IF(C555="","Vendor, ","")&amp;IF(D555="","Store, ","")&amp;IF(F555="","Product Type, ","")&amp;IF(G555="","Category, ","")&amp;IF(H555="","HSN Code, ","")&amp;IF(Q555="","Qty, ","")&amp;IF(R555="","Purchase Rate, ","")&amp;IF(S555="","MRP, ",""),LEN(IF(B555="","PO Ref, ","")&amp;IF(C555="","Vendor, ","")&amp;IF(D555="","Store, ","")&amp;IF(F555="","Product Type, ","")&amp;IF(G555="","Category, ","")&amp;IF(H555="","HSN Code, ","")&amp;IF(Q555="","Qty, ","")&amp;IF(R555="","Purchase Rate, ","")&amp;IF(S555="","MRP, ",""))-2),IF(COUNTIF(Vendors!$B$3:$B$202,C555)=0,"Add vendor "&amp;C555&amp;" on the Vendors sheet",IF(ISNA(MATCH(H555,Codes!$A$2:$A$13,0)),"Pick the HSN Code from the list",IF(AND(E555&lt;&gt;"",COUNTIFS($C$3:$C$1002,C555,$E$3:$E$1002,E555,$F$3:$F$1002,"&lt;&gt;"&amp;F555)+COUNTIFS($C$3:$C$1002,C555,$E$3:$E$1002,E555,$G$3:$G$1002,"&lt;&gt;"&amp;G555)&gt;0),"Design "&amp;E555&amp;" has another Product Type or Category on another row",IF(COUNTIFS($F$3:$F$1002,F555,$G$3:$G$1002,G555,$H$3:$H$1002,"&lt;&gt;"&amp;H555)&gt;0,F555&amp;" + "&amp;G555&amp;" has another HSN Code on another row",IF(AND(V555&lt;&gt;"",U555=""),"Received Qty needs the Vendor Invoice No",IF(AND(U555&lt;&gt;"",COUNTIFS(Bills!$B$3:$B$302,U555,Bills!$C$3:$C$302,C555)=0),"Add bill "&amp;U555&amp;" of "&amp;C555&amp;" on the Bills sheet",IF(S555&lt;R555,"MRP is below the Purchase Rate","OK")))))))))</f>
        <v/>
      </c>
      <c r="B555" s="29"/>
      <c r="C555" s="22"/>
      <c r="D555" s="22"/>
      <c r="E555" s="24"/>
      <c r="F555" s="22"/>
      <c r="G555" s="22"/>
      <c r="H555" s="22"/>
      <c r="I555" s="30" t="str">
        <f>IF(H555="","",IFERROR(INDEX(Codes!$B$2:$B$13,MATCH(H555,Codes!$A$2:$A$13,0)),""))</f>
        <v/>
      </c>
      <c r="J555" s="23"/>
      <c r="K555" s="23"/>
      <c r="L555" s="23"/>
      <c r="M555" s="23"/>
      <c r="N555" s="23"/>
      <c r="O555" s="23"/>
      <c r="P555" s="23"/>
      <c r="Q555" s="31"/>
      <c r="R555" s="32"/>
      <c r="S555" s="32"/>
      <c r="T555" s="33" t="str">
        <f t="shared" si="16"/>
        <v/>
      </c>
      <c r="U555" s="34"/>
      <c r="V555" s="35"/>
      <c r="W555" s="33" t="str">
        <f t="shared" si="17"/>
        <v/>
      </c>
    </row>
    <row r="556" spans="1:23" x14ac:dyDescent="0.35">
      <c r="A556" s="21" t="str">
        <f>IF(COUNTA(B556:H556,J556:S556,U556:V556)=0,"",IF((IF(B556="","PO Ref, ","")&amp;IF(C556="","Vendor, ","")&amp;IF(D556="","Store, ","")&amp;IF(F556="","Product Type, ","")&amp;IF(G556="","Category, ","")&amp;IF(H556="","HSN Code, ","")&amp;IF(Q556="","Qty, ","")&amp;IF(R556="","Purchase Rate, ","")&amp;IF(S556="","MRP, ",""))&lt;&gt;"","Missing: "&amp;LEFT(IF(B556="","PO Ref, ","")&amp;IF(C556="","Vendor, ","")&amp;IF(D556="","Store, ","")&amp;IF(F556="","Product Type, ","")&amp;IF(G556="","Category, ","")&amp;IF(H556="","HSN Code, ","")&amp;IF(Q556="","Qty, ","")&amp;IF(R556="","Purchase Rate, ","")&amp;IF(S556="","MRP, ",""),LEN(IF(B556="","PO Ref, ","")&amp;IF(C556="","Vendor, ","")&amp;IF(D556="","Store, ","")&amp;IF(F556="","Product Type, ","")&amp;IF(G556="","Category, ","")&amp;IF(H556="","HSN Code, ","")&amp;IF(Q556="","Qty, ","")&amp;IF(R556="","Purchase Rate, ","")&amp;IF(S556="","MRP, ",""))-2),IF(COUNTIF(Vendors!$B$3:$B$202,C556)=0,"Add vendor "&amp;C556&amp;" on the Vendors sheet",IF(ISNA(MATCH(H556,Codes!$A$2:$A$13,0)),"Pick the HSN Code from the list",IF(AND(E556&lt;&gt;"",COUNTIFS($C$3:$C$1002,C556,$E$3:$E$1002,E556,$F$3:$F$1002,"&lt;&gt;"&amp;F556)+COUNTIFS($C$3:$C$1002,C556,$E$3:$E$1002,E556,$G$3:$G$1002,"&lt;&gt;"&amp;G556)&gt;0),"Design "&amp;E556&amp;" has another Product Type or Category on another row",IF(COUNTIFS($F$3:$F$1002,F556,$G$3:$G$1002,G556,$H$3:$H$1002,"&lt;&gt;"&amp;H556)&gt;0,F556&amp;" + "&amp;G556&amp;" has another HSN Code on another row",IF(AND(V556&lt;&gt;"",U556=""),"Received Qty needs the Vendor Invoice No",IF(AND(U556&lt;&gt;"",COUNTIFS(Bills!$B$3:$B$302,U556,Bills!$C$3:$C$302,C556)=0),"Add bill "&amp;U556&amp;" of "&amp;C556&amp;" on the Bills sheet",IF(S556&lt;R556,"MRP is below the Purchase Rate","OK")))))))))</f>
        <v/>
      </c>
      <c r="B556" s="29"/>
      <c r="C556" s="22"/>
      <c r="D556" s="22"/>
      <c r="E556" s="24"/>
      <c r="F556" s="22"/>
      <c r="G556" s="22"/>
      <c r="H556" s="22"/>
      <c r="I556" s="30" t="str">
        <f>IF(H556="","",IFERROR(INDEX(Codes!$B$2:$B$13,MATCH(H556,Codes!$A$2:$A$13,0)),""))</f>
        <v/>
      </c>
      <c r="J556" s="23"/>
      <c r="K556" s="23"/>
      <c r="L556" s="23"/>
      <c r="M556" s="23"/>
      <c r="N556" s="23"/>
      <c r="O556" s="23"/>
      <c r="P556" s="23"/>
      <c r="Q556" s="31"/>
      <c r="R556" s="32"/>
      <c r="S556" s="32"/>
      <c r="T556" s="33" t="str">
        <f t="shared" si="16"/>
        <v/>
      </c>
      <c r="U556" s="34"/>
      <c r="V556" s="35"/>
      <c r="W556" s="33" t="str">
        <f t="shared" si="17"/>
        <v/>
      </c>
    </row>
    <row r="557" spans="1:23" x14ac:dyDescent="0.35">
      <c r="A557" s="21" t="str">
        <f>IF(COUNTA(B557:H557,J557:S557,U557:V557)=0,"",IF((IF(B557="","PO Ref, ","")&amp;IF(C557="","Vendor, ","")&amp;IF(D557="","Store, ","")&amp;IF(F557="","Product Type, ","")&amp;IF(G557="","Category, ","")&amp;IF(H557="","HSN Code, ","")&amp;IF(Q557="","Qty, ","")&amp;IF(R557="","Purchase Rate, ","")&amp;IF(S557="","MRP, ",""))&lt;&gt;"","Missing: "&amp;LEFT(IF(B557="","PO Ref, ","")&amp;IF(C557="","Vendor, ","")&amp;IF(D557="","Store, ","")&amp;IF(F557="","Product Type, ","")&amp;IF(G557="","Category, ","")&amp;IF(H557="","HSN Code, ","")&amp;IF(Q557="","Qty, ","")&amp;IF(R557="","Purchase Rate, ","")&amp;IF(S557="","MRP, ",""),LEN(IF(B557="","PO Ref, ","")&amp;IF(C557="","Vendor, ","")&amp;IF(D557="","Store, ","")&amp;IF(F557="","Product Type, ","")&amp;IF(G557="","Category, ","")&amp;IF(H557="","HSN Code, ","")&amp;IF(Q557="","Qty, ","")&amp;IF(R557="","Purchase Rate, ","")&amp;IF(S557="","MRP, ",""))-2),IF(COUNTIF(Vendors!$B$3:$B$202,C557)=0,"Add vendor "&amp;C557&amp;" on the Vendors sheet",IF(ISNA(MATCH(H557,Codes!$A$2:$A$13,0)),"Pick the HSN Code from the list",IF(AND(E557&lt;&gt;"",COUNTIFS($C$3:$C$1002,C557,$E$3:$E$1002,E557,$F$3:$F$1002,"&lt;&gt;"&amp;F557)+COUNTIFS($C$3:$C$1002,C557,$E$3:$E$1002,E557,$G$3:$G$1002,"&lt;&gt;"&amp;G557)&gt;0),"Design "&amp;E557&amp;" has another Product Type or Category on another row",IF(COUNTIFS($F$3:$F$1002,F557,$G$3:$G$1002,G557,$H$3:$H$1002,"&lt;&gt;"&amp;H557)&gt;0,F557&amp;" + "&amp;G557&amp;" has another HSN Code on another row",IF(AND(V557&lt;&gt;"",U557=""),"Received Qty needs the Vendor Invoice No",IF(AND(U557&lt;&gt;"",COUNTIFS(Bills!$B$3:$B$302,U557,Bills!$C$3:$C$302,C557)=0),"Add bill "&amp;U557&amp;" of "&amp;C557&amp;" on the Bills sheet",IF(S557&lt;R557,"MRP is below the Purchase Rate","OK")))))))))</f>
        <v/>
      </c>
      <c r="B557" s="29"/>
      <c r="C557" s="22"/>
      <c r="D557" s="22"/>
      <c r="E557" s="24"/>
      <c r="F557" s="22"/>
      <c r="G557" s="22"/>
      <c r="H557" s="22"/>
      <c r="I557" s="30" t="str">
        <f>IF(H557="","",IFERROR(INDEX(Codes!$B$2:$B$13,MATCH(H557,Codes!$A$2:$A$13,0)),""))</f>
        <v/>
      </c>
      <c r="J557" s="23"/>
      <c r="K557" s="23"/>
      <c r="L557" s="23"/>
      <c r="M557" s="23"/>
      <c r="N557" s="23"/>
      <c r="O557" s="23"/>
      <c r="P557" s="23"/>
      <c r="Q557" s="31"/>
      <c r="R557" s="32"/>
      <c r="S557" s="32"/>
      <c r="T557" s="33" t="str">
        <f t="shared" si="16"/>
        <v/>
      </c>
      <c r="U557" s="34"/>
      <c r="V557" s="35"/>
      <c r="W557" s="33" t="str">
        <f t="shared" si="17"/>
        <v/>
      </c>
    </row>
    <row r="558" spans="1:23" x14ac:dyDescent="0.35">
      <c r="A558" s="21" t="str">
        <f>IF(COUNTA(B558:H558,J558:S558,U558:V558)=0,"",IF((IF(B558="","PO Ref, ","")&amp;IF(C558="","Vendor, ","")&amp;IF(D558="","Store, ","")&amp;IF(F558="","Product Type, ","")&amp;IF(G558="","Category, ","")&amp;IF(H558="","HSN Code, ","")&amp;IF(Q558="","Qty, ","")&amp;IF(R558="","Purchase Rate, ","")&amp;IF(S558="","MRP, ",""))&lt;&gt;"","Missing: "&amp;LEFT(IF(B558="","PO Ref, ","")&amp;IF(C558="","Vendor, ","")&amp;IF(D558="","Store, ","")&amp;IF(F558="","Product Type, ","")&amp;IF(G558="","Category, ","")&amp;IF(H558="","HSN Code, ","")&amp;IF(Q558="","Qty, ","")&amp;IF(R558="","Purchase Rate, ","")&amp;IF(S558="","MRP, ",""),LEN(IF(B558="","PO Ref, ","")&amp;IF(C558="","Vendor, ","")&amp;IF(D558="","Store, ","")&amp;IF(F558="","Product Type, ","")&amp;IF(G558="","Category, ","")&amp;IF(H558="","HSN Code, ","")&amp;IF(Q558="","Qty, ","")&amp;IF(R558="","Purchase Rate, ","")&amp;IF(S558="","MRP, ",""))-2),IF(COUNTIF(Vendors!$B$3:$B$202,C558)=0,"Add vendor "&amp;C558&amp;" on the Vendors sheet",IF(ISNA(MATCH(H558,Codes!$A$2:$A$13,0)),"Pick the HSN Code from the list",IF(AND(E558&lt;&gt;"",COUNTIFS($C$3:$C$1002,C558,$E$3:$E$1002,E558,$F$3:$F$1002,"&lt;&gt;"&amp;F558)+COUNTIFS($C$3:$C$1002,C558,$E$3:$E$1002,E558,$G$3:$G$1002,"&lt;&gt;"&amp;G558)&gt;0),"Design "&amp;E558&amp;" has another Product Type or Category on another row",IF(COUNTIFS($F$3:$F$1002,F558,$G$3:$G$1002,G558,$H$3:$H$1002,"&lt;&gt;"&amp;H558)&gt;0,F558&amp;" + "&amp;G558&amp;" has another HSN Code on another row",IF(AND(V558&lt;&gt;"",U558=""),"Received Qty needs the Vendor Invoice No",IF(AND(U558&lt;&gt;"",COUNTIFS(Bills!$B$3:$B$302,U558,Bills!$C$3:$C$302,C558)=0),"Add bill "&amp;U558&amp;" of "&amp;C558&amp;" on the Bills sheet",IF(S558&lt;R558,"MRP is below the Purchase Rate","OK")))))))))</f>
        <v/>
      </c>
      <c r="B558" s="29"/>
      <c r="C558" s="22"/>
      <c r="D558" s="22"/>
      <c r="E558" s="24"/>
      <c r="F558" s="22"/>
      <c r="G558" s="22"/>
      <c r="H558" s="22"/>
      <c r="I558" s="30" t="str">
        <f>IF(H558="","",IFERROR(INDEX(Codes!$B$2:$B$13,MATCH(H558,Codes!$A$2:$A$13,0)),""))</f>
        <v/>
      </c>
      <c r="J558" s="23"/>
      <c r="K558" s="23"/>
      <c r="L558" s="23"/>
      <c r="M558" s="23"/>
      <c r="N558" s="23"/>
      <c r="O558" s="23"/>
      <c r="P558" s="23"/>
      <c r="Q558" s="31"/>
      <c r="R558" s="32"/>
      <c r="S558" s="32"/>
      <c r="T558" s="33" t="str">
        <f t="shared" si="16"/>
        <v/>
      </c>
      <c r="U558" s="34"/>
      <c r="V558" s="35"/>
      <c r="W558" s="33" t="str">
        <f t="shared" si="17"/>
        <v/>
      </c>
    </row>
    <row r="559" spans="1:23" x14ac:dyDescent="0.35">
      <c r="A559" s="21" t="str">
        <f>IF(COUNTA(B559:H559,J559:S559,U559:V559)=0,"",IF((IF(B559="","PO Ref, ","")&amp;IF(C559="","Vendor, ","")&amp;IF(D559="","Store, ","")&amp;IF(F559="","Product Type, ","")&amp;IF(G559="","Category, ","")&amp;IF(H559="","HSN Code, ","")&amp;IF(Q559="","Qty, ","")&amp;IF(R559="","Purchase Rate, ","")&amp;IF(S559="","MRP, ",""))&lt;&gt;"","Missing: "&amp;LEFT(IF(B559="","PO Ref, ","")&amp;IF(C559="","Vendor, ","")&amp;IF(D559="","Store, ","")&amp;IF(F559="","Product Type, ","")&amp;IF(G559="","Category, ","")&amp;IF(H559="","HSN Code, ","")&amp;IF(Q559="","Qty, ","")&amp;IF(R559="","Purchase Rate, ","")&amp;IF(S559="","MRP, ",""),LEN(IF(B559="","PO Ref, ","")&amp;IF(C559="","Vendor, ","")&amp;IF(D559="","Store, ","")&amp;IF(F559="","Product Type, ","")&amp;IF(G559="","Category, ","")&amp;IF(H559="","HSN Code, ","")&amp;IF(Q559="","Qty, ","")&amp;IF(R559="","Purchase Rate, ","")&amp;IF(S559="","MRP, ",""))-2),IF(COUNTIF(Vendors!$B$3:$B$202,C559)=0,"Add vendor "&amp;C559&amp;" on the Vendors sheet",IF(ISNA(MATCH(H559,Codes!$A$2:$A$13,0)),"Pick the HSN Code from the list",IF(AND(E559&lt;&gt;"",COUNTIFS($C$3:$C$1002,C559,$E$3:$E$1002,E559,$F$3:$F$1002,"&lt;&gt;"&amp;F559)+COUNTIFS($C$3:$C$1002,C559,$E$3:$E$1002,E559,$G$3:$G$1002,"&lt;&gt;"&amp;G559)&gt;0),"Design "&amp;E559&amp;" has another Product Type or Category on another row",IF(COUNTIFS($F$3:$F$1002,F559,$G$3:$G$1002,G559,$H$3:$H$1002,"&lt;&gt;"&amp;H559)&gt;0,F559&amp;" + "&amp;G559&amp;" has another HSN Code on another row",IF(AND(V559&lt;&gt;"",U559=""),"Received Qty needs the Vendor Invoice No",IF(AND(U559&lt;&gt;"",COUNTIFS(Bills!$B$3:$B$302,U559,Bills!$C$3:$C$302,C559)=0),"Add bill "&amp;U559&amp;" of "&amp;C559&amp;" on the Bills sheet",IF(S559&lt;R559,"MRP is below the Purchase Rate","OK")))))))))</f>
        <v/>
      </c>
      <c r="B559" s="29"/>
      <c r="C559" s="22"/>
      <c r="D559" s="22"/>
      <c r="E559" s="24"/>
      <c r="F559" s="22"/>
      <c r="G559" s="22"/>
      <c r="H559" s="22"/>
      <c r="I559" s="30" t="str">
        <f>IF(H559="","",IFERROR(INDEX(Codes!$B$2:$B$13,MATCH(H559,Codes!$A$2:$A$13,0)),""))</f>
        <v/>
      </c>
      <c r="J559" s="23"/>
      <c r="K559" s="23"/>
      <c r="L559" s="23"/>
      <c r="M559" s="23"/>
      <c r="N559" s="23"/>
      <c r="O559" s="23"/>
      <c r="P559" s="23"/>
      <c r="Q559" s="31"/>
      <c r="R559" s="32"/>
      <c r="S559" s="32"/>
      <c r="T559" s="33" t="str">
        <f t="shared" si="16"/>
        <v/>
      </c>
      <c r="U559" s="34"/>
      <c r="V559" s="35"/>
      <c r="W559" s="33" t="str">
        <f t="shared" si="17"/>
        <v/>
      </c>
    </row>
    <row r="560" spans="1:23" x14ac:dyDescent="0.35">
      <c r="A560" s="21" t="str">
        <f>IF(COUNTA(B560:H560,J560:S560,U560:V560)=0,"",IF((IF(B560="","PO Ref, ","")&amp;IF(C560="","Vendor, ","")&amp;IF(D560="","Store, ","")&amp;IF(F560="","Product Type, ","")&amp;IF(G560="","Category, ","")&amp;IF(H560="","HSN Code, ","")&amp;IF(Q560="","Qty, ","")&amp;IF(R560="","Purchase Rate, ","")&amp;IF(S560="","MRP, ",""))&lt;&gt;"","Missing: "&amp;LEFT(IF(B560="","PO Ref, ","")&amp;IF(C560="","Vendor, ","")&amp;IF(D560="","Store, ","")&amp;IF(F560="","Product Type, ","")&amp;IF(G560="","Category, ","")&amp;IF(H560="","HSN Code, ","")&amp;IF(Q560="","Qty, ","")&amp;IF(R560="","Purchase Rate, ","")&amp;IF(S560="","MRP, ",""),LEN(IF(B560="","PO Ref, ","")&amp;IF(C560="","Vendor, ","")&amp;IF(D560="","Store, ","")&amp;IF(F560="","Product Type, ","")&amp;IF(G560="","Category, ","")&amp;IF(H560="","HSN Code, ","")&amp;IF(Q560="","Qty, ","")&amp;IF(R560="","Purchase Rate, ","")&amp;IF(S560="","MRP, ",""))-2),IF(COUNTIF(Vendors!$B$3:$B$202,C560)=0,"Add vendor "&amp;C560&amp;" on the Vendors sheet",IF(ISNA(MATCH(H560,Codes!$A$2:$A$13,0)),"Pick the HSN Code from the list",IF(AND(E560&lt;&gt;"",COUNTIFS($C$3:$C$1002,C560,$E$3:$E$1002,E560,$F$3:$F$1002,"&lt;&gt;"&amp;F560)+COUNTIFS($C$3:$C$1002,C560,$E$3:$E$1002,E560,$G$3:$G$1002,"&lt;&gt;"&amp;G560)&gt;0),"Design "&amp;E560&amp;" has another Product Type or Category on another row",IF(COUNTIFS($F$3:$F$1002,F560,$G$3:$G$1002,G560,$H$3:$H$1002,"&lt;&gt;"&amp;H560)&gt;0,F560&amp;" + "&amp;G560&amp;" has another HSN Code on another row",IF(AND(V560&lt;&gt;"",U560=""),"Received Qty needs the Vendor Invoice No",IF(AND(U560&lt;&gt;"",COUNTIFS(Bills!$B$3:$B$302,U560,Bills!$C$3:$C$302,C560)=0),"Add bill "&amp;U560&amp;" of "&amp;C560&amp;" on the Bills sheet",IF(S560&lt;R560,"MRP is below the Purchase Rate","OK")))))))))</f>
        <v/>
      </c>
      <c r="B560" s="29"/>
      <c r="C560" s="22"/>
      <c r="D560" s="22"/>
      <c r="E560" s="24"/>
      <c r="F560" s="22"/>
      <c r="G560" s="22"/>
      <c r="H560" s="22"/>
      <c r="I560" s="30" t="str">
        <f>IF(H560="","",IFERROR(INDEX(Codes!$B$2:$B$13,MATCH(H560,Codes!$A$2:$A$13,0)),""))</f>
        <v/>
      </c>
      <c r="J560" s="23"/>
      <c r="K560" s="23"/>
      <c r="L560" s="23"/>
      <c r="M560" s="23"/>
      <c r="N560" s="23"/>
      <c r="O560" s="23"/>
      <c r="P560" s="23"/>
      <c r="Q560" s="31"/>
      <c r="R560" s="32"/>
      <c r="S560" s="32"/>
      <c r="T560" s="33" t="str">
        <f t="shared" si="16"/>
        <v/>
      </c>
      <c r="U560" s="34"/>
      <c r="V560" s="35"/>
      <c r="W560" s="33" t="str">
        <f t="shared" si="17"/>
        <v/>
      </c>
    </row>
    <row r="561" spans="1:23" x14ac:dyDescent="0.35">
      <c r="A561" s="21" t="str">
        <f>IF(COUNTA(B561:H561,J561:S561,U561:V561)=0,"",IF((IF(B561="","PO Ref, ","")&amp;IF(C561="","Vendor, ","")&amp;IF(D561="","Store, ","")&amp;IF(F561="","Product Type, ","")&amp;IF(G561="","Category, ","")&amp;IF(H561="","HSN Code, ","")&amp;IF(Q561="","Qty, ","")&amp;IF(R561="","Purchase Rate, ","")&amp;IF(S561="","MRP, ",""))&lt;&gt;"","Missing: "&amp;LEFT(IF(B561="","PO Ref, ","")&amp;IF(C561="","Vendor, ","")&amp;IF(D561="","Store, ","")&amp;IF(F561="","Product Type, ","")&amp;IF(G561="","Category, ","")&amp;IF(H561="","HSN Code, ","")&amp;IF(Q561="","Qty, ","")&amp;IF(R561="","Purchase Rate, ","")&amp;IF(S561="","MRP, ",""),LEN(IF(B561="","PO Ref, ","")&amp;IF(C561="","Vendor, ","")&amp;IF(D561="","Store, ","")&amp;IF(F561="","Product Type, ","")&amp;IF(G561="","Category, ","")&amp;IF(H561="","HSN Code, ","")&amp;IF(Q561="","Qty, ","")&amp;IF(R561="","Purchase Rate, ","")&amp;IF(S561="","MRP, ",""))-2),IF(COUNTIF(Vendors!$B$3:$B$202,C561)=0,"Add vendor "&amp;C561&amp;" on the Vendors sheet",IF(ISNA(MATCH(H561,Codes!$A$2:$A$13,0)),"Pick the HSN Code from the list",IF(AND(E561&lt;&gt;"",COUNTIFS($C$3:$C$1002,C561,$E$3:$E$1002,E561,$F$3:$F$1002,"&lt;&gt;"&amp;F561)+COUNTIFS($C$3:$C$1002,C561,$E$3:$E$1002,E561,$G$3:$G$1002,"&lt;&gt;"&amp;G561)&gt;0),"Design "&amp;E561&amp;" has another Product Type or Category on another row",IF(COUNTIFS($F$3:$F$1002,F561,$G$3:$G$1002,G561,$H$3:$H$1002,"&lt;&gt;"&amp;H561)&gt;0,F561&amp;" + "&amp;G561&amp;" has another HSN Code on another row",IF(AND(V561&lt;&gt;"",U561=""),"Received Qty needs the Vendor Invoice No",IF(AND(U561&lt;&gt;"",COUNTIFS(Bills!$B$3:$B$302,U561,Bills!$C$3:$C$302,C561)=0),"Add bill "&amp;U561&amp;" of "&amp;C561&amp;" on the Bills sheet",IF(S561&lt;R561,"MRP is below the Purchase Rate","OK")))))))))</f>
        <v/>
      </c>
      <c r="B561" s="29"/>
      <c r="C561" s="22"/>
      <c r="D561" s="22"/>
      <c r="E561" s="24"/>
      <c r="F561" s="22"/>
      <c r="G561" s="22"/>
      <c r="H561" s="22"/>
      <c r="I561" s="30" t="str">
        <f>IF(H561="","",IFERROR(INDEX(Codes!$B$2:$B$13,MATCH(H561,Codes!$A$2:$A$13,0)),""))</f>
        <v/>
      </c>
      <c r="J561" s="23"/>
      <c r="K561" s="23"/>
      <c r="L561" s="23"/>
      <c r="M561" s="23"/>
      <c r="N561" s="23"/>
      <c r="O561" s="23"/>
      <c r="P561" s="23"/>
      <c r="Q561" s="31"/>
      <c r="R561" s="32"/>
      <c r="S561" s="32"/>
      <c r="T561" s="33" t="str">
        <f t="shared" si="16"/>
        <v/>
      </c>
      <c r="U561" s="34"/>
      <c r="V561" s="35"/>
      <c r="W561" s="33" t="str">
        <f t="shared" si="17"/>
        <v/>
      </c>
    </row>
    <row r="562" spans="1:23" x14ac:dyDescent="0.35">
      <c r="A562" s="21" t="str">
        <f>IF(COUNTA(B562:H562,J562:S562,U562:V562)=0,"",IF((IF(B562="","PO Ref, ","")&amp;IF(C562="","Vendor, ","")&amp;IF(D562="","Store, ","")&amp;IF(F562="","Product Type, ","")&amp;IF(G562="","Category, ","")&amp;IF(H562="","HSN Code, ","")&amp;IF(Q562="","Qty, ","")&amp;IF(R562="","Purchase Rate, ","")&amp;IF(S562="","MRP, ",""))&lt;&gt;"","Missing: "&amp;LEFT(IF(B562="","PO Ref, ","")&amp;IF(C562="","Vendor, ","")&amp;IF(D562="","Store, ","")&amp;IF(F562="","Product Type, ","")&amp;IF(G562="","Category, ","")&amp;IF(H562="","HSN Code, ","")&amp;IF(Q562="","Qty, ","")&amp;IF(R562="","Purchase Rate, ","")&amp;IF(S562="","MRP, ",""),LEN(IF(B562="","PO Ref, ","")&amp;IF(C562="","Vendor, ","")&amp;IF(D562="","Store, ","")&amp;IF(F562="","Product Type, ","")&amp;IF(G562="","Category, ","")&amp;IF(H562="","HSN Code, ","")&amp;IF(Q562="","Qty, ","")&amp;IF(R562="","Purchase Rate, ","")&amp;IF(S562="","MRP, ",""))-2),IF(COUNTIF(Vendors!$B$3:$B$202,C562)=0,"Add vendor "&amp;C562&amp;" on the Vendors sheet",IF(ISNA(MATCH(H562,Codes!$A$2:$A$13,0)),"Pick the HSN Code from the list",IF(AND(E562&lt;&gt;"",COUNTIFS($C$3:$C$1002,C562,$E$3:$E$1002,E562,$F$3:$F$1002,"&lt;&gt;"&amp;F562)+COUNTIFS($C$3:$C$1002,C562,$E$3:$E$1002,E562,$G$3:$G$1002,"&lt;&gt;"&amp;G562)&gt;0),"Design "&amp;E562&amp;" has another Product Type or Category on another row",IF(COUNTIFS($F$3:$F$1002,F562,$G$3:$G$1002,G562,$H$3:$H$1002,"&lt;&gt;"&amp;H562)&gt;0,F562&amp;" + "&amp;G562&amp;" has another HSN Code on another row",IF(AND(V562&lt;&gt;"",U562=""),"Received Qty needs the Vendor Invoice No",IF(AND(U562&lt;&gt;"",COUNTIFS(Bills!$B$3:$B$302,U562,Bills!$C$3:$C$302,C562)=0),"Add bill "&amp;U562&amp;" of "&amp;C562&amp;" on the Bills sheet",IF(S562&lt;R562,"MRP is below the Purchase Rate","OK")))))))))</f>
        <v/>
      </c>
      <c r="B562" s="29"/>
      <c r="C562" s="22"/>
      <c r="D562" s="22"/>
      <c r="E562" s="24"/>
      <c r="F562" s="22"/>
      <c r="G562" s="22"/>
      <c r="H562" s="22"/>
      <c r="I562" s="30" t="str">
        <f>IF(H562="","",IFERROR(INDEX(Codes!$B$2:$B$13,MATCH(H562,Codes!$A$2:$A$13,0)),""))</f>
        <v/>
      </c>
      <c r="J562" s="23"/>
      <c r="K562" s="23"/>
      <c r="L562" s="23"/>
      <c r="M562" s="23"/>
      <c r="N562" s="23"/>
      <c r="O562" s="23"/>
      <c r="P562" s="23"/>
      <c r="Q562" s="31"/>
      <c r="R562" s="32"/>
      <c r="S562" s="32"/>
      <c r="T562" s="33" t="str">
        <f t="shared" si="16"/>
        <v/>
      </c>
      <c r="U562" s="34"/>
      <c r="V562" s="35"/>
      <c r="W562" s="33" t="str">
        <f t="shared" si="17"/>
        <v/>
      </c>
    </row>
    <row r="563" spans="1:23" x14ac:dyDescent="0.35">
      <c r="A563" s="21" t="str">
        <f>IF(COUNTA(B563:H563,J563:S563,U563:V563)=0,"",IF((IF(B563="","PO Ref, ","")&amp;IF(C563="","Vendor, ","")&amp;IF(D563="","Store, ","")&amp;IF(F563="","Product Type, ","")&amp;IF(G563="","Category, ","")&amp;IF(H563="","HSN Code, ","")&amp;IF(Q563="","Qty, ","")&amp;IF(R563="","Purchase Rate, ","")&amp;IF(S563="","MRP, ",""))&lt;&gt;"","Missing: "&amp;LEFT(IF(B563="","PO Ref, ","")&amp;IF(C563="","Vendor, ","")&amp;IF(D563="","Store, ","")&amp;IF(F563="","Product Type, ","")&amp;IF(G563="","Category, ","")&amp;IF(H563="","HSN Code, ","")&amp;IF(Q563="","Qty, ","")&amp;IF(R563="","Purchase Rate, ","")&amp;IF(S563="","MRP, ",""),LEN(IF(B563="","PO Ref, ","")&amp;IF(C563="","Vendor, ","")&amp;IF(D563="","Store, ","")&amp;IF(F563="","Product Type, ","")&amp;IF(G563="","Category, ","")&amp;IF(H563="","HSN Code, ","")&amp;IF(Q563="","Qty, ","")&amp;IF(R563="","Purchase Rate, ","")&amp;IF(S563="","MRP, ",""))-2),IF(COUNTIF(Vendors!$B$3:$B$202,C563)=0,"Add vendor "&amp;C563&amp;" on the Vendors sheet",IF(ISNA(MATCH(H563,Codes!$A$2:$A$13,0)),"Pick the HSN Code from the list",IF(AND(E563&lt;&gt;"",COUNTIFS($C$3:$C$1002,C563,$E$3:$E$1002,E563,$F$3:$F$1002,"&lt;&gt;"&amp;F563)+COUNTIFS($C$3:$C$1002,C563,$E$3:$E$1002,E563,$G$3:$G$1002,"&lt;&gt;"&amp;G563)&gt;0),"Design "&amp;E563&amp;" has another Product Type or Category on another row",IF(COUNTIFS($F$3:$F$1002,F563,$G$3:$G$1002,G563,$H$3:$H$1002,"&lt;&gt;"&amp;H563)&gt;0,F563&amp;" + "&amp;G563&amp;" has another HSN Code on another row",IF(AND(V563&lt;&gt;"",U563=""),"Received Qty needs the Vendor Invoice No",IF(AND(U563&lt;&gt;"",COUNTIFS(Bills!$B$3:$B$302,U563,Bills!$C$3:$C$302,C563)=0),"Add bill "&amp;U563&amp;" of "&amp;C563&amp;" on the Bills sheet",IF(S563&lt;R563,"MRP is below the Purchase Rate","OK")))))))))</f>
        <v/>
      </c>
      <c r="B563" s="29"/>
      <c r="C563" s="22"/>
      <c r="D563" s="22"/>
      <c r="E563" s="24"/>
      <c r="F563" s="22"/>
      <c r="G563" s="22"/>
      <c r="H563" s="22"/>
      <c r="I563" s="30" t="str">
        <f>IF(H563="","",IFERROR(INDEX(Codes!$B$2:$B$13,MATCH(H563,Codes!$A$2:$A$13,0)),""))</f>
        <v/>
      </c>
      <c r="J563" s="23"/>
      <c r="K563" s="23"/>
      <c r="L563" s="23"/>
      <c r="M563" s="23"/>
      <c r="N563" s="23"/>
      <c r="O563" s="23"/>
      <c r="P563" s="23"/>
      <c r="Q563" s="31"/>
      <c r="R563" s="32"/>
      <c r="S563" s="32"/>
      <c r="T563" s="33" t="str">
        <f t="shared" si="16"/>
        <v/>
      </c>
      <c r="U563" s="34"/>
      <c r="V563" s="35"/>
      <c r="W563" s="33" t="str">
        <f t="shared" si="17"/>
        <v/>
      </c>
    </row>
    <row r="564" spans="1:23" x14ac:dyDescent="0.35">
      <c r="A564" s="21" t="str">
        <f>IF(COUNTA(B564:H564,J564:S564,U564:V564)=0,"",IF((IF(B564="","PO Ref, ","")&amp;IF(C564="","Vendor, ","")&amp;IF(D564="","Store, ","")&amp;IF(F564="","Product Type, ","")&amp;IF(G564="","Category, ","")&amp;IF(H564="","HSN Code, ","")&amp;IF(Q564="","Qty, ","")&amp;IF(R564="","Purchase Rate, ","")&amp;IF(S564="","MRP, ",""))&lt;&gt;"","Missing: "&amp;LEFT(IF(B564="","PO Ref, ","")&amp;IF(C564="","Vendor, ","")&amp;IF(D564="","Store, ","")&amp;IF(F564="","Product Type, ","")&amp;IF(G564="","Category, ","")&amp;IF(H564="","HSN Code, ","")&amp;IF(Q564="","Qty, ","")&amp;IF(R564="","Purchase Rate, ","")&amp;IF(S564="","MRP, ",""),LEN(IF(B564="","PO Ref, ","")&amp;IF(C564="","Vendor, ","")&amp;IF(D564="","Store, ","")&amp;IF(F564="","Product Type, ","")&amp;IF(G564="","Category, ","")&amp;IF(H564="","HSN Code, ","")&amp;IF(Q564="","Qty, ","")&amp;IF(R564="","Purchase Rate, ","")&amp;IF(S564="","MRP, ",""))-2),IF(COUNTIF(Vendors!$B$3:$B$202,C564)=0,"Add vendor "&amp;C564&amp;" on the Vendors sheet",IF(ISNA(MATCH(H564,Codes!$A$2:$A$13,0)),"Pick the HSN Code from the list",IF(AND(E564&lt;&gt;"",COUNTIFS($C$3:$C$1002,C564,$E$3:$E$1002,E564,$F$3:$F$1002,"&lt;&gt;"&amp;F564)+COUNTIFS($C$3:$C$1002,C564,$E$3:$E$1002,E564,$G$3:$G$1002,"&lt;&gt;"&amp;G564)&gt;0),"Design "&amp;E564&amp;" has another Product Type or Category on another row",IF(COUNTIFS($F$3:$F$1002,F564,$G$3:$G$1002,G564,$H$3:$H$1002,"&lt;&gt;"&amp;H564)&gt;0,F564&amp;" + "&amp;G564&amp;" has another HSN Code on another row",IF(AND(V564&lt;&gt;"",U564=""),"Received Qty needs the Vendor Invoice No",IF(AND(U564&lt;&gt;"",COUNTIFS(Bills!$B$3:$B$302,U564,Bills!$C$3:$C$302,C564)=0),"Add bill "&amp;U564&amp;" of "&amp;C564&amp;" on the Bills sheet",IF(S564&lt;R564,"MRP is below the Purchase Rate","OK")))))))))</f>
        <v/>
      </c>
      <c r="B564" s="29"/>
      <c r="C564" s="22"/>
      <c r="D564" s="22"/>
      <c r="E564" s="24"/>
      <c r="F564" s="22"/>
      <c r="G564" s="22"/>
      <c r="H564" s="22"/>
      <c r="I564" s="30" t="str">
        <f>IF(H564="","",IFERROR(INDEX(Codes!$B$2:$B$13,MATCH(H564,Codes!$A$2:$A$13,0)),""))</f>
        <v/>
      </c>
      <c r="J564" s="23"/>
      <c r="K564" s="23"/>
      <c r="L564" s="23"/>
      <c r="M564" s="23"/>
      <c r="N564" s="23"/>
      <c r="O564" s="23"/>
      <c r="P564" s="23"/>
      <c r="Q564" s="31"/>
      <c r="R564" s="32"/>
      <c r="S564" s="32"/>
      <c r="T564" s="33" t="str">
        <f t="shared" si="16"/>
        <v/>
      </c>
      <c r="U564" s="34"/>
      <c r="V564" s="35"/>
      <c r="W564" s="33" t="str">
        <f t="shared" si="17"/>
        <v/>
      </c>
    </row>
    <row r="565" spans="1:23" x14ac:dyDescent="0.35">
      <c r="A565" s="21" t="str">
        <f>IF(COUNTA(B565:H565,J565:S565,U565:V565)=0,"",IF((IF(B565="","PO Ref, ","")&amp;IF(C565="","Vendor, ","")&amp;IF(D565="","Store, ","")&amp;IF(F565="","Product Type, ","")&amp;IF(G565="","Category, ","")&amp;IF(H565="","HSN Code, ","")&amp;IF(Q565="","Qty, ","")&amp;IF(R565="","Purchase Rate, ","")&amp;IF(S565="","MRP, ",""))&lt;&gt;"","Missing: "&amp;LEFT(IF(B565="","PO Ref, ","")&amp;IF(C565="","Vendor, ","")&amp;IF(D565="","Store, ","")&amp;IF(F565="","Product Type, ","")&amp;IF(G565="","Category, ","")&amp;IF(H565="","HSN Code, ","")&amp;IF(Q565="","Qty, ","")&amp;IF(R565="","Purchase Rate, ","")&amp;IF(S565="","MRP, ",""),LEN(IF(B565="","PO Ref, ","")&amp;IF(C565="","Vendor, ","")&amp;IF(D565="","Store, ","")&amp;IF(F565="","Product Type, ","")&amp;IF(G565="","Category, ","")&amp;IF(H565="","HSN Code, ","")&amp;IF(Q565="","Qty, ","")&amp;IF(R565="","Purchase Rate, ","")&amp;IF(S565="","MRP, ",""))-2),IF(COUNTIF(Vendors!$B$3:$B$202,C565)=0,"Add vendor "&amp;C565&amp;" on the Vendors sheet",IF(ISNA(MATCH(H565,Codes!$A$2:$A$13,0)),"Pick the HSN Code from the list",IF(AND(E565&lt;&gt;"",COUNTIFS($C$3:$C$1002,C565,$E$3:$E$1002,E565,$F$3:$F$1002,"&lt;&gt;"&amp;F565)+COUNTIFS($C$3:$C$1002,C565,$E$3:$E$1002,E565,$G$3:$G$1002,"&lt;&gt;"&amp;G565)&gt;0),"Design "&amp;E565&amp;" has another Product Type or Category on another row",IF(COUNTIFS($F$3:$F$1002,F565,$G$3:$G$1002,G565,$H$3:$H$1002,"&lt;&gt;"&amp;H565)&gt;0,F565&amp;" + "&amp;G565&amp;" has another HSN Code on another row",IF(AND(V565&lt;&gt;"",U565=""),"Received Qty needs the Vendor Invoice No",IF(AND(U565&lt;&gt;"",COUNTIFS(Bills!$B$3:$B$302,U565,Bills!$C$3:$C$302,C565)=0),"Add bill "&amp;U565&amp;" of "&amp;C565&amp;" on the Bills sheet",IF(S565&lt;R565,"MRP is below the Purchase Rate","OK")))))))))</f>
        <v/>
      </c>
      <c r="B565" s="29"/>
      <c r="C565" s="22"/>
      <c r="D565" s="22"/>
      <c r="E565" s="24"/>
      <c r="F565" s="22"/>
      <c r="G565" s="22"/>
      <c r="H565" s="22"/>
      <c r="I565" s="30" t="str">
        <f>IF(H565="","",IFERROR(INDEX(Codes!$B$2:$B$13,MATCH(H565,Codes!$A$2:$A$13,0)),""))</f>
        <v/>
      </c>
      <c r="J565" s="23"/>
      <c r="K565" s="23"/>
      <c r="L565" s="23"/>
      <c r="M565" s="23"/>
      <c r="N565" s="23"/>
      <c r="O565" s="23"/>
      <c r="P565" s="23"/>
      <c r="Q565" s="31"/>
      <c r="R565" s="32"/>
      <c r="S565" s="32"/>
      <c r="T565" s="33" t="str">
        <f t="shared" si="16"/>
        <v/>
      </c>
      <c r="U565" s="34"/>
      <c r="V565" s="35"/>
      <c r="W565" s="33" t="str">
        <f t="shared" si="17"/>
        <v/>
      </c>
    </row>
    <row r="566" spans="1:23" x14ac:dyDescent="0.35">
      <c r="A566" s="21" t="str">
        <f>IF(COUNTA(B566:H566,J566:S566,U566:V566)=0,"",IF((IF(B566="","PO Ref, ","")&amp;IF(C566="","Vendor, ","")&amp;IF(D566="","Store, ","")&amp;IF(F566="","Product Type, ","")&amp;IF(G566="","Category, ","")&amp;IF(H566="","HSN Code, ","")&amp;IF(Q566="","Qty, ","")&amp;IF(R566="","Purchase Rate, ","")&amp;IF(S566="","MRP, ",""))&lt;&gt;"","Missing: "&amp;LEFT(IF(B566="","PO Ref, ","")&amp;IF(C566="","Vendor, ","")&amp;IF(D566="","Store, ","")&amp;IF(F566="","Product Type, ","")&amp;IF(G566="","Category, ","")&amp;IF(H566="","HSN Code, ","")&amp;IF(Q566="","Qty, ","")&amp;IF(R566="","Purchase Rate, ","")&amp;IF(S566="","MRP, ",""),LEN(IF(B566="","PO Ref, ","")&amp;IF(C566="","Vendor, ","")&amp;IF(D566="","Store, ","")&amp;IF(F566="","Product Type, ","")&amp;IF(G566="","Category, ","")&amp;IF(H566="","HSN Code, ","")&amp;IF(Q566="","Qty, ","")&amp;IF(R566="","Purchase Rate, ","")&amp;IF(S566="","MRP, ",""))-2),IF(COUNTIF(Vendors!$B$3:$B$202,C566)=0,"Add vendor "&amp;C566&amp;" on the Vendors sheet",IF(ISNA(MATCH(H566,Codes!$A$2:$A$13,0)),"Pick the HSN Code from the list",IF(AND(E566&lt;&gt;"",COUNTIFS($C$3:$C$1002,C566,$E$3:$E$1002,E566,$F$3:$F$1002,"&lt;&gt;"&amp;F566)+COUNTIFS($C$3:$C$1002,C566,$E$3:$E$1002,E566,$G$3:$G$1002,"&lt;&gt;"&amp;G566)&gt;0),"Design "&amp;E566&amp;" has another Product Type or Category on another row",IF(COUNTIFS($F$3:$F$1002,F566,$G$3:$G$1002,G566,$H$3:$H$1002,"&lt;&gt;"&amp;H566)&gt;0,F566&amp;" + "&amp;G566&amp;" has another HSN Code on another row",IF(AND(V566&lt;&gt;"",U566=""),"Received Qty needs the Vendor Invoice No",IF(AND(U566&lt;&gt;"",COUNTIFS(Bills!$B$3:$B$302,U566,Bills!$C$3:$C$302,C566)=0),"Add bill "&amp;U566&amp;" of "&amp;C566&amp;" on the Bills sheet",IF(S566&lt;R566,"MRP is below the Purchase Rate","OK")))))))))</f>
        <v/>
      </c>
      <c r="B566" s="29"/>
      <c r="C566" s="22"/>
      <c r="D566" s="22"/>
      <c r="E566" s="24"/>
      <c r="F566" s="22"/>
      <c r="G566" s="22"/>
      <c r="H566" s="22"/>
      <c r="I566" s="30" t="str">
        <f>IF(H566="","",IFERROR(INDEX(Codes!$B$2:$B$13,MATCH(H566,Codes!$A$2:$A$13,0)),""))</f>
        <v/>
      </c>
      <c r="J566" s="23"/>
      <c r="K566" s="23"/>
      <c r="L566" s="23"/>
      <c r="M566" s="23"/>
      <c r="N566" s="23"/>
      <c r="O566" s="23"/>
      <c r="P566" s="23"/>
      <c r="Q566" s="31"/>
      <c r="R566" s="32"/>
      <c r="S566" s="32"/>
      <c r="T566" s="33" t="str">
        <f t="shared" si="16"/>
        <v/>
      </c>
      <c r="U566" s="34"/>
      <c r="V566" s="35"/>
      <c r="W566" s="33" t="str">
        <f t="shared" si="17"/>
        <v/>
      </c>
    </row>
    <row r="567" spans="1:23" x14ac:dyDescent="0.35">
      <c r="A567" s="21" t="str">
        <f>IF(COUNTA(B567:H567,J567:S567,U567:V567)=0,"",IF((IF(B567="","PO Ref, ","")&amp;IF(C567="","Vendor, ","")&amp;IF(D567="","Store, ","")&amp;IF(F567="","Product Type, ","")&amp;IF(G567="","Category, ","")&amp;IF(H567="","HSN Code, ","")&amp;IF(Q567="","Qty, ","")&amp;IF(R567="","Purchase Rate, ","")&amp;IF(S567="","MRP, ",""))&lt;&gt;"","Missing: "&amp;LEFT(IF(B567="","PO Ref, ","")&amp;IF(C567="","Vendor, ","")&amp;IF(D567="","Store, ","")&amp;IF(F567="","Product Type, ","")&amp;IF(G567="","Category, ","")&amp;IF(H567="","HSN Code, ","")&amp;IF(Q567="","Qty, ","")&amp;IF(R567="","Purchase Rate, ","")&amp;IF(S567="","MRP, ",""),LEN(IF(B567="","PO Ref, ","")&amp;IF(C567="","Vendor, ","")&amp;IF(D567="","Store, ","")&amp;IF(F567="","Product Type, ","")&amp;IF(G567="","Category, ","")&amp;IF(H567="","HSN Code, ","")&amp;IF(Q567="","Qty, ","")&amp;IF(R567="","Purchase Rate, ","")&amp;IF(S567="","MRP, ",""))-2),IF(COUNTIF(Vendors!$B$3:$B$202,C567)=0,"Add vendor "&amp;C567&amp;" on the Vendors sheet",IF(ISNA(MATCH(H567,Codes!$A$2:$A$13,0)),"Pick the HSN Code from the list",IF(AND(E567&lt;&gt;"",COUNTIFS($C$3:$C$1002,C567,$E$3:$E$1002,E567,$F$3:$F$1002,"&lt;&gt;"&amp;F567)+COUNTIFS($C$3:$C$1002,C567,$E$3:$E$1002,E567,$G$3:$G$1002,"&lt;&gt;"&amp;G567)&gt;0),"Design "&amp;E567&amp;" has another Product Type or Category on another row",IF(COUNTIFS($F$3:$F$1002,F567,$G$3:$G$1002,G567,$H$3:$H$1002,"&lt;&gt;"&amp;H567)&gt;0,F567&amp;" + "&amp;G567&amp;" has another HSN Code on another row",IF(AND(V567&lt;&gt;"",U567=""),"Received Qty needs the Vendor Invoice No",IF(AND(U567&lt;&gt;"",COUNTIFS(Bills!$B$3:$B$302,U567,Bills!$C$3:$C$302,C567)=0),"Add bill "&amp;U567&amp;" of "&amp;C567&amp;" on the Bills sheet",IF(S567&lt;R567,"MRP is below the Purchase Rate","OK")))))))))</f>
        <v/>
      </c>
      <c r="B567" s="29"/>
      <c r="C567" s="22"/>
      <c r="D567" s="22"/>
      <c r="E567" s="24"/>
      <c r="F567" s="22"/>
      <c r="G567" s="22"/>
      <c r="H567" s="22"/>
      <c r="I567" s="30" t="str">
        <f>IF(H567="","",IFERROR(INDEX(Codes!$B$2:$B$13,MATCH(H567,Codes!$A$2:$A$13,0)),""))</f>
        <v/>
      </c>
      <c r="J567" s="23"/>
      <c r="K567" s="23"/>
      <c r="L567" s="23"/>
      <c r="M567" s="23"/>
      <c r="N567" s="23"/>
      <c r="O567" s="23"/>
      <c r="P567" s="23"/>
      <c r="Q567" s="31"/>
      <c r="R567" s="32"/>
      <c r="S567" s="32"/>
      <c r="T567" s="33" t="str">
        <f t="shared" si="16"/>
        <v/>
      </c>
      <c r="U567" s="34"/>
      <c r="V567" s="35"/>
      <c r="W567" s="33" t="str">
        <f t="shared" si="17"/>
        <v/>
      </c>
    </row>
    <row r="568" spans="1:23" x14ac:dyDescent="0.35">
      <c r="A568" s="21" t="str">
        <f>IF(COUNTA(B568:H568,J568:S568,U568:V568)=0,"",IF((IF(B568="","PO Ref, ","")&amp;IF(C568="","Vendor, ","")&amp;IF(D568="","Store, ","")&amp;IF(F568="","Product Type, ","")&amp;IF(G568="","Category, ","")&amp;IF(H568="","HSN Code, ","")&amp;IF(Q568="","Qty, ","")&amp;IF(R568="","Purchase Rate, ","")&amp;IF(S568="","MRP, ",""))&lt;&gt;"","Missing: "&amp;LEFT(IF(B568="","PO Ref, ","")&amp;IF(C568="","Vendor, ","")&amp;IF(D568="","Store, ","")&amp;IF(F568="","Product Type, ","")&amp;IF(G568="","Category, ","")&amp;IF(H568="","HSN Code, ","")&amp;IF(Q568="","Qty, ","")&amp;IF(R568="","Purchase Rate, ","")&amp;IF(S568="","MRP, ",""),LEN(IF(B568="","PO Ref, ","")&amp;IF(C568="","Vendor, ","")&amp;IF(D568="","Store, ","")&amp;IF(F568="","Product Type, ","")&amp;IF(G568="","Category, ","")&amp;IF(H568="","HSN Code, ","")&amp;IF(Q568="","Qty, ","")&amp;IF(R568="","Purchase Rate, ","")&amp;IF(S568="","MRP, ",""))-2),IF(COUNTIF(Vendors!$B$3:$B$202,C568)=0,"Add vendor "&amp;C568&amp;" on the Vendors sheet",IF(ISNA(MATCH(H568,Codes!$A$2:$A$13,0)),"Pick the HSN Code from the list",IF(AND(E568&lt;&gt;"",COUNTIFS($C$3:$C$1002,C568,$E$3:$E$1002,E568,$F$3:$F$1002,"&lt;&gt;"&amp;F568)+COUNTIFS($C$3:$C$1002,C568,$E$3:$E$1002,E568,$G$3:$G$1002,"&lt;&gt;"&amp;G568)&gt;0),"Design "&amp;E568&amp;" has another Product Type or Category on another row",IF(COUNTIFS($F$3:$F$1002,F568,$G$3:$G$1002,G568,$H$3:$H$1002,"&lt;&gt;"&amp;H568)&gt;0,F568&amp;" + "&amp;G568&amp;" has another HSN Code on another row",IF(AND(V568&lt;&gt;"",U568=""),"Received Qty needs the Vendor Invoice No",IF(AND(U568&lt;&gt;"",COUNTIFS(Bills!$B$3:$B$302,U568,Bills!$C$3:$C$302,C568)=0),"Add bill "&amp;U568&amp;" of "&amp;C568&amp;" on the Bills sheet",IF(S568&lt;R568,"MRP is below the Purchase Rate","OK")))))))))</f>
        <v/>
      </c>
      <c r="B568" s="29"/>
      <c r="C568" s="22"/>
      <c r="D568" s="22"/>
      <c r="E568" s="24"/>
      <c r="F568" s="22"/>
      <c r="G568" s="22"/>
      <c r="H568" s="22"/>
      <c r="I568" s="30" t="str">
        <f>IF(H568="","",IFERROR(INDEX(Codes!$B$2:$B$13,MATCH(H568,Codes!$A$2:$A$13,0)),""))</f>
        <v/>
      </c>
      <c r="J568" s="23"/>
      <c r="K568" s="23"/>
      <c r="L568" s="23"/>
      <c r="M568" s="23"/>
      <c r="N568" s="23"/>
      <c r="O568" s="23"/>
      <c r="P568" s="23"/>
      <c r="Q568" s="31"/>
      <c r="R568" s="32"/>
      <c r="S568" s="32"/>
      <c r="T568" s="33" t="str">
        <f t="shared" si="16"/>
        <v/>
      </c>
      <c r="U568" s="34"/>
      <c r="V568" s="35"/>
      <c r="W568" s="33" t="str">
        <f t="shared" si="17"/>
        <v/>
      </c>
    </row>
    <row r="569" spans="1:23" x14ac:dyDescent="0.35">
      <c r="A569" s="21" t="str">
        <f>IF(COUNTA(B569:H569,J569:S569,U569:V569)=0,"",IF((IF(B569="","PO Ref, ","")&amp;IF(C569="","Vendor, ","")&amp;IF(D569="","Store, ","")&amp;IF(F569="","Product Type, ","")&amp;IF(G569="","Category, ","")&amp;IF(H569="","HSN Code, ","")&amp;IF(Q569="","Qty, ","")&amp;IF(R569="","Purchase Rate, ","")&amp;IF(S569="","MRP, ",""))&lt;&gt;"","Missing: "&amp;LEFT(IF(B569="","PO Ref, ","")&amp;IF(C569="","Vendor, ","")&amp;IF(D569="","Store, ","")&amp;IF(F569="","Product Type, ","")&amp;IF(G569="","Category, ","")&amp;IF(H569="","HSN Code, ","")&amp;IF(Q569="","Qty, ","")&amp;IF(R569="","Purchase Rate, ","")&amp;IF(S569="","MRP, ",""),LEN(IF(B569="","PO Ref, ","")&amp;IF(C569="","Vendor, ","")&amp;IF(D569="","Store, ","")&amp;IF(F569="","Product Type, ","")&amp;IF(G569="","Category, ","")&amp;IF(H569="","HSN Code, ","")&amp;IF(Q569="","Qty, ","")&amp;IF(R569="","Purchase Rate, ","")&amp;IF(S569="","MRP, ",""))-2),IF(COUNTIF(Vendors!$B$3:$B$202,C569)=0,"Add vendor "&amp;C569&amp;" on the Vendors sheet",IF(ISNA(MATCH(H569,Codes!$A$2:$A$13,0)),"Pick the HSN Code from the list",IF(AND(E569&lt;&gt;"",COUNTIFS($C$3:$C$1002,C569,$E$3:$E$1002,E569,$F$3:$F$1002,"&lt;&gt;"&amp;F569)+COUNTIFS($C$3:$C$1002,C569,$E$3:$E$1002,E569,$G$3:$G$1002,"&lt;&gt;"&amp;G569)&gt;0),"Design "&amp;E569&amp;" has another Product Type or Category on another row",IF(COUNTIFS($F$3:$F$1002,F569,$G$3:$G$1002,G569,$H$3:$H$1002,"&lt;&gt;"&amp;H569)&gt;0,F569&amp;" + "&amp;G569&amp;" has another HSN Code on another row",IF(AND(V569&lt;&gt;"",U569=""),"Received Qty needs the Vendor Invoice No",IF(AND(U569&lt;&gt;"",COUNTIFS(Bills!$B$3:$B$302,U569,Bills!$C$3:$C$302,C569)=0),"Add bill "&amp;U569&amp;" of "&amp;C569&amp;" on the Bills sheet",IF(S569&lt;R569,"MRP is below the Purchase Rate","OK")))))))))</f>
        <v/>
      </c>
      <c r="B569" s="29"/>
      <c r="C569" s="22"/>
      <c r="D569" s="22"/>
      <c r="E569" s="24"/>
      <c r="F569" s="22"/>
      <c r="G569" s="22"/>
      <c r="H569" s="22"/>
      <c r="I569" s="30" t="str">
        <f>IF(H569="","",IFERROR(INDEX(Codes!$B$2:$B$13,MATCH(H569,Codes!$A$2:$A$13,0)),""))</f>
        <v/>
      </c>
      <c r="J569" s="23"/>
      <c r="K569" s="23"/>
      <c r="L569" s="23"/>
      <c r="M569" s="23"/>
      <c r="N569" s="23"/>
      <c r="O569" s="23"/>
      <c r="P569" s="23"/>
      <c r="Q569" s="31"/>
      <c r="R569" s="32"/>
      <c r="S569" s="32"/>
      <c r="T569" s="33" t="str">
        <f t="shared" si="16"/>
        <v/>
      </c>
      <c r="U569" s="34"/>
      <c r="V569" s="35"/>
      <c r="W569" s="33" t="str">
        <f t="shared" si="17"/>
        <v/>
      </c>
    </row>
    <row r="570" spans="1:23" x14ac:dyDescent="0.35">
      <c r="A570" s="21" t="str">
        <f>IF(COUNTA(B570:H570,J570:S570,U570:V570)=0,"",IF((IF(B570="","PO Ref, ","")&amp;IF(C570="","Vendor, ","")&amp;IF(D570="","Store, ","")&amp;IF(F570="","Product Type, ","")&amp;IF(G570="","Category, ","")&amp;IF(H570="","HSN Code, ","")&amp;IF(Q570="","Qty, ","")&amp;IF(R570="","Purchase Rate, ","")&amp;IF(S570="","MRP, ",""))&lt;&gt;"","Missing: "&amp;LEFT(IF(B570="","PO Ref, ","")&amp;IF(C570="","Vendor, ","")&amp;IF(D570="","Store, ","")&amp;IF(F570="","Product Type, ","")&amp;IF(G570="","Category, ","")&amp;IF(H570="","HSN Code, ","")&amp;IF(Q570="","Qty, ","")&amp;IF(R570="","Purchase Rate, ","")&amp;IF(S570="","MRP, ",""),LEN(IF(B570="","PO Ref, ","")&amp;IF(C570="","Vendor, ","")&amp;IF(D570="","Store, ","")&amp;IF(F570="","Product Type, ","")&amp;IF(G570="","Category, ","")&amp;IF(H570="","HSN Code, ","")&amp;IF(Q570="","Qty, ","")&amp;IF(R570="","Purchase Rate, ","")&amp;IF(S570="","MRP, ",""))-2),IF(COUNTIF(Vendors!$B$3:$B$202,C570)=0,"Add vendor "&amp;C570&amp;" on the Vendors sheet",IF(ISNA(MATCH(H570,Codes!$A$2:$A$13,0)),"Pick the HSN Code from the list",IF(AND(E570&lt;&gt;"",COUNTIFS($C$3:$C$1002,C570,$E$3:$E$1002,E570,$F$3:$F$1002,"&lt;&gt;"&amp;F570)+COUNTIFS($C$3:$C$1002,C570,$E$3:$E$1002,E570,$G$3:$G$1002,"&lt;&gt;"&amp;G570)&gt;0),"Design "&amp;E570&amp;" has another Product Type or Category on another row",IF(COUNTIFS($F$3:$F$1002,F570,$G$3:$G$1002,G570,$H$3:$H$1002,"&lt;&gt;"&amp;H570)&gt;0,F570&amp;" + "&amp;G570&amp;" has another HSN Code on another row",IF(AND(V570&lt;&gt;"",U570=""),"Received Qty needs the Vendor Invoice No",IF(AND(U570&lt;&gt;"",COUNTIFS(Bills!$B$3:$B$302,U570,Bills!$C$3:$C$302,C570)=0),"Add bill "&amp;U570&amp;" of "&amp;C570&amp;" on the Bills sheet",IF(S570&lt;R570,"MRP is below the Purchase Rate","OK")))))))))</f>
        <v/>
      </c>
      <c r="B570" s="29"/>
      <c r="C570" s="22"/>
      <c r="D570" s="22"/>
      <c r="E570" s="24"/>
      <c r="F570" s="22"/>
      <c r="G570" s="22"/>
      <c r="H570" s="22"/>
      <c r="I570" s="30" t="str">
        <f>IF(H570="","",IFERROR(INDEX(Codes!$B$2:$B$13,MATCH(H570,Codes!$A$2:$A$13,0)),""))</f>
        <v/>
      </c>
      <c r="J570" s="23"/>
      <c r="K570" s="23"/>
      <c r="L570" s="23"/>
      <c r="M570" s="23"/>
      <c r="N570" s="23"/>
      <c r="O570" s="23"/>
      <c r="P570" s="23"/>
      <c r="Q570" s="31"/>
      <c r="R570" s="32"/>
      <c r="S570" s="32"/>
      <c r="T570" s="33" t="str">
        <f t="shared" si="16"/>
        <v/>
      </c>
      <c r="U570" s="34"/>
      <c r="V570" s="35"/>
      <c r="W570" s="33" t="str">
        <f t="shared" si="17"/>
        <v/>
      </c>
    </row>
    <row r="571" spans="1:23" x14ac:dyDescent="0.35">
      <c r="A571" s="21" t="str">
        <f>IF(COUNTA(B571:H571,J571:S571,U571:V571)=0,"",IF((IF(B571="","PO Ref, ","")&amp;IF(C571="","Vendor, ","")&amp;IF(D571="","Store, ","")&amp;IF(F571="","Product Type, ","")&amp;IF(G571="","Category, ","")&amp;IF(H571="","HSN Code, ","")&amp;IF(Q571="","Qty, ","")&amp;IF(R571="","Purchase Rate, ","")&amp;IF(S571="","MRP, ",""))&lt;&gt;"","Missing: "&amp;LEFT(IF(B571="","PO Ref, ","")&amp;IF(C571="","Vendor, ","")&amp;IF(D571="","Store, ","")&amp;IF(F571="","Product Type, ","")&amp;IF(G571="","Category, ","")&amp;IF(H571="","HSN Code, ","")&amp;IF(Q571="","Qty, ","")&amp;IF(R571="","Purchase Rate, ","")&amp;IF(S571="","MRP, ",""),LEN(IF(B571="","PO Ref, ","")&amp;IF(C571="","Vendor, ","")&amp;IF(D571="","Store, ","")&amp;IF(F571="","Product Type, ","")&amp;IF(G571="","Category, ","")&amp;IF(H571="","HSN Code, ","")&amp;IF(Q571="","Qty, ","")&amp;IF(R571="","Purchase Rate, ","")&amp;IF(S571="","MRP, ",""))-2),IF(COUNTIF(Vendors!$B$3:$B$202,C571)=0,"Add vendor "&amp;C571&amp;" on the Vendors sheet",IF(ISNA(MATCH(H571,Codes!$A$2:$A$13,0)),"Pick the HSN Code from the list",IF(AND(E571&lt;&gt;"",COUNTIFS($C$3:$C$1002,C571,$E$3:$E$1002,E571,$F$3:$F$1002,"&lt;&gt;"&amp;F571)+COUNTIFS($C$3:$C$1002,C571,$E$3:$E$1002,E571,$G$3:$G$1002,"&lt;&gt;"&amp;G571)&gt;0),"Design "&amp;E571&amp;" has another Product Type or Category on another row",IF(COUNTIFS($F$3:$F$1002,F571,$G$3:$G$1002,G571,$H$3:$H$1002,"&lt;&gt;"&amp;H571)&gt;0,F571&amp;" + "&amp;G571&amp;" has another HSN Code on another row",IF(AND(V571&lt;&gt;"",U571=""),"Received Qty needs the Vendor Invoice No",IF(AND(U571&lt;&gt;"",COUNTIFS(Bills!$B$3:$B$302,U571,Bills!$C$3:$C$302,C571)=0),"Add bill "&amp;U571&amp;" of "&amp;C571&amp;" on the Bills sheet",IF(S571&lt;R571,"MRP is below the Purchase Rate","OK")))))))))</f>
        <v/>
      </c>
      <c r="B571" s="29"/>
      <c r="C571" s="22"/>
      <c r="D571" s="22"/>
      <c r="E571" s="24"/>
      <c r="F571" s="22"/>
      <c r="G571" s="22"/>
      <c r="H571" s="22"/>
      <c r="I571" s="30" t="str">
        <f>IF(H571="","",IFERROR(INDEX(Codes!$B$2:$B$13,MATCH(H571,Codes!$A$2:$A$13,0)),""))</f>
        <v/>
      </c>
      <c r="J571" s="23"/>
      <c r="K571" s="23"/>
      <c r="L571" s="23"/>
      <c r="M571" s="23"/>
      <c r="N571" s="23"/>
      <c r="O571" s="23"/>
      <c r="P571" s="23"/>
      <c r="Q571" s="31"/>
      <c r="R571" s="32"/>
      <c r="S571" s="32"/>
      <c r="T571" s="33" t="str">
        <f t="shared" si="16"/>
        <v/>
      </c>
      <c r="U571" s="34"/>
      <c r="V571" s="35"/>
      <c r="W571" s="33" t="str">
        <f t="shared" si="17"/>
        <v/>
      </c>
    </row>
    <row r="572" spans="1:23" x14ac:dyDescent="0.35">
      <c r="A572" s="21" t="str">
        <f>IF(COUNTA(B572:H572,J572:S572,U572:V572)=0,"",IF((IF(B572="","PO Ref, ","")&amp;IF(C572="","Vendor, ","")&amp;IF(D572="","Store, ","")&amp;IF(F572="","Product Type, ","")&amp;IF(G572="","Category, ","")&amp;IF(H572="","HSN Code, ","")&amp;IF(Q572="","Qty, ","")&amp;IF(R572="","Purchase Rate, ","")&amp;IF(S572="","MRP, ",""))&lt;&gt;"","Missing: "&amp;LEFT(IF(B572="","PO Ref, ","")&amp;IF(C572="","Vendor, ","")&amp;IF(D572="","Store, ","")&amp;IF(F572="","Product Type, ","")&amp;IF(G572="","Category, ","")&amp;IF(H572="","HSN Code, ","")&amp;IF(Q572="","Qty, ","")&amp;IF(R572="","Purchase Rate, ","")&amp;IF(S572="","MRP, ",""),LEN(IF(B572="","PO Ref, ","")&amp;IF(C572="","Vendor, ","")&amp;IF(D572="","Store, ","")&amp;IF(F572="","Product Type, ","")&amp;IF(G572="","Category, ","")&amp;IF(H572="","HSN Code, ","")&amp;IF(Q572="","Qty, ","")&amp;IF(R572="","Purchase Rate, ","")&amp;IF(S572="","MRP, ",""))-2),IF(COUNTIF(Vendors!$B$3:$B$202,C572)=0,"Add vendor "&amp;C572&amp;" on the Vendors sheet",IF(ISNA(MATCH(H572,Codes!$A$2:$A$13,0)),"Pick the HSN Code from the list",IF(AND(E572&lt;&gt;"",COUNTIFS($C$3:$C$1002,C572,$E$3:$E$1002,E572,$F$3:$F$1002,"&lt;&gt;"&amp;F572)+COUNTIFS($C$3:$C$1002,C572,$E$3:$E$1002,E572,$G$3:$G$1002,"&lt;&gt;"&amp;G572)&gt;0),"Design "&amp;E572&amp;" has another Product Type or Category on another row",IF(COUNTIFS($F$3:$F$1002,F572,$G$3:$G$1002,G572,$H$3:$H$1002,"&lt;&gt;"&amp;H572)&gt;0,F572&amp;" + "&amp;G572&amp;" has another HSN Code on another row",IF(AND(V572&lt;&gt;"",U572=""),"Received Qty needs the Vendor Invoice No",IF(AND(U572&lt;&gt;"",COUNTIFS(Bills!$B$3:$B$302,U572,Bills!$C$3:$C$302,C572)=0),"Add bill "&amp;U572&amp;" of "&amp;C572&amp;" on the Bills sheet",IF(S572&lt;R572,"MRP is below the Purchase Rate","OK")))))))))</f>
        <v/>
      </c>
      <c r="B572" s="29"/>
      <c r="C572" s="22"/>
      <c r="D572" s="22"/>
      <c r="E572" s="24"/>
      <c r="F572" s="22"/>
      <c r="G572" s="22"/>
      <c r="H572" s="22"/>
      <c r="I572" s="30" t="str">
        <f>IF(H572="","",IFERROR(INDEX(Codes!$B$2:$B$13,MATCH(H572,Codes!$A$2:$A$13,0)),""))</f>
        <v/>
      </c>
      <c r="J572" s="23"/>
      <c r="K572" s="23"/>
      <c r="L572" s="23"/>
      <c r="M572" s="23"/>
      <c r="N572" s="23"/>
      <c r="O572" s="23"/>
      <c r="P572" s="23"/>
      <c r="Q572" s="31"/>
      <c r="R572" s="32"/>
      <c r="S572" s="32"/>
      <c r="T572" s="33" t="str">
        <f t="shared" si="16"/>
        <v/>
      </c>
      <c r="U572" s="34"/>
      <c r="V572" s="35"/>
      <c r="W572" s="33" t="str">
        <f t="shared" si="17"/>
        <v/>
      </c>
    </row>
    <row r="573" spans="1:23" x14ac:dyDescent="0.35">
      <c r="A573" s="21" t="str">
        <f>IF(COUNTA(B573:H573,J573:S573,U573:V573)=0,"",IF((IF(B573="","PO Ref, ","")&amp;IF(C573="","Vendor, ","")&amp;IF(D573="","Store, ","")&amp;IF(F573="","Product Type, ","")&amp;IF(G573="","Category, ","")&amp;IF(H573="","HSN Code, ","")&amp;IF(Q573="","Qty, ","")&amp;IF(R573="","Purchase Rate, ","")&amp;IF(S573="","MRP, ",""))&lt;&gt;"","Missing: "&amp;LEFT(IF(B573="","PO Ref, ","")&amp;IF(C573="","Vendor, ","")&amp;IF(D573="","Store, ","")&amp;IF(F573="","Product Type, ","")&amp;IF(G573="","Category, ","")&amp;IF(H573="","HSN Code, ","")&amp;IF(Q573="","Qty, ","")&amp;IF(R573="","Purchase Rate, ","")&amp;IF(S573="","MRP, ",""),LEN(IF(B573="","PO Ref, ","")&amp;IF(C573="","Vendor, ","")&amp;IF(D573="","Store, ","")&amp;IF(F573="","Product Type, ","")&amp;IF(G573="","Category, ","")&amp;IF(H573="","HSN Code, ","")&amp;IF(Q573="","Qty, ","")&amp;IF(R573="","Purchase Rate, ","")&amp;IF(S573="","MRP, ",""))-2),IF(COUNTIF(Vendors!$B$3:$B$202,C573)=0,"Add vendor "&amp;C573&amp;" on the Vendors sheet",IF(ISNA(MATCH(H573,Codes!$A$2:$A$13,0)),"Pick the HSN Code from the list",IF(AND(E573&lt;&gt;"",COUNTIFS($C$3:$C$1002,C573,$E$3:$E$1002,E573,$F$3:$F$1002,"&lt;&gt;"&amp;F573)+COUNTIFS($C$3:$C$1002,C573,$E$3:$E$1002,E573,$G$3:$G$1002,"&lt;&gt;"&amp;G573)&gt;0),"Design "&amp;E573&amp;" has another Product Type or Category on another row",IF(COUNTIFS($F$3:$F$1002,F573,$G$3:$G$1002,G573,$H$3:$H$1002,"&lt;&gt;"&amp;H573)&gt;0,F573&amp;" + "&amp;G573&amp;" has another HSN Code on another row",IF(AND(V573&lt;&gt;"",U573=""),"Received Qty needs the Vendor Invoice No",IF(AND(U573&lt;&gt;"",COUNTIFS(Bills!$B$3:$B$302,U573,Bills!$C$3:$C$302,C573)=0),"Add bill "&amp;U573&amp;" of "&amp;C573&amp;" on the Bills sheet",IF(S573&lt;R573,"MRP is below the Purchase Rate","OK")))))))))</f>
        <v/>
      </c>
      <c r="B573" s="29"/>
      <c r="C573" s="22"/>
      <c r="D573" s="22"/>
      <c r="E573" s="24"/>
      <c r="F573" s="22"/>
      <c r="G573" s="22"/>
      <c r="H573" s="22"/>
      <c r="I573" s="30" t="str">
        <f>IF(H573="","",IFERROR(INDEX(Codes!$B$2:$B$13,MATCH(H573,Codes!$A$2:$A$13,0)),""))</f>
        <v/>
      </c>
      <c r="J573" s="23"/>
      <c r="K573" s="23"/>
      <c r="L573" s="23"/>
      <c r="M573" s="23"/>
      <c r="N573" s="23"/>
      <c r="O573" s="23"/>
      <c r="P573" s="23"/>
      <c r="Q573" s="31"/>
      <c r="R573" s="32"/>
      <c r="S573" s="32"/>
      <c r="T573" s="33" t="str">
        <f t="shared" si="16"/>
        <v/>
      </c>
      <c r="U573" s="34"/>
      <c r="V573" s="35"/>
      <c r="W573" s="33" t="str">
        <f t="shared" si="17"/>
        <v/>
      </c>
    </row>
    <row r="574" spans="1:23" x14ac:dyDescent="0.35">
      <c r="A574" s="21" t="str">
        <f>IF(COUNTA(B574:H574,J574:S574,U574:V574)=0,"",IF((IF(B574="","PO Ref, ","")&amp;IF(C574="","Vendor, ","")&amp;IF(D574="","Store, ","")&amp;IF(F574="","Product Type, ","")&amp;IF(G574="","Category, ","")&amp;IF(H574="","HSN Code, ","")&amp;IF(Q574="","Qty, ","")&amp;IF(R574="","Purchase Rate, ","")&amp;IF(S574="","MRP, ",""))&lt;&gt;"","Missing: "&amp;LEFT(IF(B574="","PO Ref, ","")&amp;IF(C574="","Vendor, ","")&amp;IF(D574="","Store, ","")&amp;IF(F574="","Product Type, ","")&amp;IF(G574="","Category, ","")&amp;IF(H574="","HSN Code, ","")&amp;IF(Q574="","Qty, ","")&amp;IF(R574="","Purchase Rate, ","")&amp;IF(S574="","MRP, ",""),LEN(IF(B574="","PO Ref, ","")&amp;IF(C574="","Vendor, ","")&amp;IF(D574="","Store, ","")&amp;IF(F574="","Product Type, ","")&amp;IF(G574="","Category, ","")&amp;IF(H574="","HSN Code, ","")&amp;IF(Q574="","Qty, ","")&amp;IF(R574="","Purchase Rate, ","")&amp;IF(S574="","MRP, ",""))-2),IF(COUNTIF(Vendors!$B$3:$B$202,C574)=0,"Add vendor "&amp;C574&amp;" on the Vendors sheet",IF(ISNA(MATCH(H574,Codes!$A$2:$A$13,0)),"Pick the HSN Code from the list",IF(AND(E574&lt;&gt;"",COUNTIFS($C$3:$C$1002,C574,$E$3:$E$1002,E574,$F$3:$F$1002,"&lt;&gt;"&amp;F574)+COUNTIFS($C$3:$C$1002,C574,$E$3:$E$1002,E574,$G$3:$G$1002,"&lt;&gt;"&amp;G574)&gt;0),"Design "&amp;E574&amp;" has another Product Type or Category on another row",IF(COUNTIFS($F$3:$F$1002,F574,$G$3:$G$1002,G574,$H$3:$H$1002,"&lt;&gt;"&amp;H574)&gt;0,F574&amp;" + "&amp;G574&amp;" has another HSN Code on another row",IF(AND(V574&lt;&gt;"",U574=""),"Received Qty needs the Vendor Invoice No",IF(AND(U574&lt;&gt;"",COUNTIFS(Bills!$B$3:$B$302,U574,Bills!$C$3:$C$302,C574)=0),"Add bill "&amp;U574&amp;" of "&amp;C574&amp;" on the Bills sheet",IF(S574&lt;R574,"MRP is below the Purchase Rate","OK")))))))))</f>
        <v/>
      </c>
      <c r="B574" s="29"/>
      <c r="C574" s="22"/>
      <c r="D574" s="22"/>
      <c r="E574" s="24"/>
      <c r="F574" s="22"/>
      <c r="G574" s="22"/>
      <c r="H574" s="22"/>
      <c r="I574" s="30" t="str">
        <f>IF(H574="","",IFERROR(INDEX(Codes!$B$2:$B$13,MATCH(H574,Codes!$A$2:$A$13,0)),""))</f>
        <v/>
      </c>
      <c r="J574" s="23"/>
      <c r="K574" s="23"/>
      <c r="L574" s="23"/>
      <c r="M574" s="23"/>
      <c r="N574" s="23"/>
      <c r="O574" s="23"/>
      <c r="P574" s="23"/>
      <c r="Q574" s="31"/>
      <c r="R574" s="32"/>
      <c r="S574" s="32"/>
      <c r="T574" s="33" t="str">
        <f t="shared" si="16"/>
        <v/>
      </c>
      <c r="U574" s="34"/>
      <c r="V574" s="35"/>
      <c r="W574" s="33" t="str">
        <f t="shared" si="17"/>
        <v/>
      </c>
    </row>
    <row r="575" spans="1:23" x14ac:dyDescent="0.35">
      <c r="A575" s="21" t="str">
        <f>IF(COUNTA(B575:H575,J575:S575,U575:V575)=0,"",IF((IF(B575="","PO Ref, ","")&amp;IF(C575="","Vendor, ","")&amp;IF(D575="","Store, ","")&amp;IF(F575="","Product Type, ","")&amp;IF(G575="","Category, ","")&amp;IF(H575="","HSN Code, ","")&amp;IF(Q575="","Qty, ","")&amp;IF(R575="","Purchase Rate, ","")&amp;IF(S575="","MRP, ",""))&lt;&gt;"","Missing: "&amp;LEFT(IF(B575="","PO Ref, ","")&amp;IF(C575="","Vendor, ","")&amp;IF(D575="","Store, ","")&amp;IF(F575="","Product Type, ","")&amp;IF(G575="","Category, ","")&amp;IF(H575="","HSN Code, ","")&amp;IF(Q575="","Qty, ","")&amp;IF(R575="","Purchase Rate, ","")&amp;IF(S575="","MRP, ",""),LEN(IF(B575="","PO Ref, ","")&amp;IF(C575="","Vendor, ","")&amp;IF(D575="","Store, ","")&amp;IF(F575="","Product Type, ","")&amp;IF(G575="","Category, ","")&amp;IF(H575="","HSN Code, ","")&amp;IF(Q575="","Qty, ","")&amp;IF(R575="","Purchase Rate, ","")&amp;IF(S575="","MRP, ",""))-2),IF(COUNTIF(Vendors!$B$3:$B$202,C575)=0,"Add vendor "&amp;C575&amp;" on the Vendors sheet",IF(ISNA(MATCH(H575,Codes!$A$2:$A$13,0)),"Pick the HSN Code from the list",IF(AND(E575&lt;&gt;"",COUNTIFS($C$3:$C$1002,C575,$E$3:$E$1002,E575,$F$3:$F$1002,"&lt;&gt;"&amp;F575)+COUNTIFS($C$3:$C$1002,C575,$E$3:$E$1002,E575,$G$3:$G$1002,"&lt;&gt;"&amp;G575)&gt;0),"Design "&amp;E575&amp;" has another Product Type or Category on another row",IF(COUNTIFS($F$3:$F$1002,F575,$G$3:$G$1002,G575,$H$3:$H$1002,"&lt;&gt;"&amp;H575)&gt;0,F575&amp;" + "&amp;G575&amp;" has another HSN Code on another row",IF(AND(V575&lt;&gt;"",U575=""),"Received Qty needs the Vendor Invoice No",IF(AND(U575&lt;&gt;"",COUNTIFS(Bills!$B$3:$B$302,U575,Bills!$C$3:$C$302,C575)=0),"Add bill "&amp;U575&amp;" of "&amp;C575&amp;" on the Bills sheet",IF(S575&lt;R575,"MRP is below the Purchase Rate","OK")))))))))</f>
        <v/>
      </c>
      <c r="B575" s="29"/>
      <c r="C575" s="22"/>
      <c r="D575" s="22"/>
      <c r="E575" s="24"/>
      <c r="F575" s="22"/>
      <c r="G575" s="22"/>
      <c r="H575" s="22"/>
      <c r="I575" s="30" t="str">
        <f>IF(H575="","",IFERROR(INDEX(Codes!$B$2:$B$13,MATCH(H575,Codes!$A$2:$A$13,0)),""))</f>
        <v/>
      </c>
      <c r="J575" s="23"/>
      <c r="K575" s="23"/>
      <c r="L575" s="23"/>
      <c r="M575" s="23"/>
      <c r="N575" s="23"/>
      <c r="O575" s="23"/>
      <c r="P575" s="23"/>
      <c r="Q575" s="31"/>
      <c r="R575" s="32"/>
      <c r="S575" s="32"/>
      <c r="T575" s="33" t="str">
        <f t="shared" si="16"/>
        <v/>
      </c>
      <c r="U575" s="34"/>
      <c r="V575" s="35"/>
      <c r="W575" s="33" t="str">
        <f t="shared" si="17"/>
        <v/>
      </c>
    </row>
    <row r="576" spans="1:23" x14ac:dyDescent="0.35">
      <c r="A576" s="21" t="str">
        <f>IF(COUNTA(B576:H576,J576:S576,U576:V576)=0,"",IF((IF(B576="","PO Ref, ","")&amp;IF(C576="","Vendor, ","")&amp;IF(D576="","Store, ","")&amp;IF(F576="","Product Type, ","")&amp;IF(G576="","Category, ","")&amp;IF(H576="","HSN Code, ","")&amp;IF(Q576="","Qty, ","")&amp;IF(R576="","Purchase Rate, ","")&amp;IF(S576="","MRP, ",""))&lt;&gt;"","Missing: "&amp;LEFT(IF(B576="","PO Ref, ","")&amp;IF(C576="","Vendor, ","")&amp;IF(D576="","Store, ","")&amp;IF(F576="","Product Type, ","")&amp;IF(G576="","Category, ","")&amp;IF(H576="","HSN Code, ","")&amp;IF(Q576="","Qty, ","")&amp;IF(R576="","Purchase Rate, ","")&amp;IF(S576="","MRP, ",""),LEN(IF(B576="","PO Ref, ","")&amp;IF(C576="","Vendor, ","")&amp;IF(D576="","Store, ","")&amp;IF(F576="","Product Type, ","")&amp;IF(G576="","Category, ","")&amp;IF(H576="","HSN Code, ","")&amp;IF(Q576="","Qty, ","")&amp;IF(R576="","Purchase Rate, ","")&amp;IF(S576="","MRP, ",""))-2),IF(COUNTIF(Vendors!$B$3:$B$202,C576)=0,"Add vendor "&amp;C576&amp;" on the Vendors sheet",IF(ISNA(MATCH(H576,Codes!$A$2:$A$13,0)),"Pick the HSN Code from the list",IF(AND(E576&lt;&gt;"",COUNTIFS($C$3:$C$1002,C576,$E$3:$E$1002,E576,$F$3:$F$1002,"&lt;&gt;"&amp;F576)+COUNTIFS($C$3:$C$1002,C576,$E$3:$E$1002,E576,$G$3:$G$1002,"&lt;&gt;"&amp;G576)&gt;0),"Design "&amp;E576&amp;" has another Product Type or Category on another row",IF(COUNTIFS($F$3:$F$1002,F576,$G$3:$G$1002,G576,$H$3:$H$1002,"&lt;&gt;"&amp;H576)&gt;0,F576&amp;" + "&amp;G576&amp;" has another HSN Code on another row",IF(AND(V576&lt;&gt;"",U576=""),"Received Qty needs the Vendor Invoice No",IF(AND(U576&lt;&gt;"",COUNTIFS(Bills!$B$3:$B$302,U576,Bills!$C$3:$C$302,C576)=0),"Add bill "&amp;U576&amp;" of "&amp;C576&amp;" on the Bills sheet",IF(S576&lt;R576,"MRP is below the Purchase Rate","OK")))))))))</f>
        <v/>
      </c>
      <c r="B576" s="29"/>
      <c r="C576" s="22"/>
      <c r="D576" s="22"/>
      <c r="E576" s="24"/>
      <c r="F576" s="22"/>
      <c r="G576" s="22"/>
      <c r="H576" s="22"/>
      <c r="I576" s="30" t="str">
        <f>IF(H576="","",IFERROR(INDEX(Codes!$B$2:$B$13,MATCH(H576,Codes!$A$2:$A$13,0)),""))</f>
        <v/>
      </c>
      <c r="J576" s="23"/>
      <c r="K576" s="23"/>
      <c r="L576" s="23"/>
      <c r="M576" s="23"/>
      <c r="N576" s="23"/>
      <c r="O576" s="23"/>
      <c r="P576" s="23"/>
      <c r="Q576" s="31"/>
      <c r="R576" s="32"/>
      <c r="S576" s="32"/>
      <c r="T576" s="33" t="str">
        <f t="shared" si="16"/>
        <v/>
      </c>
      <c r="U576" s="34"/>
      <c r="V576" s="35"/>
      <c r="W576" s="33" t="str">
        <f t="shared" si="17"/>
        <v/>
      </c>
    </row>
    <row r="577" spans="1:23" x14ac:dyDescent="0.35">
      <c r="A577" s="21" t="str">
        <f>IF(COUNTA(B577:H577,J577:S577,U577:V577)=0,"",IF((IF(B577="","PO Ref, ","")&amp;IF(C577="","Vendor, ","")&amp;IF(D577="","Store, ","")&amp;IF(F577="","Product Type, ","")&amp;IF(G577="","Category, ","")&amp;IF(H577="","HSN Code, ","")&amp;IF(Q577="","Qty, ","")&amp;IF(R577="","Purchase Rate, ","")&amp;IF(S577="","MRP, ",""))&lt;&gt;"","Missing: "&amp;LEFT(IF(B577="","PO Ref, ","")&amp;IF(C577="","Vendor, ","")&amp;IF(D577="","Store, ","")&amp;IF(F577="","Product Type, ","")&amp;IF(G577="","Category, ","")&amp;IF(H577="","HSN Code, ","")&amp;IF(Q577="","Qty, ","")&amp;IF(R577="","Purchase Rate, ","")&amp;IF(S577="","MRP, ",""),LEN(IF(B577="","PO Ref, ","")&amp;IF(C577="","Vendor, ","")&amp;IF(D577="","Store, ","")&amp;IF(F577="","Product Type, ","")&amp;IF(G577="","Category, ","")&amp;IF(H577="","HSN Code, ","")&amp;IF(Q577="","Qty, ","")&amp;IF(R577="","Purchase Rate, ","")&amp;IF(S577="","MRP, ",""))-2),IF(COUNTIF(Vendors!$B$3:$B$202,C577)=0,"Add vendor "&amp;C577&amp;" on the Vendors sheet",IF(ISNA(MATCH(H577,Codes!$A$2:$A$13,0)),"Pick the HSN Code from the list",IF(AND(E577&lt;&gt;"",COUNTIFS($C$3:$C$1002,C577,$E$3:$E$1002,E577,$F$3:$F$1002,"&lt;&gt;"&amp;F577)+COUNTIFS($C$3:$C$1002,C577,$E$3:$E$1002,E577,$G$3:$G$1002,"&lt;&gt;"&amp;G577)&gt;0),"Design "&amp;E577&amp;" has another Product Type or Category on another row",IF(COUNTIFS($F$3:$F$1002,F577,$G$3:$G$1002,G577,$H$3:$H$1002,"&lt;&gt;"&amp;H577)&gt;0,F577&amp;" + "&amp;G577&amp;" has another HSN Code on another row",IF(AND(V577&lt;&gt;"",U577=""),"Received Qty needs the Vendor Invoice No",IF(AND(U577&lt;&gt;"",COUNTIFS(Bills!$B$3:$B$302,U577,Bills!$C$3:$C$302,C577)=0),"Add bill "&amp;U577&amp;" of "&amp;C577&amp;" on the Bills sheet",IF(S577&lt;R577,"MRP is below the Purchase Rate","OK")))))))))</f>
        <v/>
      </c>
      <c r="B577" s="29"/>
      <c r="C577" s="22"/>
      <c r="D577" s="22"/>
      <c r="E577" s="24"/>
      <c r="F577" s="22"/>
      <c r="G577" s="22"/>
      <c r="H577" s="22"/>
      <c r="I577" s="30" t="str">
        <f>IF(H577="","",IFERROR(INDEX(Codes!$B$2:$B$13,MATCH(H577,Codes!$A$2:$A$13,0)),""))</f>
        <v/>
      </c>
      <c r="J577" s="23"/>
      <c r="K577" s="23"/>
      <c r="L577" s="23"/>
      <c r="M577" s="23"/>
      <c r="N577" s="23"/>
      <c r="O577" s="23"/>
      <c r="P577" s="23"/>
      <c r="Q577" s="31"/>
      <c r="R577" s="32"/>
      <c r="S577" s="32"/>
      <c r="T577" s="33" t="str">
        <f t="shared" si="16"/>
        <v/>
      </c>
      <c r="U577" s="34"/>
      <c r="V577" s="35"/>
      <c r="W577" s="33" t="str">
        <f t="shared" si="17"/>
        <v/>
      </c>
    </row>
    <row r="578" spans="1:23" x14ac:dyDescent="0.35">
      <c r="A578" s="21" t="str">
        <f>IF(COUNTA(B578:H578,J578:S578,U578:V578)=0,"",IF((IF(B578="","PO Ref, ","")&amp;IF(C578="","Vendor, ","")&amp;IF(D578="","Store, ","")&amp;IF(F578="","Product Type, ","")&amp;IF(G578="","Category, ","")&amp;IF(H578="","HSN Code, ","")&amp;IF(Q578="","Qty, ","")&amp;IF(R578="","Purchase Rate, ","")&amp;IF(S578="","MRP, ",""))&lt;&gt;"","Missing: "&amp;LEFT(IF(B578="","PO Ref, ","")&amp;IF(C578="","Vendor, ","")&amp;IF(D578="","Store, ","")&amp;IF(F578="","Product Type, ","")&amp;IF(G578="","Category, ","")&amp;IF(H578="","HSN Code, ","")&amp;IF(Q578="","Qty, ","")&amp;IF(R578="","Purchase Rate, ","")&amp;IF(S578="","MRP, ",""),LEN(IF(B578="","PO Ref, ","")&amp;IF(C578="","Vendor, ","")&amp;IF(D578="","Store, ","")&amp;IF(F578="","Product Type, ","")&amp;IF(G578="","Category, ","")&amp;IF(H578="","HSN Code, ","")&amp;IF(Q578="","Qty, ","")&amp;IF(R578="","Purchase Rate, ","")&amp;IF(S578="","MRP, ",""))-2),IF(COUNTIF(Vendors!$B$3:$B$202,C578)=0,"Add vendor "&amp;C578&amp;" on the Vendors sheet",IF(ISNA(MATCH(H578,Codes!$A$2:$A$13,0)),"Pick the HSN Code from the list",IF(AND(E578&lt;&gt;"",COUNTIFS($C$3:$C$1002,C578,$E$3:$E$1002,E578,$F$3:$F$1002,"&lt;&gt;"&amp;F578)+COUNTIFS($C$3:$C$1002,C578,$E$3:$E$1002,E578,$G$3:$G$1002,"&lt;&gt;"&amp;G578)&gt;0),"Design "&amp;E578&amp;" has another Product Type or Category on another row",IF(COUNTIFS($F$3:$F$1002,F578,$G$3:$G$1002,G578,$H$3:$H$1002,"&lt;&gt;"&amp;H578)&gt;0,F578&amp;" + "&amp;G578&amp;" has another HSN Code on another row",IF(AND(V578&lt;&gt;"",U578=""),"Received Qty needs the Vendor Invoice No",IF(AND(U578&lt;&gt;"",COUNTIFS(Bills!$B$3:$B$302,U578,Bills!$C$3:$C$302,C578)=0),"Add bill "&amp;U578&amp;" of "&amp;C578&amp;" on the Bills sheet",IF(S578&lt;R578,"MRP is below the Purchase Rate","OK")))))))))</f>
        <v/>
      </c>
      <c r="B578" s="29"/>
      <c r="C578" s="22"/>
      <c r="D578" s="22"/>
      <c r="E578" s="24"/>
      <c r="F578" s="22"/>
      <c r="G578" s="22"/>
      <c r="H578" s="22"/>
      <c r="I578" s="30" t="str">
        <f>IF(H578="","",IFERROR(INDEX(Codes!$B$2:$B$13,MATCH(H578,Codes!$A$2:$A$13,0)),""))</f>
        <v/>
      </c>
      <c r="J578" s="23"/>
      <c r="K578" s="23"/>
      <c r="L578" s="23"/>
      <c r="M578" s="23"/>
      <c r="N578" s="23"/>
      <c r="O578" s="23"/>
      <c r="P578" s="23"/>
      <c r="Q578" s="31"/>
      <c r="R578" s="32"/>
      <c r="S578" s="32"/>
      <c r="T578" s="33" t="str">
        <f t="shared" si="16"/>
        <v/>
      </c>
      <c r="U578" s="34"/>
      <c r="V578" s="35"/>
      <c r="W578" s="33" t="str">
        <f t="shared" si="17"/>
        <v/>
      </c>
    </row>
    <row r="579" spans="1:23" x14ac:dyDescent="0.35">
      <c r="A579" s="21" t="str">
        <f>IF(COUNTA(B579:H579,J579:S579,U579:V579)=0,"",IF((IF(B579="","PO Ref, ","")&amp;IF(C579="","Vendor, ","")&amp;IF(D579="","Store, ","")&amp;IF(F579="","Product Type, ","")&amp;IF(G579="","Category, ","")&amp;IF(H579="","HSN Code, ","")&amp;IF(Q579="","Qty, ","")&amp;IF(R579="","Purchase Rate, ","")&amp;IF(S579="","MRP, ",""))&lt;&gt;"","Missing: "&amp;LEFT(IF(B579="","PO Ref, ","")&amp;IF(C579="","Vendor, ","")&amp;IF(D579="","Store, ","")&amp;IF(F579="","Product Type, ","")&amp;IF(G579="","Category, ","")&amp;IF(H579="","HSN Code, ","")&amp;IF(Q579="","Qty, ","")&amp;IF(R579="","Purchase Rate, ","")&amp;IF(S579="","MRP, ",""),LEN(IF(B579="","PO Ref, ","")&amp;IF(C579="","Vendor, ","")&amp;IF(D579="","Store, ","")&amp;IF(F579="","Product Type, ","")&amp;IF(G579="","Category, ","")&amp;IF(H579="","HSN Code, ","")&amp;IF(Q579="","Qty, ","")&amp;IF(R579="","Purchase Rate, ","")&amp;IF(S579="","MRP, ",""))-2),IF(COUNTIF(Vendors!$B$3:$B$202,C579)=0,"Add vendor "&amp;C579&amp;" on the Vendors sheet",IF(ISNA(MATCH(H579,Codes!$A$2:$A$13,0)),"Pick the HSN Code from the list",IF(AND(E579&lt;&gt;"",COUNTIFS($C$3:$C$1002,C579,$E$3:$E$1002,E579,$F$3:$F$1002,"&lt;&gt;"&amp;F579)+COUNTIFS($C$3:$C$1002,C579,$E$3:$E$1002,E579,$G$3:$G$1002,"&lt;&gt;"&amp;G579)&gt;0),"Design "&amp;E579&amp;" has another Product Type or Category on another row",IF(COUNTIFS($F$3:$F$1002,F579,$G$3:$G$1002,G579,$H$3:$H$1002,"&lt;&gt;"&amp;H579)&gt;0,F579&amp;" + "&amp;G579&amp;" has another HSN Code on another row",IF(AND(V579&lt;&gt;"",U579=""),"Received Qty needs the Vendor Invoice No",IF(AND(U579&lt;&gt;"",COUNTIFS(Bills!$B$3:$B$302,U579,Bills!$C$3:$C$302,C579)=0),"Add bill "&amp;U579&amp;" of "&amp;C579&amp;" on the Bills sheet",IF(S579&lt;R579,"MRP is below the Purchase Rate","OK")))))))))</f>
        <v/>
      </c>
      <c r="B579" s="29"/>
      <c r="C579" s="22"/>
      <c r="D579" s="22"/>
      <c r="E579" s="24"/>
      <c r="F579" s="22"/>
      <c r="G579" s="22"/>
      <c r="H579" s="22"/>
      <c r="I579" s="30" t="str">
        <f>IF(H579="","",IFERROR(INDEX(Codes!$B$2:$B$13,MATCH(H579,Codes!$A$2:$A$13,0)),""))</f>
        <v/>
      </c>
      <c r="J579" s="23"/>
      <c r="K579" s="23"/>
      <c r="L579" s="23"/>
      <c r="M579" s="23"/>
      <c r="N579" s="23"/>
      <c r="O579" s="23"/>
      <c r="P579" s="23"/>
      <c r="Q579" s="31"/>
      <c r="R579" s="32"/>
      <c r="S579" s="32"/>
      <c r="T579" s="33" t="str">
        <f t="shared" ref="T579:T642" si="18">IF(OR(Q579="",R579=""),"",Q579*R579)</f>
        <v/>
      </c>
      <c r="U579" s="34"/>
      <c r="V579" s="35"/>
      <c r="W579" s="33" t="str">
        <f t="shared" ref="W579:W642" si="19">IF(OR(U579="",R579=""),"",IF(V579="",Q579,V579)*R579)</f>
        <v/>
      </c>
    </row>
    <row r="580" spans="1:23" x14ac:dyDescent="0.35">
      <c r="A580" s="21" t="str">
        <f>IF(COUNTA(B580:H580,J580:S580,U580:V580)=0,"",IF((IF(B580="","PO Ref, ","")&amp;IF(C580="","Vendor, ","")&amp;IF(D580="","Store, ","")&amp;IF(F580="","Product Type, ","")&amp;IF(G580="","Category, ","")&amp;IF(H580="","HSN Code, ","")&amp;IF(Q580="","Qty, ","")&amp;IF(R580="","Purchase Rate, ","")&amp;IF(S580="","MRP, ",""))&lt;&gt;"","Missing: "&amp;LEFT(IF(B580="","PO Ref, ","")&amp;IF(C580="","Vendor, ","")&amp;IF(D580="","Store, ","")&amp;IF(F580="","Product Type, ","")&amp;IF(G580="","Category, ","")&amp;IF(H580="","HSN Code, ","")&amp;IF(Q580="","Qty, ","")&amp;IF(R580="","Purchase Rate, ","")&amp;IF(S580="","MRP, ",""),LEN(IF(B580="","PO Ref, ","")&amp;IF(C580="","Vendor, ","")&amp;IF(D580="","Store, ","")&amp;IF(F580="","Product Type, ","")&amp;IF(G580="","Category, ","")&amp;IF(H580="","HSN Code, ","")&amp;IF(Q580="","Qty, ","")&amp;IF(R580="","Purchase Rate, ","")&amp;IF(S580="","MRP, ",""))-2),IF(COUNTIF(Vendors!$B$3:$B$202,C580)=0,"Add vendor "&amp;C580&amp;" on the Vendors sheet",IF(ISNA(MATCH(H580,Codes!$A$2:$A$13,0)),"Pick the HSN Code from the list",IF(AND(E580&lt;&gt;"",COUNTIFS($C$3:$C$1002,C580,$E$3:$E$1002,E580,$F$3:$F$1002,"&lt;&gt;"&amp;F580)+COUNTIFS($C$3:$C$1002,C580,$E$3:$E$1002,E580,$G$3:$G$1002,"&lt;&gt;"&amp;G580)&gt;0),"Design "&amp;E580&amp;" has another Product Type or Category on another row",IF(COUNTIFS($F$3:$F$1002,F580,$G$3:$G$1002,G580,$H$3:$H$1002,"&lt;&gt;"&amp;H580)&gt;0,F580&amp;" + "&amp;G580&amp;" has another HSN Code on another row",IF(AND(V580&lt;&gt;"",U580=""),"Received Qty needs the Vendor Invoice No",IF(AND(U580&lt;&gt;"",COUNTIFS(Bills!$B$3:$B$302,U580,Bills!$C$3:$C$302,C580)=0),"Add bill "&amp;U580&amp;" of "&amp;C580&amp;" on the Bills sheet",IF(S580&lt;R580,"MRP is below the Purchase Rate","OK")))))))))</f>
        <v/>
      </c>
      <c r="B580" s="29"/>
      <c r="C580" s="22"/>
      <c r="D580" s="22"/>
      <c r="E580" s="24"/>
      <c r="F580" s="22"/>
      <c r="G580" s="22"/>
      <c r="H580" s="22"/>
      <c r="I580" s="30" t="str">
        <f>IF(H580="","",IFERROR(INDEX(Codes!$B$2:$B$13,MATCH(H580,Codes!$A$2:$A$13,0)),""))</f>
        <v/>
      </c>
      <c r="J580" s="23"/>
      <c r="K580" s="23"/>
      <c r="L580" s="23"/>
      <c r="M580" s="23"/>
      <c r="N580" s="23"/>
      <c r="O580" s="23"/>
      <c r="P580" s="23"/>
      <c r="Q580" s="31"/>
      <c r="R580" s="32"/>
      <c r="S580" s="32"/>
      <c r="T580" s="33" t="str">
        <f t="shared" si="18"/>
        <v/>
      </c>
      <c r="U580" s="34"/>
      <c r="V580" s="35"/>
      <c r="W580" s="33" t="str">
        <f t="shared" si="19"/>
        <v/>
      </c>
    </row>
    <row r="581" spans="1:23" x14ac:dyDescent="0.35">
      <c r="A581" s="21" t="str">
        <f>IF(COUNTA(B581:H581,J581:S581,U581:V581)=0,"",IF((IF(B581="","PO Ref, ","")&amp;IF(C581="","Vendor, ","")&amp;IF(D581="","Store, ","")&amp;IF(F581="","Product Type, ","")&amp;IF(G581="","Category, ","")&amp;IF(H581="","HSN Code, ","")&amp;IF(Q581="","Qty, ","")&amp;IF(R581="","Purchase Rate, ","")&amp;IF(S581="","MRP, ",""))&lt;&gt;"","Missing: "&amp;LEFT(IF(B581="","PO Ref, ","")&amp;IF(C581="","Vendor, ","")&amp;IF(D581="","Store, ","")&amp;IF(F581="","Product Type, ","")&amp;IF(G581="","Category, ","")&amp;IF(H581="","HSN Code, ","")&amp;IF(Q581="","Qty, ","")&amp;IF(R581="","Purchase Rate, ","")&amp;IF(S581="","MRP, ",""),LEN(IF(B581="","PO Ref, ","")&amp;IF(C581="","Vendor, ","")&amp;IF(D581="","Store, ","")&amp;IF(F581="","Product Type, ","")&amp;IF(G581="","Category, ","")&amp;IF(H581="","HSN Code, ","")&amp;IF(Q581="","Qty, ","")&amp;IF(R581="","Purchase Rate, ","")&amp;IF(S581="","MRP, ",""))-2),IF(COUNTIF(Vendors!$B$3:$B$202,C581)=0,"Add vendor "&amp;C581&amp;" on the Vendors sheet",IF(ISNA(MATCH(H581,Codes!$A$2:$A$13,0)),"Pick the HSN Code from the list",IF(AND(E581&lt;&gt;"",COUNTIFS($C$3:$C$1002,C581,$E$3:$E$1002,E581,$F$3:$F$1002,"&lt;&gt;"&amp;F581)+COUNTIFS($C$3:$C$1002,C581,$E$3:$E$1002,E581,$G$3:$G$1002,"&lt;&gt;"&amp;G581)&gt;0),"Design "&amp;E581&amp;" has another Product Type or Category on another row",IF(COUNTIFS($F$3:$F$1002,F581,$G$3:$G$1002,G581,$H$3:$H$1002,"&lt;&gt;"&amp;H581)&gt;0,F581&amp;" + "&amp;G581&amp;" has another HSN Code on another row",IF(AND(V581&lt;&gt;"",U581=""),"Received Qty needs the Vendor Invoice No",IF(AND(U581&lt;&gt;"",COUNTIFS(Bills!$B$3:$B$302,U581,Bills!$C$3:$C$302,C581)=0),"Add bill "&amp;U581&amp;" of "&amp;C581&amp;" on the Bills sheet",IF(S581&lt;R581,"MRP is below the Purchase Rate","OK")))))))))</f>
        <v/>
      </c>
      <c r="B581" s="29"/>
      <c r="C581" s="22"/>
      <c r="D581" s="22"/>
      <c r="E581" s="24"/>
      <c r="F581" s="22"/>
      <c r="G581" s="22"/>
      <c r="H581" s="22"/>
      <c r="I581" s="30" t="str">
        <f>IF(H581="","",IFERROR(INDEX(Codes!$B$2:$B$13,MATCH(H581,Codes!$A$2:$A$13,0)),""))</f>
        <v/>
      </c>
      <c r="J581" s="23"/>
      <c r="K581" s="23"/>
      <c r="L581" s="23"/>
      <c r="M581" s="23"/>
      <c r="N581" s="23"/>
      <c r="O581" s="23"/>
      <c r="P581" s="23"/>
      <c r="Q581" s="31"/>
      <c r="R581" s="32"/>
      <c r="S581" s="32"/>
      <c r="T581" s="33" t="str">
        <f t="shared" si="18"/>
        <v/>
      </c>
      <c r="U581" s="34"/>
      <c r="V581" s="35"/>
      <c r="W581" s="33" t="str">
        <f t="shared" si="19"/>
        <v/>
      </c>
    </row>
    <row r="582" spans="1:23" x14ac:dyDescent="0.35">
      <c r="A582" s="21" t="str">
        <f>IF(COUNTA(B582:H582,J582:S582,U582:V582)=0,"",IF((IF(B582="","PO Ref, ","")&amp;IF(C582="","Vendor, ","")&amp;IF(D582="","Store, ","")&amp;IF(F582="","Product Type, ","")&amp;IF(G582="","Category, ","")&amp;IF(H582="","HSN Code, ","")&amp;IF(Q582="","Qty, ","")&amp;IF(R582="","Purchase Rate, ","")&amp;IF(S582="","MRP, ",""))&lt;&gt;"","Missing: "&amp;LEFT(IF(B582="","PO Ref, ","")&amp;IF(C582="","Vendor, ","")&amp;IF(D582="","Store, ","")&amp;IF(F582="","Product Type, ","")&amp;IF(G582="","Category, ","")&amp;IF(H582="","HSN Code, ","")&amp;IF(Q582="","Qty, ","")&amp;IF(R582="","Purchase Rate, ","")&amp;IF(S582="","MRP, ",""),LEN(IF(B582="","PO Ref, ","")&amp;IF(C582="","Vendor, ","")&amp;IF(D582="","Store, ","")&amp;IF(F582="","Product Type, ","")&amp;IF(G582="","Category, ","")&amp;IF(H582="","HSN Code, ","")&amp;IF(Q582="","Qty, ","")&amp;IF(R582="","Purchase Rate, ","")&amp;IF(S582="","MRP, ",""))-2),IF(COUNTIF(Vendors!$B$3:$B$202,C582)=0,"Add vendor "&amp;C582&amp;" on the Vendors sheet",IF(ISNA(MATCH(H582,Codes!$A$2:$A$13,0)),"Pick the HSN Code from the list",IF(AND(E582&lt;&gt;"",COUNTIFS($C$3:$C$1002,C582,$E$3:$E$1002,E582,$F$3:$F$1002,"&lt;&gt;"&amp;F582)+COUNTIFS($C$3:$C$1002,C582,$E$3:$E$1002,E582,$G$3:$G$1002,"&lt;&gt;"&amp;G582)&gt;0),"Design "&amp;E582&amp;" has another Product Type or Category on another row",IF(COUNTIFS($F$3:$F$1002,F582,$G$3:$G$1002,G582,$H$3:$H$1002,"&lt;&gt;"&amp;H582)&gt;0,F582&amp;" + "&amp;G582&amp;" has another HSN Code on another row",IF(AND(V582&lt;&gt;"",U582=""),"Received Qty needs the Vendor Invoice No",IF(AND(U582&lt;&gt;"",COUNTIFS(Bills!$B$3:$B$302,U582,Bills!$C$3:$C$302,C582)=0),"Add bill "&amp;U582&amp;" of "&amp;C582&amp;" on the Bills sheet",IF(S582&lt;R582,"MRP is below the Purchase Rate","OK")))))))))</f>
        <v/>
      </c>
      <c r="B582" s="29"/>
      <c r="C582" s="22"/>
      <c r="D582" s="22"/>
      <c r="E582" s="24"/>
      <c r="F582" s="22"/>
      <c r="G582" s="22"/>
      <c r="H582" s="22"/>
      <c r="I582" s="30" t="str">
        <f>IF(H582="","",IFERROR(INDEX(Codes!$B$2:$B$13,MATCH(H582,Codes!$A$2:$A$13,0)),""))</f>
        <v/>
      </c>
      <c r="J582" s="23"/>
      <c r="K582" s="23"/>
      <c r="L582" s="23"/>
      <c r="M582" s="23"/>
      <c r="N582" s="23"/>
      <c r="O582" s="23"/>
      <c r="P582" s="23"/>
      <c r="Q582" s="31"/>
      <c r="R582" s="32"/>
      <c r="S582" s="32"/>
      <c r="T582" s="33" t="str">
        <f t="shared" si="18"/>
        <v/>
      </c>
      <c r="U582" s="34"/>
      <c r="V582" s="35"/>
      <c r="W582" s="33" t="str">
        <f t="shared" si="19"/>
        <v/>
      </c>
    </row>
    <row r="583" spans="1:23" x14ac:dyDescent="0.35">
      <c r="A583" s="21" t="str">
        <f>IF(COUNTA(B583:H583,J583:S583,U583:V583)=0,"",IF((IF(B583="","PO Ref, ","")&amp;IF(C583="","Vendor, ","")&amp;IF(D583="","Store, ","")&amp;IF(F583="","Product Type, ","")&amp;IF(G583="","Category, ","")&amp;IF(H583="","HSN Code, ","")&amp;IF(Q583="","Qty, ","")&amp;IF(R583="","Purchase Rate, ","")&amp;IF(S583="","MRP, ",""))&lt;&gt;"","Missing: "&amp;LEFT(IF(B583="","PO Ref, ","")&amp;IF(C583="","Vendor, ","")&amp;IF(D583="","Store, ","")&amp;IF(F583="","Product Type, ","")&amp;IF(G583="","Category, ","")&amp;IF(H583="","HSN Code, ","")&amp;IF(Q583="","Qty, ","")&amp;IF(R583="","Purchase Rate, ","")&amp;IF(S583="","MRP, ",""),LEN(IF(B583="","PO Ref, ","")&amp;IF(C583="","Vendor, ","")&amp;IF(D583="","Store, ","")&amp;IF(F583="","Product Type, ","")&amp;IF(G583="","Category, ","")&amp;IF(H583="","HSN Code, ","")&amp;IF(Q583="","Qty, ","")&amp;IF(R583="","Purchase Rate, ","")&amp;IF(S583="","MRP, ",""))-2),IF(COUNTIF(Vendors!$B$3:$B$202,C583)=0,"Add vendor "&amp;C583&amp;" on the Vendors sheet",IF(ISNA(MATCH(H583,Codes!$A$2:$A$13,0)),"Pick the HSN Code from the list",IF(AND(E583&lt;&gt;"",COUNTIFS($C$3:$C$1002,C583,$E$3:$E$1002,E583,$F$3:$F$1002,"&lt;&gt;"&amp;F583)+COUNTIFS($C$3:$C$1002,C583,$E$3:$E$1002,E583,$G$3:$G$1002,"&lt;&gt;"&amp;G583)&gt;0),"Design "&amp;E583&amp;" has another Product Type or Category on another row",IF(COUNTIFS($F$3:$F$1002,F583,$G$3:$G$1002,G583,$H$3:$H$1002,"&lt;&gt;"&amp;H583)&gt;0,F583&amp;" + "&amp;G583&amp;" has another HSN Code on another row",IF(AND(V583&lt;&gt;"",U583=""),"Received Qty needs the Vendor Invoice No",IF(AND(U583&lt;&gt;"",COUNTIFS(Bills!$B$3:$B$302,U583,Bills!$C$3:$C$302,C583)=0),"Add bill "&amp;U583&amp;" of "&amp;C583&amp;" on the Bills sheet",IF(S583&lt;R583,"MRP is below the Purchase Rate","OK")))))))))</f>
        <v/>
      </c>
      <c r="B583" s="29"/>
      <c r="C583" s="22"/>
      <c r="D583" s="22"/>
      <c r="E583" s="24"/>
      <c r="F583" s="22"/>
      <c r="G583" s="22"/>
      <c r="H583" s="22"/>
      <c r="I583" s="30" t="str">
        <f>IF(H583="","",IFERROR(INDEX(Codes!$B$2:$B$13,MATCH(H583,Codes!$A$2:$A$13,0)),""))</f>
        <v/>
      </c>
      <c r="J583" s="23"/>
      <c r="K583" s="23"/>
      <c r="L583" s="23"/>
      <c r="M583" s="23"/>
      <c r="N583" s="23"/>
      <c r="O583" s="23"/>
      <c r="P583" s="23"/>
      <c r="Q583" s="31"/>
      <c r="R583" s="32"/>
      <c r="S583" s="32"/>
      <c r="T583" s="33" t="str">
        <f t="shared" si="18"/>
        <v/>
      </c>
      <c r="U583" s="34"/>
      <c r="V583" s="35"/>
      <c r="W583" s="33" t="str">
        <f t="shared" si="19"/>
        <v/>
      </c>
    </row>
    <row r="584" spans="1:23" x14ac:dyDescent="0.35">
      <c r="A584" s="21" t="str">
        <f>IF(COUNTA(B584:H584,J584:S584,U584:V584)=0,"",IF((IF(B584="","PO Ref, ","")&amp;IF(C584="","Vendor, ","")&amp;IF(D584="","Store, ","")&amp;IF(F584="","Product Type, ","")&amp;IF(G584="","Category, ","")&amp;IF(H584="","HSN Code, ","")&amp;IF(Q584="","Qty, ","")&amp;IF(R584="","Purchase Rate, ","")&amp;IF(S584="","MRP, ",""))&lt;&gt;"","Missing: "&amp;LEFT(IF(B584="","PO Ref, ","")&amp;IF(C584="","Vendor, ","")&amp;IF(D584="","Store, ","")&amp;IF(F584="","Product Type, ","")&amp;IF(G584="","Category, ","")&amp;IF(H584="","HSN Code, ","")&amp;IF(Q584="","Qty, ","")&amp;IF(R584="","Purchase Rate, ","")&amp;IF(S584="","MRP, ",""),LEN(IF(B584="","PO Ref, ","")&amp;IF(C584="","Vendor, ","")&amp;IF(D584="","Store, ","")&amp;IF(F584="","Product Type, ","")&amp;IF(G584="","Category, ","")&amp;IF(H584="","HSN Code, ","")&amp;IF(Q584="","Qty, ","")&amp;IF(R584="","Purchase Rate, ","")&amp;IF(S584="","MRP, ",""))-2),IF(COUNTIF(Vendors!$B$3:$B$202,C584)=0,"Add vendor "&amp;C584&amp;" on the Vendors sheet",IF(ISNA(MATCH(H584,Codes!$A$2:$A$13,0)),"Pick the HSN Code from the list",IF(AND(E584&lt;&gt;"",COUNTIFS($C$3:$C$1002,C584,$E$3:$E$1002,E584,$F$3:$F$1002,"&lt;&gt;"&amp;F584)+COUNTIFS($C$3:$C$1002,C584,$E$3:$E$1002,E584,$G$3:$G$1002,"&lt;&gt;"&amp;G584)&gt;0),"Design "&amp;E584&amp;" has another Product Type or Category on another row",IF(COUNTIFS($F$3:$F$1002,F584,$G$3:$G$1002,G584,$H$3:$H$1002,"&lt;&gt;"&amp;H584)&gt;0,F584&amp;" + "&amp;G584&amp;" has another HSN Code on another row",IF(AND(V584&lt;&gt;"",U584=""),"Received Qty needs the Vendor Invoice No",IF(AND(U584&lt;&gt;"",COUNTIFS(Bills!$B$3:$B$302,U584,Bills!$C$3:$C$302,C584)=0),"Add bill "&amp;U584&amp;" of "&amp;C584&amp;" on the Bills sheet",IF(S584&lt;R584,"MRP is below the Purchase Rate","OK")))))))))</f>
        <v/>
      </c>
      <c r="B584" s="29"/>
      <c r="C584" s="22"/>
      <c r="D584" s="22"/>
      <c r="E584" s="24"/>
      <c r="F584" s="22"/>
      <c r="G584" s="22"/>
      <c r="H584" s="22"/>
      <c r="I584" s="30" t="str">
        <f>IF(H584="","",IFERROR(INDEX(Codes!$B$2:$B$13,MATCH(H584,Codes!$A$2:$A$13,0)),""))</f>
        <v/>
      </c>
      <c r="J584" s="23"/>
      <c r="K584" s="23"/>
      <c r="L584" s="23"/>
      <c r="M584" s="23"/>
      <c r="N584" s="23"/>
      <c r="O584" s="23"/>
      <c r="P584" s="23"/>
      <c r="Q584" s="31"/>
      <c r="R584" s="32"/>
      <c r="S584" s="32"/>
      <c r="T584" s="33" t="str">
        <f t="shared" si="18"/>
        <v/>
      </c>
      <c r="U584" s="34"/>
      <c r="V584" s="35"/>
      <c r="W584" s="33" t="str">
        <f t="shared" si="19"/>
        <v/>
      </c>
    </row>
    <row r="585" spans="1:23" x14ac:dyDescent="0.35">
      <c r="A585" s="21" t="str">
        <f>IF(COUNTA(B585:H585,J585:S585,U585:V585)=0,"",IF((IF(B585="","PO Ref, ","")&amp;IF(C585="","Vendor, ","")&amp;IF(D585="","Store, ","")&amp;IF(F585="","Product Type, ","")&amp;IF(G585="","Category, ","")&amp;IF(H585="","HSN Code, ","")&amp;IF(Q585="","Qty, ","")&amp;IF(R585="","Purchase Rate, ","")&amp;IF(S585="","MRP, ",""))&lt;&gt;"","Missing: "&amp;LEFT(IF(B585="","PO Ref, ","")&amp;IF(C585="","Vendor, ","")&amp;IF(D585="","Store, ","")&amp;IF(F585="","Product Type, ","")&amp;IF(G585="","Category, ","")&amp;IF(H585="","HSN Code, ","")&amp;IF(Q585="","Qty, ","")&amp;IF(R585="","Purchase Rate, ","")&amp;IF(S585="","MRP, ",""),LEN(IF(B585="","PO Ref, ","")&amp;IF(C585="","Vendor, ","")&amp;IF(D585="","Store, ","")&amp;IF(F585="","Product Type, ","")&amp;IF(G585="","Category, ","")&amp;IF(H585="","HSN Code, ","")&amp;IF(Q585="","Qty, ","")&amp;IF(R585="","Purchase Rate, ","")&amp;IF(S585="","MRP, ",""))-2),IF(COUNTIF(Vendors!$B$3:$B$202,C585)=0,"Add vendor "&amp;C585&amp;" on the Vendors sheet",IF(ISNA(MATCH(H585,Codes!$A$2:$A$13,0)),"Pick the HSN Code from the list",IF(AND(E585&lt;&gt;"",COUNTIFS($C$3:$C$1002,C585,$E$3:$E$1002,E585,$F$3:$F$1002,"&lt;&gt;"&amp;F585)+COUNTIFS($C$3:$C$1002,C585,$E$3:$E$1002,E585,$G$3:$G$1002,"&lt;&gt;"&amp;G585)&gt;0),"Design "&amp;E585&amp;" has another Product Type or Category on another row",IF(COUNTIFS($F$3:$F$1002,F585,$G$3:$G$1002,G585,$H$3:$H$1002,"&lt;&gt;"&amp;H585)&gt;0,F585&amp;" + "&amp;G585&amp;" has another HSN Code on another row",IF(AND(V585&lt;&gt;"",U585=""),"Received Qty needs the Vendor Invoice No",IF(AND(U585&lt;&gt;"",COUNTIFS(Bills!$B$3:$B$302,U585,Bills!$C$3:$C$302,C585)=0),"Add bill "&amp;U585&amp;" of "&amp;C585&amp;" on the Bills sheet",IF(S585&lt;R585,"MRP is below the Purchase Rate","OK")))))))))</f>
        <v/>
      </c>
      <c r="B585" s="29"/>
      <c r="C585" s="22"/>
      <c r="D585" s="22"/>
      <c r="E585" s="24"/>
      <c r="F585" s="22"/>
      <c r="G585" s="22"/>
      <c r="H585" s="22"/>
      <c r="I585" s="30" t="str">
        <f>IF(H585="","",IFERROR(INDEX(Codes!$B$2:$B$13,MATCH(H585,Codes!$A$2:$A$13,0)),""))</f>
        <v/>
      </c>
      <c r="J585" s="23"/>
      <c r="K585" s="23"/>
      <c r="L585" s="23"/>
      <c r="M585" s="23"/>
      <c r="N585" s="23"/>
      <c r="O585" s="23"/>
      <c r="P585" s="23"/>
      <c r="Q585" s="31"/>
      <c r="R585" s="32"/>
      <c r="S585" s="32"/>
      <c r="T585" s="33" t="str">
        <f t="shared" si="18"/>
        <v/>
      </c>
      <c r="U585" s="34"/>
      <c r="V585" s="35"/>
      <c r="W585" s="33" t="str">
        <f t="shared" si="19"/>
        <v/>
      </c>
    </row>
    <row r="586" spans="1:23" x14ac:dyDescent="0.35">
      <c r="A586" s="21" t="str">
        <f>IF(COUNTA(B586:H586,J586:S586,U586:V586)=0,"",IF((IF(B586="","PO Ref, ","")&amp;IF(C586="","Vendor, ","")&amp;IF(D586="","Store, ","")&amp;IF(F586="","Product Type, ","")&amp;IF(G586="","Category, ","")&amp;IF(H586="","HSN Code, ","")&amp;IF(Q586="","Qty, ","")&amp;IF(R586="","Purchase Rate, ","")&amp;IF(S586="","MRP, ",""))&lt;&gt;"","Missing: "&amp;LEFT(IF(B586="","PO Ref, ","")&amp;IF(C586="","Vendor, ","")&amp;IF(D586="","Store, ","")&amp;IF(F586="","Product Type, ","")&amp;IF(G586="","Category, ","")&amp;IF(H586="","HSN Code, ","")&amp;IF(Q586="","Qty, ","")&amp;IF(R586="","Purchase Rate, ","")&amp;IF(S586="","MRP, ",""),LEN(IF(B586="","PO Ref, ","")&amp;IF(C586="","Vendor, ","")&amp;IF(D586="","Store, ","")&amp;IF(F586="","Product Type, ","")&amp;IF(G586="","Category, ","")&amp;IF(H586="","HSN Code, ","")&amp;IF(Q586="","Qty, ","")&amp;IF(R586="","Purchase Rate, ","")&amp;IF(S586="","MRP, ",""))-2),IF(COUNTIF(Vendors!$B$3:$B$202,C586)=0,"Add vendor "&amp;C586&amp;" on the Vendors sheet",IF(ISNA(MATCH(H586,Codes!$A$2:$A$13,0)),"Pick the HSN Code from the list",IF(AND(E586&lt;&gt;"",COUNTIFS($C$3:$C$1002,C586,$E$3:$E$1002,E586,$F$3:$F$1002,"&lt;&gt;"&amp;F586)+COUNTIFS($C$3:$C$1002,C586,$E$3:$E$1002,E586,$G$3:$G$1002,"&lt;&gt;"&amp;G586)&gt;0),"Design "&amp;E586&amp;" has another Product Type or Category on another row",IF(COUNTIFS($F$3:$F$1002,F586,$G$3:$G$1002,G586,$H$3:$H$1002,"&lt;&gt;"&amp;H586)&gt;0,F586&amp;" + "&amp;G586&amp;" has another HSN Code on another row",IF(AND(V586&lt;&gt;"",U586=""),"Received Qty needs the Vendor Invoice No",IF(AND(U586&lt;&gt;"",COUNTIFS(Bills!$B$3:$B$302,U586,Bills!$C$3:$C$302,C586)=0),"Add bill "&amp;U586&amp;" of "&amp;C586&amp;" on the Bills sheet",IF(S586&lt;R586,"MRP is below the Purchase Rate","OK")))))))))</f>
        <v/>
      </c>
      <c r="B586" s="29"/>
      <c r="C586" s="22"/>
      <c r="D586" s="22"/>
      <c r="E586" s="24"/>
      <c r="F586" s="22"/>
      <c r="G586" s="22"/>
      <c r="H586" s="22"/>
      <c r="I586" s="30" t="str">
        <f>IF(H586="","",IFERROR(INDEX(Codes!$B$2:$B$13,MATCH(H586,Codes!$A$2:$A$13,0)),""))</f>
        <v/>
      </c>
      <c r="J586" s="23"/>
      <c r="K586" s="23"/>
      <c r="L586" s="23"/>
      <c r="M586" s="23"/>
      <c r="N586" s="23"/>
      <c r="O586" s="23"/>
      <c r="P586" s="23"/>
      <c r="Q586" s="31"/>
      <c r="R586" s="32"/>
      <c r="S586" s="32"/>
      <c r="T586" s="33" t="str">
        <f t="shared" si="18"/>
        <v/>
      </c>
      <c r="U586" s="34"/>
      <c r="V586" s="35"/>
      <c r="W586" s="33" t="str">
        <f t="shared" si="19"/>
        <v/>
      </c>
    </row>
    <row r="587" spans="1:23" x14ac:dyDescent="0.35">
      <c r="A587" s="21" t="str">
        <f>IF(COUNTA(B587:H587,J587:S587,U587:V587)=0,"",IF((IF(B587="","PO Ref, ","")&amp;IF(C587="","Vendor, ","")&amp;IF(D587="","Store, ","")&amp;IF(F587="","Product Type, ","")&amp;IF(G587="","Category, ","")&amp;IF(H587="","HSN Code, ","")&amp;IF(Q587="","Qty, ","")&amp;IF(R587="","Purchase Rate, ","")&amp;IF(S587="","MRP, ",""))&lt;&gt;"","Missing: "&amp;LEFT(IF(B587="","PO Ref, ","")&amp;IF(C587="","Vendor, ","")&amp;IF(D587="","Store, ","")&amp;IF(F587="","Product Type, ","")&amp;IF(G587="","Category, ","")&amp;IF(H587="","HSN Code, ","")&amp;IF(Q587="","Qty, ","")&amp;IF(R587="","Purchase Rate, ","")&amp;IF(S587="","MRP, ",""),LEN(IF(B587="","PO Ref, ","")&amp;IF(C587="","Vendor, ","")&amp;IF(D587="","Store, ","")&amp;IF(F587="","Product Type, ","")&amp;IF(G587="","Category, ","")&amp;IF(H587="","HSN Code, ","")&amp;IF(Q587="","Qty, ","")&amp;IF(R587="","Purchase Rate, ","")&amp;IF(S587="","MRP, ",""))-2),IF(COUNTIF(Vendors!$B$3:$B$202,C587)=0,"Add vendor "&amp;C587&amp;" on the Vendors sheet",IF(ISNA(MATCH(H587,Codes!$A$2:$A$13,0)),"Pick the HSN Code from the list",IF(AND(E587&lt;&gt;"",COUNTIFS($C$3:$C$1002,C587,$E$3:$E$1002,E587,$F$3:$F$1002,"&lt;&gt;"&amp;F587)+COUNTIFS($C$3:$C$1002,C587,$E$3:$E$1002,E587,$G$3:$G$1002,"&lt;&gt;"&amp;G587)&gt;0),"Design "&amp;E587&amp;" has another Product Type or Category on another row",IF(COUNTIFS($F$3:$F$1002,F587,$G$3:$G$1002,G587,$H$3:$H$1002,"&lt;&gt;"&amp;H587)&gt;0,F587&amp;" + "&amp;G587&amp;" has another HSN Code on another row",IF(AND(V587&lt;&gt;"",U587=""),"Received Qty needs the Vendor Invoice No",IF(AND(U587&lt;&gt;"",COUNTIFS(Bills!$B$3:$B$302,U587,Bills!$C$3:$C$302,C587)=0),"Add bill "&amp;U587&amp;" of "&amp;C587&amp;" on the Bills sheet",IF(S587&lt;R587,"MRP is below the Purchase Rate","OK")))))))))</f>
        <v/>
      </c>
      <c r="B587" s="29"/>
      <c r="C587" s="22"/>
      <c r="D587" s="22"/>
      <c r="E587" s="24"/>
      <c r="F587" s="22"/>
      <c r="G587" s="22"/>
      <c r="H587" s="22"/>
      <c r="I587" s="30" t="str">
        <f>IF(H587="","",IFERROR(INDEX(Codes!$B$2:$B$13,MATCH(H587,Codes!$A$2:$A$13,0)),""))</f>
        <v/>
      </c>
      <c r="J587" s="23"/>
      <c r="K587" s="23"/>
      <c r="L587" s="23"/>
      <c r="M587" s="23"/>
      <c r="N587" s="23"/>
      <c r="O587" s="23"/>
      <c r="P587" s="23"/>
      <c r="Q587" s="31"/>
      <c r="R587" s="32"/>
      <c r="S587" s="32"/>
      <c r="T587" s="33" t="str">
        <f t="shared" si="18"/>
        <v/>
      </c>
      <c r="U587" s="34"/>
      <c r="V587" s="35"/>
      <c r="W587" s="33" t="str">
        <f t="shared" si="19"/>
        <v/>
      </c>
    </row>
    <row r="588" spans="1:23" x14ac:dyDescent="0.35">
      <c r="A588" s="21" t="str">
        <f>IF(COUNTA(B588:H588,J588:S588,U588:V588)=0,"",IF((IF(B588="","PO Ref, ","")&amp;IF(C588="","Vendor, ","")&amp;IF(D588="","Store, ","")&amp;IF(F588="","Product Type, ","")&amp;IF(G588="","Category, ","")&amp;IF(H588="","HSN Code, ","")&amp;IF(Q588="","Qty, ","")&amp;IF(R588="","Purchase Rate, ","")&amp;IF(S588="","MRP, ",""))&lt;&gt;"","Missing: "&amp;LEFT(IF(B588="","PO Ref, ","")&amp;IF(C588="","Vendor, ","")&amp;IF(D588="","Store, ","")&amp;IF(F588="","Product Type, ","")&amp;IF(G588="","Category, ","")&amp;IF(H588="","HSN Code, ","")&amp;IF(Q588="","Qty, ","")&amp;IF(R588="","Purchase Rate, ","")&amp;IF(S588="","MRP, ",""),LEN(IF(B588="","PO Ref, ","")&amp;IF(C588="","Vendor, ","")&amp;IF(D588="","Store, ","")&amp;IF(F588="","Product Type, ","")&amp;IF(G588="","Category, ","")&amp;IF(H588="","HSN Code, ","")&amp;IF(Q588="","Qty, ","")&amp;IF(R588="","Purchase Rate, ","")&amp;IF(S588="","MRP, ",""))-2),IF(COUNTIF(Vendors!$B$3:$B$202,C588)=0,"Add vendor "&amp;C588&amp;" on the Vendors sheet",IF(ISNA(MATCH(H588,Codes!$A$2:$A$13,0)),"Pick the HSN Code from the list",IF(AND(E588&lt;&gt;"",COUNTIFS($C$3:$C$1002,C588,$E$3:$E$1002,E588,$F$3:$F$1002,"&lt;&gt;"&amp;F588)+COUNTIFS($C$3:$C$1002,C588,$E$3:$E$1002,E588,$G$3:$G$1002,"&lt;&gt;"&amp;G588)&gt;0),"Design "&amp;E588&amp;" has another Product Type or Category on another row",IF(COUNTIFS($F$3:$F$1002,F588,$G$3:$G$1002,G588,$H$3:$H$1002,"&lt;&gt;"&amp;H588)&gt;0,F588&amp;" + "&amp;G588&amp;" has another HSN Code on another row",IF(AND(V588&lt;&gt;"",U588=""),"Received Qty needs the Vendor Invoice No",IF(AND(U588&lt;&gt;"",COUNTIFS(Bills!$B$3:$B$302,U588,Bills!$C$3:$C$302,C588)=0),"Add bill "&amp;U588&amp;" of "&amp;C588&amp;" on the Bills sheet",IF(S588&lt;R588,"MRP is below the Purchase Rate","OK")))))))))</f>
        <v/>
      </c>
      <c r="B588" s="29"/>
      <c r="C588" s="22"/>
      <c r="D588" s="22"/>
      <c r="E588" s="24"/>
      <c r="F588" s="22"/>
      <c r="G588" s="22"/>
      <c r="H588" s="22"/>
      <c r="I588" s="30" t="str">
        <f>IF(H588="","",IFERROR(INDEX(Codes!$B$2:$B$13,MATCH(H588,Codes!$A$2:$A$13,0)),""))</f>
        <v/>
      </c>
      <c r="J588" s="23"/>
      <c r="K588" s="23"/>
      <c r="L588" s="23"/>
      <c r="M588" s="23"/>
      <c r="N588" s="23"/>
      <c r="O588" s="23"/>
      <c r="P588" s="23"/>
      <c r="Q588" s="31"/>
      <c r="R588" s="32"/>
      <c r="S588" s="32"/>
      <c r="T588" s="33" t="str">
        <f t="shared" si="18"/>
        <v/>
      </c>
      <c r="U588" s="34"/>
      <c r="V588" s="35"/>
      <c r="W588" s="33" t="str">
        <f t="shared" si="19"/>
        <v/>
      </c>
    </row>
    <row r="589" spans="1:23" x14ac:dyDescent="0.35">
      <c r="A589" s="21" t="str">
        <f>IF(COUNTA(B589:H589,J589:S589,U589:V589)=0,"",IF((IF(B589="","PO Ref, ","")&amp;IF(C589="","Vendor, ","")&amp;IF(D589="","Store, ","")&amp;IF(F589="","Product Type, ","")&amp;IF(G589="","Category, ","")&amp;IF(H589="","HSN Code, ","")&amp;IF(Q589="","Qty, ","")&amp;IF(R589="","Purchase Rate, ","")&amp;IF(S589="","MRP, ",""))&lt;&gt;"","Missing: "&amp;LEFT(IF(B589="","PO Ref, ","")&amp;IF(C589="","Vendor, ","")&amp;IF(D589="","Store, ","")&amp;IF(F589="","Product Type, ","")&amp;IF(G589="","Category, ","")&amp;IF(H589="","HSN Code, ","")&amp;IF(Q589="","Qty, ","")&amp;IF(R589="","Purchase Rate, ","")&amp;IF(S589="","MRP, ",""),LEN(IF(B589="","PO Ref, ","")&amp;IF(C589="","Vendor, ","")&amp;IF(D589="","Store, ","")&amp;IF(F589="","Product Type, ","")&amp;IF(G589="","Category, ","")&amp;IF(H589="","HSN Code, ","")&amp;IF(Q589="","Qty, ","")&amp;IF(R589="","Purchase Rate, ","")&amp;IF(S589="","MRP, ",""))-2),IF(COUNTIF(Vendors!$B$3:$B$202,C589)=0,"Add vendor "&amp;C589&amp;" on the Vendors sheet",IF(ISNA(MATCH(H589,Codes!$A$2:$A$13,0)),"Pick the HSN Code from the list",IF(AND(E589&lt;&gt;"",COUNTIFS($C$3:$C$1002,C589,$E$3:$E$1002,E589,$F$3:$F$1002,"&lt;&gt;"&amp;F589)+COUNTIFS($C$3:$C$1002,C589,$E$3:$E$1002,E589,$G$3:$G$1002,"&lt;&gt;"&amp;G589)&gt;0),"Design "&amp;E589&amp;" has another Product Type or Category on another row",IF(COUNTIFS($F$3:$F$1002,F589,$G$3:$G$1002,G589,$H$3:$H$1002,"&lt;&gt;"&amp;H589)&gt;0,F589&amp;" + "&amp;G589&amp;" has another HSN Code on another row",IF(AND(V589&lt;&gt;"",U589=""),"Received Qty needs the Vendor Invoice No",IF(AND(U589&lt;&gt;"",COUNTIFS(Bills!$B$3:$B$302,U589,Bills!$C$3:$C$302,C589)=0),"Add bill "&amp;U589&amp;" of "&amp;C589&amp;" on the Bills sheet",IF(S589&lt;R589,"MRP is below the Purchase Rate","OK")))))))))</f>
        <v/>
      </c>
      <c r="B589" s="29"/>
      <c r="C589" s="22"/>
      <c r="D589" s="22"/>
      <c r="E589" s="24"/>
      <c r="F589" s="22"/>
      <c r="G589" s="22"/>
      <c r="H589" s="22"/>
      <c r="I589" s="30" t="str">
        <f>IF(H589="","",IFERROR(INDEX(Codes!$B$2:$B$13,MATCH(H589,Codes!$A$2:$A$13,0)),""))</f>
        <v/>
      </c>
      <c r="J589" s="23"/>
      <c r="K589" s="23"/>
      <c r="L589" s="23"/>
      <c r="M589" s="23"/>
      <c r="N589" s="23"/>
      <c r="O589" s="23"/>
      <c r="P589" s="23"/>
      <c r="Q589" s="31"/>
      <c r="R589" s="32"/>
      <c r="S589" s="32"/>
      <c r="T589" s="33" t="str">
        <f t="shared" si="18"/>
        <v/>
      </c>
      <c r="U589" s="34"/>
      <c r="V589" s="35"/>
      <c r="W589" s="33" t="str">
        <f t="shared" si="19"/>
        <v/>
      </c>
    </row>
    <row r="590" spans="1:23" x14ac:dyDescent="0.35">
      <c r="A590" s="21" t="str">
        <f>IF(COUNTA(B590:H590,J590:S590,U590:V590)=0,"",IF((IF(B590="","PO Ref, ","")&amp;IF(C590="","Vendor, ","")&amp;IF(D590="","Store, ","")&amp;IF(F590="","Product Type, ","")&amp;IF(G590="","Category, ","")&amp;IF(H590="","HSN Code, ","")&amp;IF(Q590="","Qty, ","")&amp;IF(R590="","Purchase Rate, ","")&amp;IF(S590="","MRP, ",""))&lt;&gt;"","Missing: "&amp;LEFT(IF(B590="","PO Ref, ","")&amp;IF(C590="","Vendor, ","")&amp;IF(D590="","Store, ","")&amp;IF(F590="","Product Type, ","")&amp;IF(G590="","Category, ","")&amp;IF(H590="","HSN Code, ","")&amp;IF(Q590="","Qty, ","")&amp;IF(R590="","Purchase Rate, ","")&amp;IF(S590="","MRP, ",""),LEN(IF(B590="","PO Ref, ","")&amp;IF(C590="","Vendor, ","")&amp;IF(D590="","Store, ","")&amp;IF(F590="","Product Type, ","")&amp;IF(G590="","Category, ","")&amp;IF(H590="","HSN Code, ","")&amp;IF(Q590="","Qty, ","")&amp;IF(R590="","Purchase Rate, ","")&amp;IF(S590="","MRP, ",""))-2),IF(COUNTIF(Vendors!$B$3:$B$202,C590)=0,"Add vendor "&amp;C590&amp;" on the Vendors sheet",IF(ISNA(MATCH(H590,Codes!$A$2:$A$13,0)),"Pick the HSN Code from the list",IF(AND(E590&lt;&gt;"",COUNTIFS($C$3:$C$1002,C590,$E$3:$E$1002,E590,$F$3:$F$1002,"&lt;&gt;"&amp;F590)+COUNTIFS($C$3:$C$1002,C590,$E$3:$E$1002,E590,$G$3:$G$1002,"&lt;&gt;"&amp;G590)&gt;0),"Design "&amp;E590&amp;" has another Product Type or Category on another row",IF(COUNTIFS($F$3:$F$1002,F590,$G$3:$G$1002,G590,$H$3:$H$1002,"&lt;&gt;"&amp;H590)&gt;0,F590&amp;" + "&amp;G590&amp;" has another HSN Code on another row",IF(AND(V590&lt;&gt;"",U590=""),"Received Qty needs the Vendor Invoice No",IF(AND(U590&lt;&gt;"",COUNTIFS(Bills!$B$3:$B$302,U590,Bills!$C$3:$C$302,C590)=0),"Add bill "&amp;U590&amp;" of "&amp;C590&amp;" on the Bills sheet",IF(S590&lt;R590,"MRP is below the Purchase Rate","OK")))))))))</f>
        <v/>
      </c>
      <c r="B590" s="29"/>
      <c r="C590" s="22"/>
      <c r="D590" s="22"/>
      <c r="E590" s="24"/>
      <c r="F590" s="22"/>
      <c r="G590" s="22"/>
      <c r="H590" s="22"/>
      <c r="I590" s="30" t="str">
        <f>IF(H590="","",IFERROR(INDEX(Codes!$B$2:$B$13,MATCH(H590,Codes!$A$2:$A$13,0)),""))</f>
        <v/>
      </c>
      <c r="J590" s="23"/>
      <c r="K590" s="23"/>
      <c r="L590" s="23"/>
      <c r="M590" s="23"/>
      <c r="N590" s="23"/>
      <c r="O590" s="23"/>
      <c r="P590" s="23"/>
      <c r="Q590" s="31"/>
      <c r="R590" s="32"/>
      <c r="S590" s="32"/>
      <c r="T590" s="33" t="str">
        <f t="shared" si="18"/>
        <v/>
      </c>
      <c r="U590" s="34"/>
      <c r="V590" s="35"/>
      <c r="W590" s="33" t="str">
        <f t="shared" si="19"/>
        <v/>
      </c>
    </row>
    <row r="591" spans="1:23" x14ac:dyDescent="0.35">
      <c r="A591" s="21" t="str">
        <f>IF(COUNTA(B591:H591,J591:S591,U591:V591)=0,"",IF((IF(B591="","PO Ref, ","")&amp;IF(C591="","Vendor, ","")&amp;IF(D591="","Store, ","")&amp;IF(F591="","Product Type, ","")&amp;IF(G591="","Category, ","")&amp;IF(H591="","HSN Code, ","")&amp;IF(Q591="","Qty, ","")&amp;IF(R591="","Purchase Rate, ","")&amp;IF(S591="","MRP, ",""))&lt;&gt;"","Missing: "&amp;LEFT(IF(B591="","PO Ref, ","")&amp;IF(C591="","Vendor, ","")&amp;IF(D591="","Store, ","")&amp;IF(F591="","Product Type, ","")&amp;IF(G591="","Category, ","")&amp;IF(H591="","HSN Code, ","")&amp;IF(Q591="","Qty, ","")&amp;IF(R591="","Purchase Rate, ","")&amp;IF(S591="","MRP, ",""),LEN(IF(B591="","PO Ref, ","")&amp;IF(C591="","Vendor, ","")&amp;IF(D591="","Store, ","")&amp;IF(F591="","Product Type, ","")&amp;IF(G591="","Category, ","")&amp;IF(H591="","HSN Code, ","")&amp;IF(Q591="","Qty, ","")&amp;IF(R591="","Purchase Rate, ","")&amp;IF(S591="","MRP, ",""))-2),IF(COUNTIF(Vendors!$B$3:$B$202,C591)=0,"Add vendor "&amp;C591&amp;" on the Vendors sheet",IF(ISNA(MATCH(H591,Codes!$A$2:$A$13,0)),"Pick the HSN Code from the list",IF(AND(E591&lt;&gt;"",COUNTIFS($C$3:$C$1002,C591,$E$3:$E$1002,E591,$F$3:$F$1002,"&lt;&gt;"&amp;F591)+COUNTIFS($C$3:$C$1002,C591,$E$3:$E$1002,E591,$G$3:$G$1002,"&lt;&gt;"&amp;G591)&gt;0),"Design "&amp;E591&amp;" has another Product Type or Category on another row",IF(COUNTIFS($F$3:$F$1002,F591,$G$3:$G$1002,G591,$H$3:$H$1002,"&lt;&gt;"&amp;H591)&gt;0,F591&amp;" + "&amp;G591&amp;" has another HSN Code on another row",IF(AND(V591&lt;&gt;"",U591=""),"Received Qty needs the Vendor Invoice No",IF(AND(U591&lt;&gt;"",COUNTIFS(Bills!$B$3:$B$302,U591,Bills!$C$3:$C$302,C591)=0),"Add bill "&amp;U591&amp;" of "&amp;C591&amp;" on the Bills sheet",IF(S591&lt;R591,"MRP is below the Purchase Rate","OK")))))))))</f>
        <v/>
      </c>
      <c r="B591" s="29"/>
      <c r="C591" s="22"/>
      <c r="D591" s="22"/>
      <c r="E591" s="24"/>
      <c r="F591" s="22"/>
      <c r="G591" s="22"/>
      <c r="H591" s="22"/>
      <c r="I591" s="30" t="str">
        <f>IF(H591="","",IFERROR(INDEX(Codes!$B$2:$B$13,MATCH(H591,Codes!$A$2:$A$13,0)),""))</f>
        <v/>
      </c>
      <c r="J591" s="23"/>
      <c r="K591" s="23"/>
      <c r="L591" s="23"/>
      <c r="M591" s="23"/>
      <c r="N591" s="23"/>
      <c r="O591" s="23"/>
      <c r="P591" s="23"/>
      <c r="Q591" s="31"/>
      <c r="R591" s="32"/>
      <c r="S591" s="32"/>
      <c r="T591" s="33" t="str">
        <f t="shared" si="18"/>
        <v/>
      </c>
      <c r="U591" s="34"/>
      <c r="V591" s="35"/>
      <c r="W591" s="33" t="str">
        <f t="shared" si="19"/>
        <v/>
      </c>
    </row>
    <row r="592" spans="1:23" x14ac:dyDescent="0.35">
      <c r="A592" s="21" t="str">
        <f>IF(COUNTA(B592:H592,J592:S592,U592:V592)=0,"",IF((IF(B592="","PO Ref, ","")&amp;IF(C592="","Vendor, ","")&amp;IF(D592="","Store, ","")&amp;IF(F592="","Product Type, ","")&amp;IF(G592="","Category, ","")&amp;IF(H592="","HSN Code, ","")&amp;IF(Q592="","Qty, ","")&amp;IF(R592="","Purchase Rate, ","")&amp;IF(S592="","MRP, ",""))&lt;&gt;"","Missing: "&amp;LEFT(IF(B592="","PO Ref, ","")&amp;IF(C592="","Vendor, ","")&amp;IF(D592="","Store, ","")&amp;IF(F592="","Product Type, ","")&amp;IF(G592="","Category, ","")&amp;IF(H592="","HSN Code, ","")&amp;IF(Q592="","Qty, ","")&amp;IF(R592="","Purchase Rate, ","")&amp;IF(S592="","MRP, ",""),LEN(IF(B592="","PO Ref, ","")&amp;IF(C592="","Vendor, ","")&amp;IF(D592="","Store, ","")&amp;IF(F592="","Product Type, ","")&amp;IF(G592="","Category, ","")&amp;IF(H592="","HSN Code, ","")&amp;IF(Q592="","Qty, ","")&amp;IF(R592="","Purchase Rate, ","")&amp;IF(S592="","MRP, ",""))-2),IF(COUNTIF(Vendors!$B$3:$B$202,C592)=0,"Add vendor "&amp;C592&amp;" on the Vendors sheet",IF(ISNA(MATCH(H592,Codes!$A$2:$A$13,0)),"Pick the HSN Code from the list",IF(AND(E592&lt;&gt;"",COUNTIFS($C$3:$C$1002,C592,$E$3:$E$1002,E592,$F$3:$F$1002,"&lt;&gt;"&amp;F592)+COUNTIFS($C$3:$C$1002,C592,$E$3:$E$1002,E592,$G$3:$G$1002,"&lt;&gt;"&amp;G592)&gt;0),"Design "&amp;E592&amp;" has another Product Type or Category on another row",IF(COUNTIFS($F$3:$F$1002,F592,$G$3:$G$1002,G592,$H$3:$H$1002,"&lt;&gt;"&amp;H592)&gt;0,F592&amp;" + "&amp;G592&amp;" has another HSN Code on another row",IF(AND(V592&lt;&gt;"",U592=""),"Received Qty needs the Vendor Invoice No",IF(AND(U592&lt;&gt;"",COUNTIFS(Bills!$B$3:$B$302,U592,Bills!$C$3:$C$302,C592)=0),"Add bill "&amp;U592&amp;" of "&amp;C592&amp;" on the Bills sheet",IF(S592&lt;R592,"MRP is below the Purchase Rate","OK")))))))))</f>
        <v/>
      </c>
      <c r="B592" s="29"/>
      <c r="C592" s="22"/>
      <c r="D592" s="22"/>
      <c r="E592" s="24"/>
      <c r="F592" s="22"/>
      <c r="G592" s="22"/>
      <c r="H592" s="22"/>
      <c r="I592" s="30" t="str">
        <f>IF(H592="","",IFERROR(INDEX(Codes!$B$2:$B$13,MATCH(H592,Codes!$A$2:$A$13,0)),""))</f>
        <v/>
      </c>
      <c r="J592" s="23"/>
      <c r="K592" s="23"/>
      <c r="L592" s="23"/>
      <c r="M592" s="23"/>
      <c r="N592" s="23"/>
      <c r="O592" s="23"/>
      <c r="P592" s="23"/>
      <c r="Q592" s="31"/>
      <c r="R592" s="32"/>
      <c r="S592" s="32"/>
      <c r="T592" s="33" t="str">
        <f t="shared" si="18"/>
        <v/>
      </c>
      <c r="U592" s="34"/>
      <c r="V592" s="35"/>
      <c r="W592" s="33" t="str">
        <f t="shared" si="19"/>
        <v/>
      </c>
    </row>
    <row r="593" spans="1:23" x14ac:dyDescent="0.35">
      <c r="A593" s="21" t="str">
        <f>IF(COUNTA(B593:H593,J593:S593,U593:V593)=0,"",IF((IF(B593="","PO Ref, ","")&amp;IF(C593="","Vendor, ","")&amp;IF(D593="","Store, ","")&amp;IF(F593="","Product Type, ","")&amp;IF(G593="","Category, ","")&amp;IF(H593="","HSN Code, ","")&amp;IF(Q593="","Qty, ","")&amp;IF(R593="","Purchase Rate, ","")&amp;IF(S593="","MRP, ",""))&lt;&gt;"","Missing: "&amp;LEFT(IF(B593="","PO Ref, ","")&amp;IF(C593="","Vendor, ","")&amp;IF(D593="","Store, ","")&amp;IF(F593="","Product Type, ","")&amp;IF(G593="","Category, ","")&amp;IF(H593="","HSN Code, ","")&amp;IF(Q593="","Qty, ","")&amp;IF(R593="","Purchase Rate, ","")&amp;IF(S593="","MRP, ",""),LEN(IF(B593="","PO Ref, ","")&amp;IF(C593="","Vendor, ","")&amp;IF(D593="","Store, ","")&amp;IF(F593="","Product Type, ","")&amp;IF(G593="","Category, ","")&amp;IF(H593="","HSN Code, ","")&amp;IF(Q593="","Qty, ","")&amp;IF(R593="","Purchase Rate, ","")&amp;IF(S593="","MRP, ",""))-2),IF(COUNTIF(Vendors!$B$3:$B$202,C593)=0,"Add vendor "&amp;C593&amp;" on the Vendors sheet",IF(ISNA(MATCH(H593,Codes!$A$2:$A$13,0)),"Pick the HSN Code from the list",IF(AND(E593&lt;&gt;"",COUNTIFS($C$3:$C$1002,C593,$E$3:$E$1002,E593,$F$3:$F$1002,"&lt;&gt;"&amp;F593)+COUNTIFS($C$3:$C$1002,C593,$E$3:$E$1002,E593,$G$3:$G$1002,"&lt;&gt;"&amp;G593)&gt;0),"Design "&amp;E593&amp;" has another Product Type or Category on another row",IF(COUNTIFS($F$3:$F$1002,F593,$G$3:$G$1002,G593,$H$3:$H$1002,"&lt;&gt;"&amp;H593)&gt;0,F593&amp;" + "&amp;G593&amp;" has another HSN Code on another row",IF(AND(V593&lt;&gt;"",U593=""),"Received Qty needs the Vendor Invoice No",IF(AND(U593&lt;&gt;"",COUNTIFS(Bills!$B$3:$B$302,U593,Bills!$C$3:$C$302,C593)=0),"Add bill "&amp;U593&amp;" of "&amp;C593&amp;" on the Bills sheet",IF(S593&lt;R593,"MRP is below the Purchase Rate","OK")))))))))</f>
        <v/>
      </c>
      <c r="B593" s="29"/>
      <c r="C593" s="22"/>
      <c r="D593" s="22"/>
      <c r="E593" s="24"/>
      <c r="F593" s="22"/>
      <c r="G593" s="22"/>
      <c r="H593" s="22"/>
      <c r="I593" s="30" t="str">
        <f>IF(H593="","",IFERROR(INDEX(Codes!$B$2:$B$13,MATCH(H593,Codes!$A$2:$A$13,0)),""))</f>
        <v/>
      </c>
      <c r="J593" s="23"/>
      <c r="K593" s="23"/>
      <c r="L593" s="23"/>
      <c r="M593" s="23"/>
      <c r="N593" s="23"/>
      <c r="O593" s="23"/>
      <c r="P593" s="23"/>
      <c r="Q593" s="31"/>
      <c r="R593" s="32"/>
      <c r="S593" s="32"/>
      <c r="T593" s="33" t="str">
        <f t="shared" si="18"/>
        <v/>
      </c>
      <c r="U593" s="34"/>
      <c r="V593" s="35"/>
      <c r="W593" s="33" t="str">
        <f t="shared" si="19"/>
        <v/>
      </c>
    </row>
    <row r="594" spans="1:23" x14ac:dyDescent="0.35">
      <c r="A594" s="21" t="str">
        <f>IF(COUNTA(B594:H594,J594:S594,U594:V594)=0,"",IF((IF(B594="","PO Ref, ","")&amp;IF(C594="","Vendor, ","")&amp;IF(D594="","Store, ","")&amp;IF(F594="","Product Type, ","")&amp;IF(G594="","Category, ","")&amp;IF(H594="","HSN Code, ","")&amp;IF(Q594="","Qty, ","")&amp;IF(R594="","Purchase Rate, ","")&amp;IF(S594="","MRP, ",""))&lt;&gt;"","Missing: "&amp;LEFT(IF(B594="","PO Ref, ","")&amp;IF(C594="","Vendor, ","")&amp;IF(D594="","Store, ","")&amp;IF(F594="","Product Type, ","")&amp;IF(G594="","Category, ","")&amp;IF(H594="","HSN Code, ","")&amp;IF(Q594="","Qty, ","")&amp;IF(R594="","Purchase Rate, ","")&amp;IF(S594="","MRP, ",""),LEN(IF(B594="","PO Ref, ","")&amp;IF(C594="","Vendor, ","")&amp;IF(D594="","Store, ","")&amp;IF(F594="","Product Type, ","")&amp;IF(G594="","Category, ","")&amp;IF(H594="","HSN Code, ","")&amp;IF(Q594="","Qty, ","")&amp;IF(R594="","Purchase Rate, ","")&amp;IF(S594="","MRP, ",""))-2),IF(COUNTIF(Vendors!$B$3:$B$202,C594)=0,"Add vendor "&amp;C594&amp;" on the Vendors sheet",IF(ISNA(MATCH(H594,Codes!$A$2:$A$13,0)),"Pick the HSN Code from the list",IF(AND(E594&lt;&gt;"",COUNTIFS($C$3:$C$1002,C594,$E$3:$E$1002,E594,$F$3:$F$1002,"&lt;&gt;"&amp;F594)+COUNTIFS($C$3:$C$1002,C594,$E$3:$E$1002,E594,$G$3:$G$1002,"&lt;&gt;"&amp;G594)&gt;0),"Design "&amp;E594&amp;" has another Product Type or Category on another row",IF(COUNTIFS($F$3:$F$1002,F594,$G$3:$G$1002,G594,$H$3:$H$1002,"&lt;&gt;"&amp;H594)&gt;0,F594&amp;" + "&amp;G594&amp;" has another HSN Code on another row",IF(AND(V594&lt;&gt;"",U594=""),"Received Qty needs the Vendor Invoice No",IF(AND(U594&lt;&gt;"",COUNTIFS(Bills!$B$3:$B$302,U594,Bills!$C$3:$C$302,C594)=0),"Add bill "&amp;U594&amp;" of "&amp;C594&amp;" on the Bills sheet",IF(S594&lt;R594,"MRP is below the Purchase Rate","OK")))))))))</f>
        <v/>
      </c>
      <c r="B594" s="29"/>
      <c r="C594" s="22"/>
      <c r="D594" s="22"/>
      <c r="E594" s="24"/>
      <c r="F594" s="22"/>
      <c r="G594" s="22"/>
      <c r="H594" s="22"/>
      <c r="I594" s="30" t="str">
        <f>IF(H594="","",IFERROR(INDEX(Codes!$B$2:$B$13,MATCH(H594,Codes!$A$2:$A$13,0)),""))</f>
        <v/>
      </c>
      <c r="J594" s="23"/>
      <c r="K594" s="23"/>
      <c r="L594" s="23"/>
      <c r="M594" s="23"/>
      <c r="N594" s="23"/>
      <c r="O594" s="23"/>
      <c r="P594" s="23"/>
      <c r="Q594" s="31"/>
      <c r="R594" s="32"/>
      <c r="S594" s="32"/>
      <c r="T594" s="33" t="str">
        <f t="shared" si="18"/>
        <v/>
      </c>
      <c r="U594" s="34"/>
      <c r="V594" s="35"/>
      <c r="W594" s="33" t="str">
        <f t="shared" si="19"/>
        <v/>
      </c>
    </row>
    <row r="595" spans="1:23" x14ac:dyDescent="0.35">
      <c r="A595" s="21" t="str">
        <f>IF(COUNTA(B595:H595,J595:S595,U595:V595)=0,"",IF((IF(B595="","PO Ref, ","")&amp;IF(C595="","Vendor, ","")&amp;IF(D595="","Store, ","")&amp;IF(F595="","Product Type, ","")&amp;IF(G595="","Category, ","")&amp;IF(H595="","HSN Code, ","")&amp;IF(Q595="","Qty, ","")&amp;IF(R595="","Purchase Rate, ","")&amp;IF(S595="","MRP, ",""))&lt;&gt;"","Missing: "&amp;LEFT(IF(B595="","PO Ref, ","")&amp;IF(C595="","Vendor, ","")&amp;IF(D595="","Store, ","")&amp;IF(F595="","Product Type, ","")&amp;IF(G595="","Category, ","")&amp;IF(H595="","HSN Code, ","")&amp;IF(Q595="","Qty, ","")&amp;IF(R595="","Purchase Rate, ","")&amp;IF(S595="","MRP, ",""),LEN(IF(B595="","PO Ref, ","")&amp;IF(C595="","Vendor, ","")&amp;IF(D595="","Store, ","")&amp;IF(F595="","Product Type, ","")&amp;IF(G595="","Category, ","")&amp;IF(H595="","HSN Code, ","")&amp;IF(Q595="","Qty, ","")&amp;IF(R595="","Purchase Rate, ","")&amp;IF(S595="","MRP, ",""))-2),IF(COUNTIF(Vendors!$B$3:$B$202,C595)=0,"Add vendor "&amp;C595&amp;" on the Vendors sheet",IF(ISNA(MATCH(H595,Codes!$A$2:$A$13,0)),"Pick the HSN Code from the list",IF(AND(E595&lt;&gt;"",COUNTIFS($C$3:$C$1002,C595,$E$3:$E$1002,E595,$F$3:$F$1002,"&lt;&gt;"&amp;F595)+COUNTIFS($C$3:$C$1002,C595,$E$3:$E$1002,E595,$G$3:$G$1002,"&lt;&gt;"&amp;G595)&gt;0),"Design "&amp;E595&amp;" has another Product Type or Category on another row",IF(COUNTIFS($F$3:$F$1002,F595,$G$3:$G$1002,G595,$H$3:$H$1002,"&lt;&gt;"&amp;H595)&gt;0,F595&amp;" + "&amp;G595&amp;" has another HSN Code on another row",IF(AND(V595&lt;&gt;"",U595=""),"Received Qty needs the Vendor Invoice No",IF(AND(U595&lt;&gt;"",COUNTIFS(Bills!$B$3:$B$302,U595,Bills!$C$3:$C$302,C595)=0),"Add bill "&amp;U595&amp;" of "&amp;C595&amp;" on the Bills sheet",IF(S595&lt;R595,"MRP is below the Purchase Rate","OK")))))))))</f>
        <v/>
      </c>
      <c r="B595" s="29"/>
      <c r="C595" s="22"/>
      <c r="D595" s="22"/>
      <c r="E595" s="24"/>
      <c r="F595" s="22"/>
      <c r="G595" s="22"/>
      <c r="H595" s="22"/>
      <c r="I595" s="30" t="str">
        <f>IF(H595="","",IFERROR(INDEX(Codes!$B$2:$B$13,MATCH(H595,Codes!$A$2:$A$13,0)),""))</f>
        <v/>
      </c>
      <c r="J595" s="23"/>
      <c r="K595" s="23"/>
      <c r="L595" s="23"/>
      <c r="M595" s="23"/>
      <c r="N595" s="23"/>
      <c r="O595" s="23"/>
      <c r="P595" s="23"/>
      <c r="Q595" s="31"/>
      <c r="R595" s="32"/>
      <c r="S595" s="32"/>
      <c r="T595" s="33" t="str">
        <f t="shared" si="18"/>
        <v/>
      </c>
      <c r="U595" s="34"/>
      <c r="V595" s="35"/>
      <c r="W595" s="33" t="str">
        <f t="shared" si="19"/>
        <v/>
      </c>
    </row>
    <row r="596" spans="1:23" x14ac:dyDescent="0.35">
      <c r="A596" s="21" t="str">
        <f>IF(COUNTA(B596:H596,J596:S596,U596:V596)=0,"",IF((IF(B596="","PO Ref, ","")&amp;IF(C596="","Vendor, ","")&amp;IF(D596="","Store, ","")&amp;IF(F596="","Product Type, ","")&amp;IF(G596="","Category, ","")&amp;IF(H596="","HSN Code, ","")&amp;IF(Q596="","Qty, ","")&amp;IF(R596="","Purchase Rate, ","")&amp;IF(S596="","MRP, ",""))&lt;&gt;"","Missing: "&amp;LEFT(IF(B596="","PO Ref, ","")&amp;IF(C596="","Vendor, ","")&amp;IF(D596="","Store, ","")&amp;IF(F596="","Product Type, ","")&amp;IF(G596="","Category, ","")&amp;IF(H596="","HSN Code, ","")&amp;IF(Q596="","Qty, ","")&amp;IF(R596="","Purchase Rate, ","")&amp;IF(S596="","MRP, ",""),LEN(IF(B596="","PO Ref, ","")&amp;IF(C596="","Vendor, ","")&amp;IF(D596="","Store, ","")&amp;IF(F596="","Product Type, ","")&amp;IF(G596="","Category, ","")&amp;IF(H596="","HSN Code, ","")&amp;IF(Q596="","Qty, ","")&amp;IF(R596="","Purchase Rate, ","")&amp;IF(S596="","MRP, ",""))-2),IF(COUNTIF(Vendors!$B$3:$B$202,C596)=0,"Add vendor "&amp;C596&amp;" on the Vendors sheet",IF(ISNA(MATCH(H596,Codes!$A$2:$A$13,0)),"Pick the HSN Code from the list",IF(AND(E596&lt;&gt;"",COUNTIFS($C$3:$C$1002,C596,$E$3:$E$1002,E596,$F$3:$F$1002,"&lt;&gt;"&amp;F596)+COUNTIFS($C$3:$C$1002,C596,$E$3:$E$1002,E596,$G$3:$G$1002,"&lt;&gt;"&amp;G596)&gt;0),"Design "&amp;E596&amp;" has another Product Type or Category on another row",IF(COUNTIFS($F$3:$F$1002,F596,$G$3:$G$1002,G596,$H$3:$H$1002,"&lt;&gt;"&amp;H596)&gt;0,F596&amp;" + "&amp;G596&amp;" has another HSN Code on another row",IF(AND(V596&lt;&gt;"",U596=""),"Received Qty needs the Vendor Invoice No",IF(AND(U596&lt;&gt;"",COUNTIFS(Bills!$B$3:$B$302,U596,Bills!$C$3:$C$302,C596)=0),"Add bill "&amp;U596&amp;" of "&amp;C596&amp;" on the Bills sheet",IF(S596&lt;R596,"MRP is below the Purchase Rate","OK")))))))))</f>
        <v/>
      </c>
      <c r="B596" s="29"/>
      <c r="C596" s="22"/>
      <c r="D596" s="22"/>
      <c r="E596" s="24"/>
      <c r="F596" s="22"/>
      <c r="G596" s="22"/>
      <c r="H596" s="22"/>
      <c r="I596" s="30" t="str">
        <f>IF(H596="","",IFERROR(INDEX(Codes!$B$2:$B$13,MATCH(H596,Codes!$A$2:$A$13,0)),""))</f>
        <v/>
      </c>
      <c r="J596" s="23"/>
      <c r="K596" s="23"/>
      <c r="L596" s="23"/>
      <c r="M596" s="23"/>
      <c r="N596" s="23"/>
      <c r="O596" s="23"/>
      <c r="P596" s="23"/>
      <c r="Q596" s="31"/>
      <c r="R596" s="32"/>
      <c r="S596" s="32"/>
      <c r="T596" s="33" t="str">
        <f t="shared" si="18"/>
        <v/>
      </c>
      <c r="U596" s="34"/>
      <c r="V596" s="35"/>
      <c r="W596" s="33" t="str">
        <f t="shared" si="19"/>
        <v/>
      </c>
    </row>
    <row r="597" spans="1:23" x14ac:dyDescent="0.35">
      <c r="A597" s="21" t="str">
        <f>IF(COUNTA(B597:H597,J597:S597,U597:V597)=0,"",IF((IF(B597="","PO Ref, ","")&amp;IF(C597="","Vendor, ","")&amp;IF(D597="","Store, ","")&amp;IF(F597="","Product Type, ","")&amp;IF(G597="","Category, ","")&amp;IF(H597="","HSN Code, ","")&amp;IF(Q597="","Qty, ","")&amp;IF(R597="","Purchase Rate, ","")&amp;IF(S597="","MRP, ",""))&lt;&gt;"","Missing: "&amp;LEFT(IF(B597="","PO Ref, ","")&amp;IF(C597="","Vendor, ","")&amp;IF(D597="","Store, ","")&amp;IF(F597="","Product Type, ","")&amp;IF(G597="","Category, ","")&amp;IF(H597="","HSN Code, ","")&amp;IF(Q597="","Qty, ","")&amp;IF(R597="","Purchase Rate, ","")&amp;IF(S597="","MRP, ",""),LEN(IF(B597="","PO Ref, ","")&amp;IF(C597="","Vendor, ","")&amp;IF(D597="","Store, ","")&amp;IF(F597="","Product Type, ","")&amp;IF(G597="","Category, ","")&amp;IF(H597="","HSN Code, ","")&amp;IF(Q597="","Qty, ","")&amp;IF(R597="","Purchase Rate, ","")&amp;IF(S597="","MRP, ",""))-2),IF(COUNTIF(Vendors!$B$3:$B$202,C597)=0,"Add vendor "&amp;C597&amp;" on the Vendors sheet",IF(ISNA(MATCH(H597,Codes!$A$2:$A$13,0)),"Pick the HSN Code from the list",IF(AND(E597&lt;&gt;"",COUNTIFS($C$3:$C$1002,C597,$E$3:$E$1002,E597,$F$3:$F$1002,"&lt;&gt;"&amp;F597)+COUNTIFS($C$3:$C$1002,C597,$E$3:$E$1002,E597,$G$3:$G$1002,"&lt;&gt;"&amp;G597)&gt;0),"Design "&amp;E597&amp;" has another Product Type or Category on another row",IF(COUNTIFS($F$3:$F$1002,F597,$G$3:$G$1002,G597,$H$3:$H$1002,"&lt;&gt;"&amp;H597)&gt;0,F597&amp;" + "&amp;G597&amp;" has another HSN Code on another row",IF(AND(V597&lt;&gt;"",U597=""),"Received Qty needs the Vendor Invoice No",IF(AND(U597&lt;&gt;"",COUNTIFS(Bills!$B$3:$B$302,U597,Bills!$C$3:$C$302,C597)=0),"Add bill "&amp;U597&amp;" of "&amp;C597&amp;" on the Bills sheet",IF(S597&lt;R597,"MRP is below the Purchase Rate","OK")))))))))</f>
        <v/>
      </c>
      <c r="B597" s="29"/>
      <c r="C597" s="22"/>
      <c r="D597" s="22"/>
      <c r="E597" s="24"/>
      <c r="F597" s="22"/>
      <c r="G597" s="22"/>
      <c r="H597" s="22"/>
      <c r="I597" s="30" t="str">
        <f>IF(H597="","",IFERROR(INDEX(Codes!$B$2:$B$13,MATCH(H597,Codes!$A$2:$A$13,0)),""))</f>
        <v/>
      </c>
      <c r="J597" s="23"/>
      <c r="K597" s="23"/>
      <c r="L597" s="23"/>
      <c r="M597" s="23"/>
      <c r="N597" s="23"/>
      <c r="O597" s="23"/>
      <c r="P597" s="23"/>
      <c r="Q597" s="31"/>
      <c r="R597" s="32"/>
      <c r="S597" s="32"/>
      <c r="T597" s="33" t="str">
        <f t="shared" si="18"/>
        <v/>
      </c>
      <c r="U597" s="34"/>
      <c r="V597" s="35"/>
      <c r="W597" s="33" t="str">
        <f t="shared" si="19"/>
        <v/>
      </c>
    </row>
    <row r="598" spans="1:23" x14ac:dyDescent="0.35">
      <c r="A598" s="21" t="str">
        <f>IF(COUNTA(B598:H598,J598:S598,U598:V598)=0,"",IF((IF(B598="","PO Ref, ","")&amp;IF(C598="","Vendor, ","")&amp;IF(D598="","Store, ","")&amp;IF(F598="","Product Type, ","")&amp;IF(G598="","Category, ","")&amp;IF(H598="","HSN Code, ","")&amp;IF(Q598="","Qty, ","")&amp;IF(R598="","Purchase Rate, ","")&amp;IF(S598="","MRP, ",""))&lt;&gt;"","Missing: "&amp;LEFT(IF(B598="","PO Ref, ","")&amp;IF(C598="","Vendor, ","")&amp;IF(D598="","Store, ","")&amp;IF(F598="","Product Type, ","")&amp;IF(G598="","Category, ","")&amp;IF(H598="","HSN Code, ","")&amp;IF(Q598="","Qty, ","")&amp;IF(R598="","Purchase Rate, ","")&amp;IF(S598="","MRP, ",""),LEN(IF(B598="","PO Ref, ","")&amp;IF(C598="","Vendor, ","")&amp;IF(D598="","Store, ","")&amp;IF(F598="","Product Type, ","")&amp;IF(G598="","Category, ","")&amp;IF(H598="","HSN Code, ","")&amp;IF(Q598="","Qty, ","")&amp;IF(R598="","Purchase Rate, ","")&amp;IF(S598="","MRP, ",""))-2),IF(COUNTIF(Vendors!$B$3:$B$202,C598)=0,"Add vendor "&amp;C598&amp;" on the Vendors sheet",IF(ISNA(MATCH(H598,Codes!$A$2:$A$13,0)),"Pick the HSN Code from the list",IF(AND(E598&lt;&gt;"",COUNTIFS($C$3:$C$1002,C598,$E$3:$E$1002,E598,$F$3:$F$1002,"&lt;&gt;"&amp;F598)+COUNTIFS($C$3:$C$1002,C598,$E$3:$E$1002,E598,$G$3:$G$1002,"&lt;&gt;"&amp;G598)&gt;0),"Design "&amp;E598&amp;" has another Product Type or Category on another row",IF(COUNTIFS($F$3:$F$1002,F598,$G$3:$G$1002,G598,$H$3:$H$1002,"&lt;&gt;"&amp;H598)&gt;0,F598&amp;" + "&amp;G598&amp;" has another HSN Code on another row",IF(AND(V598&lt;&gt;"",U598=""),"Received Qty needs the Vendor Invoice No",IF(AND(U598&lt;&gt;"",COUNTIFS(Bills!$B$3:$B$302,U598,Bills!$C$3:$C$302,C598)=0),"Add bill "&amp;U598&amp;" of "&amp;C598&amp;" on the Bills sheet",IF(S598&lt;R598,"MRP is below the Purchase Rate","OK")))))))))</f>
        <v/>
      </c>
      <c r="B598" s="29"/>
      <c r="C598" s="22"/>
      <c r="D598" s="22"/>
      <c r="E598" s="24"/>
      <c r="F598" s="22"/>
      <c r="G598" s="22"/>
      <c r="H598" s="22"/>
      <c r="I598" s="30" t="str">
        <f>IF(H598="","",IFERROR(INDEX(Codes!$B$2:$B$13,MATCH(H598,Codes!$A$2:$A$13,0)),""))</f>
        <v/>
      </c>
      <c r="J598" s="23"/>
      <c r="K598" s="23"/>
      <c r="L598" s="23"/>
      <c r="M598" s="23"/>
      <c r="N598" s="23"/>
      <c r="O598" s="23"/>
      <c r="P598" s="23"/>
      <c r="Q598" s="31"/>
      <c r="R598" s="32"/>
      <c r="S598" s="32"/>
      <c r="T598" s="33" t="str">
        <f t="shared" si="18"/>
        <v/>
      </c>
      <c r="U598" s="34"/>
      <c r="V598" s="35"/>
      <c r="W598" s="33" t="str">
        <f t="shared" si="19"/>
        <v/>
      </c>
    </row>
    <row r="599" spans="1:23" x14ac:dyDescent="0.35">
      <c r="A599" s="21" t="str">
        <f>IF(COUNTA(B599:H599,J599:S599,U599:V599)=0,"",IF((IF(B599="","PO Ref, ","")&amp;IF(C599="","Vendor, ","")&amp;IF(D599="","Store, ","")&amp;IF(F599="","Product Type, ","")&amp;IF(G599="","Category, ","")&amp;IF(H599="","HSN Code, ","")&amp;IF(Q599="","Qty, ","")&amp;IF(R599="","Purchase Rate, ","")&amp;IF(S599="","MRP, ",""))&lt;&gt;"","Missing: "&amp;LEFT(IF(B599="","PO Ref, ","")&amp;IF(C599="","Vendor, ","")&amp;IF(D599="","Store, ","")&amp;IF(F599="","Product Type, ","")&amp;IF(G599="","Category, ","")&amp;IF(H599="","HSN Code, ","")&amp;IF(Q599="","Qty, ","")&amp;IF(R599="","Purchase Rate, ","")&amp;IF(S599="","MRP, ",""),LEN(IF(B599="","PO Ref, ","")&amp;IF(C599="","Vendor, ","")&amp;IF(D599="","Store, ","")&amp;IF(F599="","Product Type, ","")&amp;IF(G599="","Category, ","")&amp;IF(H599="","HSN Code, ","")&amp;IF(Q599="","Qty, ","")&amp;IF(R599="","Purchase Rate, ","")&amp;IF(S599="","MRP, ",""))-2),IF(COUNTIF(Vendors!$B$3:$B$202,C599)=0,"Add vendor "&amp;C599&amp;" on the Vendors sheet",IF(ISNA(MATCH(H599,Codes!$A$2:$A$13,0)),"Pick the HSN Code from the list",IF(AND(E599&lt;&gt;"",COUNTIFS($C$3:$C$1002,C599,$E$3:$E$1002,E599,$F$3:$F$1002,"&lt;&gt;"&amp;F599)+COUNTIFS($C$3:$C$1002,C599,$E$3:$E$1002,E599,$G$3:$G$1002,"&lt;&gt;"&amp;G599)&gt;0),"Design "&amp;E599&amp;" has another Product Type or Category on another row",IF(COUNTIFS($F$3:$F$1002,F599,$G$3:$G$1002,G599,$H$3:$H$1002,"&lt;&gt;"&amp;H599)&gt;0,F599&amp;" + "&amp;G599&amp;" has another HSN Code on another row",IF(AND(V599&lt;&gt;"",U599=""),"Received Qty needs the Vendor Invoice No",IF(AND(U599&lt;&gt;"",COUNTIFS(Bills!$B$3:$B$302,U599,Bills!$C$3:$C$302,C599)=0),"Add bill "&amp;U599&amp;" of "&amp;C599&amp;" on the Bills sheet",IF(S599&lt;R599,"MRP is below the Purchase Rate","OK")))))))))</f>
        <v/>
      </c>
      <c r="B599" s="29"/>
      <c r="C599" s="22"/>
      <c r="D599" s="22"/>
      <c r="E599" s="24"/>
      <c r="F599" s="22"/>
      <c r="G599" s="22"/>
      <c r="H599" s="22"/>
      <c r="I599" s="30" t="str">
        <f>IF(H599="","",IFERROR(INDEX(Codes!$B$2:$B$13,MATCH(H599,Codes!$A$2:$A$13,0)),""))</f>
        <v/>
      </c>
      <c r="J599" s="23"/>
      <c r="K599" s="23"/>
      <c r="L599" s="23"/>
      <c r="M599" s="23"/>
      <c r="N599" s="23"/>
      <c r="O599" s="23"/>
      <c r="P599" s="23"/>
      <c r="Q599" s="31"/>
      <c r="R599" s="32"/>
      <c r="S599" s="32"/>
      <c r="T599" s="33" t="str">
        <f t="shared" si="18"/>
        <v/>
      </c>
      <c r="U599" s="34"/>
      <c r="V599" s="35"/>
      <c r="W599" s="33" t="str">
        <f t="shared" si="19"/>
        <v/>
      </c>
    </row>
    <row r="600" spans="1:23" x14ac:dyDescent="0.35">
      <c r="A600" s="21" t="str">
        <f>IF(COUNTA(B600:H600,J600:S600,U600:V600)=0,"",IF((IF(B600="","PO Ref, ","")&amp;IF(C600="","Vendor, ","")&amp;IF(D600="","Store, ","")&amp;IF(F600="","Product Type, ","")&amp;IF(G600="","Category, ","")&amp;IF(H600="","HSN Code, ","")&amp;IF(Q600="","Qty, ","")&amp;IF(R600="","Purchase Rate, ","")&amp;IF(S600="","MRP, ",""))&lt;&gt;"","Missing: "&amp;LEFT(IF(B600="","PO Ref, ","")&amp;IF(C600="","Vendor, ","")&amp;IF(D600="","Store, ","")&amp;IF(F600="","Product Type, ","")&amp;IF(G600="","Category, ","")&amp;IF(H600="","HSN Code, ","")&amp;IF(Q600="","Qty, ","")&amp;IF(R600="","Purchase Rate, ","")&amp;IF(S600="","MRP, ",""),LEN(IF(B600="","PO Ref, ","")&amp;IF(C600="","Vendor, ","")&amp;IF(D600="","Store, ","")&amp;IF(F600="","Product Type, ","")&amp;IF(G600="","Category, ","")&amp;IF(H600="","HSN Code, ","")&amp;IF(Q600="","Qty, ","")&amp;IF(R600="","Purchase Rate, ","")&amp;IF(S600="","MRP, ",""))-2),IF(COUNTIF(Vendors!$B$3:$B$202,C600)=0,"Add vendor "&amp;C600&amp;" on the Vendors sheet",IF(ISNA(MATCH(H600,Codes!$A$2:$A$13,0)),"Pick the HSN Code from the list",IF(AND(E600&lt;&gt;"",COUNTIFS($C$3:$C$1002,C600,$E$3:$E$1002,E600,$F$3:$F$1002,"&lt;&gt;"&amp;F600)+COUNTIFS($C$3:$C$1002,C600,$E$3:$E$1002,E600,$G$3:$G$1002,"&lt;&gt;"&amp;G600)&gt;0),"Design "&amp;E600&amp;" has another Product Type or Category on another row",IF(COUNTIFS($F$3:$F$1002,F600,$G$3:$G$1002,G600,$H$3:$H$1002,"&lt;&gt;"&amp;H600)&gt;0,F600&amp;" + "&amp;G600&amp;" has another HSN Code on another row",IF(AND(V600&lt;&gt;"",U600=""),"Received Qty needs the Vendor Invoice No",IF(AND(U600&lt;&gt;"",COUNTIFS(Bills!$B$3:$B$302,U600,Bills!$C$3:$C$302,C600)=0),"Add bill "&amp;U600&amp;" of "&amp;C600&amp;" on the Bills sheet",IF(S600&lt;R600,"MRP is below the Purchase Rate","OK")))))))))</f>
        <v/>
      </c>
      <c r="B600" s="29"/>
      <c r="C600" s="22"/>
      <c r="D600" s="22"/>
      <c r="E600" s="24"/>
      <c r="F600" s="22"/>
      <c r="G600" s="22"/>
      <c r="H600" s="22"/>
      <c r="I600" s="30" t="str">
        <f>IF(H600="","",IFERROR(INDEX(Codes!$B$2:$B$13,MATCH(H600,Codes!$A$2:$A$13,0)),""))</f>
        <v/>
      </c>
      <c r="J600" s="23"/>
      <c r="K600" s="23"/>
      <c r="L600" s="23"/>
      <c r="M600" s="23"/>
      <c r="N600" s="23"/>
      <c r="O600" s="23"/>
      <c r="P600" s="23"/>
      <c r="Q600" s="31"/>
      <c r="R600" s="32"/>
      <c r="S600" s="32"/>
      <c r="T600" s="33" t="str">
        <f t="shared" si="18"/>
        <v/>
      </c>
      <c r="U600" s="34"/>
      <c r="V600" s="35"/>
      <c r="W600" s="33" t="str">
        <f t="shared" si="19"/>
        <v/>
      </c>
    </row>
    <row r="601" spans="1:23" x14ac:dyDescent="0.35">
      <c r="A601" s="21" t="str">
        <f>IF(COUNTA(B601:H601,J601:S601,U601:V601)=0,"",IF((IF(B601="","PO Ref, ","")&amp;IF(C601="","Vendor, ","")&amp;IF(D601="","Store, ","")&amp;IF(F601="","Product Type, ","")&amp;IF(G601="","Category, ","")&amp;IF(H601="","HSN Code, ","")&amp;IF(Q601="","Qty, ","")&amp;IF(R601="","Purchase Rate, ","")&amp;IF(S601="","MRP, ",""))&lt;&gt;"","Missing: "&amp;LEFT(IF(B601="","PO Ref, ","")&amp;IF(C601="","Vendor, ","")&amp;IF(D601="","Store, ","")&amp;IF(F601="","Product Type, ","")&amp;IF(G601="","Category, ","")&amp;IF(H601="","HSN Code, ","")&amp;IF(Q601="","Qty, ","")&amp;IF(R601="","Purchase Rate, ","")&amp;IF(S601="","MRP, ",""),LEN(IF(B601="","PO Ref, ","")&amp;IF(C601="","Vendor, ","")&amp;IF(D601="","Store, ","")&amp;IF(F601="","Product Type, ","")&amp;IF(G601="","Category, ","")&amp;IF(H601="","HSN Code, ","")&amp;IF(Q601="","Qty, ","")&amp;IF(R601="","Purchase Rate, ","")&amp;IF(S601="","MRP, ",""))-2),IF(COUNTIF(Vendors!$B$3:$B$202,C601)=0,"Add vendor "&amp;C601&amp;" on the Vendors sheet",IF(ISNA(MATCH(H601,Codes!$A$2:$A$13,0)),"Pick the HSN Code from the list",IF(AND(E601&lt;&gt;"",COUNTIFS($C$3:$C$1002,C601,$E$3:$E$1002,E601,$F$3:$F$1002,"&lt;&gt;"&amp;F601)+COUNTIFS($C$3:$C$1002,C601,$E$3:$E$1002,E601,$G$3:$G$1002,"&lt;&gt;"&amp;G601)&gt;0),"Design "&amp;E601&amp;" has another Product Type or Category on another row",IF(COUNTIFS($F$3:$F$1002,F601,$G$3:$G$1002,G601,$H$3:$H$1002,"&lt;&gt;"&amp;H601)&gt;0,F601&amp;" + "&amp;G601&amp;" has another HSN Code on another row",IF(AND(V601&lt;&gt;"",U601=""),"Received Qty needs the Vendor Invoice No",IF(AND(U601&lt;&gt;"",COUNTIFS(Bills!$B$3:$B$302,U601,Bills!$C$3:$C$302,C601)=0),"Add bill "&amp;U601&amp;" of "&amp;C601&amp;" on the Bills sheet",IF(S601&lt;R601,"MRP is below the Purchase Rate","OK")))))))))</f>
        <v/>
      </c>
      <c r="B601" s="29"/>
      <c r="C601" s="22"/>
      <c r="D601" s="22"/>
      <c r="E601" s="24"/>
      <c r="F601" s="22"/>
      <c r="G601" s="22"/>
      <c r="H601" s="22"/>
      <c r="I601" s="30" t="str">
        <f>IF(H601="","",IFERROR(INDEX(Codes!$B$2:$B$13,MATCH(H601,Codes!$A$2:$A$13,0)),""))</f>
        <v/>
      </c>
      <c r="J601" s="23"/>
      <c r="K601" s="23"/>
      <c r="L601" s="23"/>
      <c r="M601" s="23"/>
      <c r="N601" s="23"/>
      <c r="O601" s="23"/>
      <c r="P601" s="23"/>
      <c r="Q601" s="31"/>
      <c r="R601" s="32"/>
      <c r="S601" s="32"/>
      <c r="T601" s="33" t="str">
        <f t="shared" si="18"/>
        <v/>
      </c>
      <c r="U601" s="34"/>
      <c r="V601" s="35"/>
      <c r="W601" s="33" t="str">
        <f t="shared" si="19"/>
        <v/>
      </c>
    </row>
    <row r="602" spans="1:23" x14ac:dyDescent="0.35">
      <c r="A602" s="21" t="str">
        <f>IF(COUNTA(B602:H602,J602:S602,U602:V602)=0,"",IF((IF(B602="","PO Ref, ","")&amp;IF(C602="","Vendor, ","")&amp;IF(D602="","Store, ","")&amp;IF(F602="","Product Type, ","")&amp;IF(G602="","Category, ","")&amp;IF(H602="","HSN Code, ","")&amp;IF(Q602="","Qty, ","")&amp;IF(R602="","Purchase Rate, ","")&amp;IF(S602="","MRP, ",""))&lt;&gt;"","Missing: "&amp;LEFT(IF(B602="","PO Ref, ","")&amp;IF(C602="","Vendor, ","")&amp;IF(D602="","Store, ","")&amp;IF(F602="","Product Type, ","")&amp;IF(G602="","Category, ","")&amp;IF(H602="","HSN Code, ","")&amp;IF(Q602="","Qty, ","")&amp;IF(R602="","Purchase Rate, ","")&amp;IF(S602="","MRP, ",""),LEN(IF(B602="","PO Ref, ","")&amp;IF(C602="","Vendor, ","")&amp;IF(D602="","Store, ","")&amp;IF(F602="","Product Type, ","")&amp;IF(G602="","Category, ","")&amp;IF(H602="","HSN Code, ","")&amp;IF(Q602="","Qty, ","")&amp;IF(R602="","Purchase Rate, ","")&amp;IF(S602="","MRP, ",""))-2),IF(COUNTIF(Vendors!$B$3:$B$202,C602)=0,"Add vendor "&amp;C602&amp;" on the Vendors sheet",IF(ISNA(MATCH(H602,Codes!$A$2:$A$13,0)),"Pick the HSN Code from the list",IF(AND(E602&lt;&gt;"",COUNTIFS($C$3:$C$1002,C602,$E$3:$E$1002,E602,$F$3:$F$1002,"&lt;&gt;"&amp;F602)+COUNTIFS($C$3:$C$1002,C602,$E$3:$E$1002,E602,$G$3:$G$1002,"&lt;&gt;"&amp;G602)&gt;0),"Design "&amp;E602&amp;" has another Product Type or Category on another row",IF(COUNTIFS($F$3:$F$1002,F602,$G$3:$G$1002,G602,$H$3:$H$1002,"&lt;&gt;"&amp;H602)&gt;0,F602&amp;" + "&amp;G602&amp;" has another HSN Code on another row",IF(AND(V602&lt;&gt;"",U602=""),"Received Qty needs the Vendor Invoice No",IF(AND(U602&lt;&gt;"",COUNTIFS(Bills!$B$3:$B$302,U602,Bills!$C$3:$C$302,C602)=0),"Add bill "&amp;U602&amp;" of "&amp;C602&amp;" on the Bills sheet",IF(S602&lt;R602,"MRP is below the Purchase Rate","OK")))))))))</f>
        <v/>
      </c>
      <c r="B602" s="29"/>
      <c r="C602" s="22"/>
      <c r="D602" s="22"/>
      <c r="E602" s="24"/>
      <c r="F602" s="22"/>
      <c r="G602" s="22"/>
      <c r="H602" s="22"/>
      <c r="I602" s="30" t="str">
        <f>IF(H602="","",IFERROR(INDEX(Codes!$B$2:$B$13,MATCH(H602,Codes!$A$2:$A$13,0)),""))</f>
        <v/>
      </c>
      <c r="J602" s="23"/>
      <c r="K602" s="23"/>
      <c r="L602" s="23"/>
      <c r="M602" s="23"/>
      <c r="N602" s="23"/>
      <c r="O602" s="23"/>
      <c r="P602" s="23"/>
      <c r="Q602" s="31"/>
      <c r="R602" s="32"/>
      <c r="S602" s="32"/>
      <c r="T602" s="33" t="str">
        <f t="shared" si="18"/>
        <v/>
      </c>
      <c r="U602" s="34"/>
      <c r="V602" s="35"/>
      <c r="W602" s="33" t="str">
        <f t="shared" si="19"/>
        <v/>
      </c>
    </row>
    <row r="603" spans="1:23" x14ac:dyDescent="0.35">
      <c r="A603" s="21" t="str">
        <f>IF(COUNTA(B603:H603,J603:S603,U603:V603)=0,"",IF((IF(B603="","PO Ref, ","")&amp;IF(C603="","Vendor, ","")&amp;IF(D603="","Store, ","")&amp;IF(F603="","Product Type, ","")&amp;IF(G603="","Category, ","")&amp;IF(H603="","HSN Code, ","")&amp;IF(Q603="","Qty, ","")&amp;IF(R603="","Purchase Rate, ","")&amp;IF(S603="","MRP, ",""))&lt;&gt;"","Missing: "&amp;LEFT(IF(B603="","PO Ref, ","")&amp;IF(C603="","Vendor, ","")&amp;IF(D603="","Store, ","")&amp;IF(F603="","Product Type, ","")&amp;IF(G603="","Category, ","")&amp;IF(H603="","HSN Code, ","")&amp;IF(Q603="","Qty, ","")&amp;IF(R603="","Purchase Rate, ","")&amp;IF(S603="","MRP, ",""),LEN(IF(B603="","PO Ref, ","")&amp;IF(C603="","Vendor, ","")&amp;IF(D603="","Store, ","")&amp;IF(F603="","Product Type, ","")&amp;IF(G603="","Category, ","")&amp;IF(H603="","HSN Code, ","")&amp;IF(Q603="","Qty, ","")&amp;IF(R603="","Purchase Rate, ","")&amp;IF(S603="","MRP, ",""))-2),IF(COUNTIF(Vendors!$B$3:$B$202,C603)=0,"Add vendor "&amp;C603&amp;" on the Vendors sheet",IF(ISNA(MATCH(H603,Codes!$A$2:$A$13,0)),"Pick the HSN Code from the list",IF(AND(E603&lt;&gt;"",COUNTIFS($C$3:$C$1002,C603,$E$3:$E$1002,E603,$F$3:$F$1002,"&lt;&gt;"&amp;F603)+COUNTIFS($C$3:$C$1002,C603,$E$3:$E$1002,E603,$G$3:$G$1002,"&lt;&gt;"&amp;G603)&gt;0),"Design "&amp;E603&amp;" has another Product Type or Category on another row",IF(COUNTIFS($F$3:$F$1002,F603,$G$3:$G$1002,G603,$H$3:$H$1002,"&lt;&gt;"&amp;H603)&gt;0,F603&amp;" + "&amp;G603&amp;" has another HSN Code on another row",IF(AND(V603&lt;&gt;"",U603=""),"Received Qty needs the Vendor Invoice No",IF(AND(U603&lt;&gt;"",COUNTIFS(Bills!$B$3:$B$302,U603,Bills!$C$3:$C$302,C603)=0),"Add bill "&amp;U603&amp;" of "&amp;C603&amp;" on the Bills sheet",IF(S603&lt;R603,"MRP is below the Purchase Rate","OK")))))))))</f>
        <v/>
      </c>
      <c r="B603" s="29"/>
      <c r="C603" s="22"/>
      <c r="D603" s="22"/>
      <c r="E603" s="24"/>
      <c r="F603" s="22"/>
      <c r="G603" s="22"/>
      <c r="H603" s="22"/>
      <c r="I603" s="30" t="str">
        <f>IF(H603="","",IFERROR(INDEX(Codes!$B$2:$B$13,MATCH(H603,Codes!$A$2:$A$13,0)),""))</f>
        <v/>
      </c>
      <c r="J603" s="23"/>
      <c r="K603" s="23"/>
      <c r="L603" s="23"/>
      <c r="M603" s="23"/>
      <c r="N603" s="23"/>
      <c r="O603" s="23"/>
      <c r="P603" s="23"/>
      <c r="Q603" s="31"/>
      <c r="R603" s="32"/>
      <c r="S603" s="32"/>
      <c r="T603" s="33" t="str">
        <f t="shared" si="18"/>
        <v/>
      </c>
      <c r="U603" s="34"/>
      <c r="V603" s="35"/>
      <c r="W603" s="33" t="str">
        <f t="shared" si="19"/>
        <v/>
      </c>
    </row>
    <row r="604" spans="1:23" x14ac:dyDescent="0.35">
      <c r="A604" s="21" t="str">
        <f>IF(COUNTA(B604:H604,J604:S604,U604:V604)=0,"",IF((IF(B604="","PO Ref, ","")&amp;IF(C604="","Vendor, ","")&amp;IF(D604="","Store, ","")&amp;IF(F604="","Product Type, ","")&amp;IF(G604="","Category, ","")&amp;IF(H604="","HSN Code, ","")&amp;IF(Q604="","Qty, ","")&amp;IF(R604="","Purchase Rate, ","")&amp;IF(S604="","MRP, ",""))&lt;&gt;"","Missing: "&amp;LEFT(IF(B604="","PO Ref, ","")&amp;IF(C604="","Vendor, ","")&amp;IF(D604="","Store, ","")&amp;IF(F604="","Product Type, ","")&amp;IF(G604="","Category, ","")&amp;IF(H604="","HSN Code, ","")&amp;IF(Q604="","Qty, ","")&amp;IF(R604="","Purchase Rate, ","")&amp;IF(S604="","MRP, ",""),LEN(IF(B604="","PO Ref, ","")&amp;IF(C604="","Vendor, ","")&amp;IF(D604="","Store, ","")&amp;IF(F604="","Product Type, ","")&amp;IF(G604="","Category, ","")&amp;IF(H604="","HSN Code, ","")&amp;IF(Q604="","Qty, ","")&amp;IF(R604="","Purchase Rate, ","")&amp;IF(S604="","MRP, ",""))-2),IF(COUNTIF(Vendors!$B$3:$B$202,C604)=0,"Add vendor "&amp;C604&amp;" on the Vendors sheet",IF(ISNA(MATCH(H604,Codes!$A$2:$A$13,0)),"Pick the HSN Code from the list",IF(AND(E604&lt;&gt;"",COUNTIFS($C$3:$C$1002,C604,$E$3:$E$1002,E604,$F$3:$F$1002,"&lt;&gt;"&amp;F604)+COUNTIFS($C$3:$C$1002,C604,$E$3:$E$1002,E604,$G$3:$G$1002,"&lt;&gt;"&amp;G604)&gt;0),"Design "&amp;E604&amp;" has another Product Type or Category on another row",IF(COUNTIFS($F$3:$F$1002,F604,$G$3:$G$1002,G604,$H$3:$H$1002,"&lt;&gt;"&amp;H604)&gt;0,F604&amp;" + "&amp;G604&amp;" has another HSN Code on another row",IF(AND(V604&lt;&gt;"",U604=""),"Received Qty needs the Vendor Invoice No",IF(AND(U604&lt;&gt;"",COUNTIFS(Bills!$B$3:$B$302,U604,Bills!$C$3:$C$302,C604)=0),"Add bill "&amp;U604&amp;" of "&amp;C604&amp;" on the Bills sheet",IF(S604&lt;R604,"MRP is below the Purchase Rate","OK")))))))))</f>
        <v/>
      </c>
      <c r="B604" s="29"/>
      <c r="C604" s="22"/>
      <c r="D604" s="22"/>
      <c r="E604" s="24"/>
      <c r="F604" s="22"/>
      <c r="G604" s="22"/>
      <c r="H604" s="22"/>
      <c r="I604" s="30" t="str">
        <f>IF(H604="","",IFERROR(INDEX(Codes!$B$2:$B$13,MATCH(H604,Codes!$A$2:$A$13,0)),""))</f>
        <v/>
      </c>
      <c r="J604" s="23"/>
      <c r="K604" s="23"/>
      <c r="L604" s="23"/>
      <c r="M604" s="23"/>
      <c r="N604" s="23"/>
      <c r="O604" s="23"/>
      <c r="P604" s="23"/>
      <c r="Q604" s="31"/>
      <c r="R604" s="32"/>
      <c r="S604" s="32"/>
      <c r="T604" s="33" t="str">
        <f t="shared" si="18"/>
        <v/>
      </c>
      <c r="U604" s="34"/>
      <c r="V604" s="35"/>
      <c r="W604" s="33" t="str">
        <f t="shared" si="19"/>
        <v/>
      </c>
    </row>
    <row r="605" spans="1:23" x14ac:dyDescent="0.35">
      <c r="A605" s="21" t="str">
        <f>IF(COUNTA(B605:H605,J605:S605,U605:V605)=0,"",IF((IF(B605="","PO Ref, ","")&amp;IF(C605="","Vendor, ","")&amp;IF(D605="","Store, ","")&amp;IF(F605="","Product Type, ","")&amp;IF(G605="","Category, ","")&amp;IF(H605="","HSN Code, ","")&amp;IF(Q605="","Qty, ","")&amp;IF(R605="","Purchase Rate, ","")&amp;IF(S605="","MRP, ",""))&lt;&gt;"","Missing: "&amp;LEFT(IF(B605="","PO Ref, ","")&amp;IF(C605="","Vendor, ","")&amp;IF(D605="","Store, ","")&amp;IF(F605="","Product Type, ","")&amp;IF(G605="","Category, ","")&amp;IF(H605="","HSN Code, ","")&amp;IF(Q605="","Qty, ","")&amp;IF(R605="","Purchase Rate, ","")&amp;IF(S605="","MRP, ",""),LEN(IF(B605="","PO Ref, ","")&amp;IF(C605="","Vendor, ","")&amp;IF(D605="","Store, ","")&amp;IF(F605="","Product Type, ","")&amp;IF(G605="","Category, ","")&amp;IF(H605="","HSN Code, ","")&amp;IF(Q605="","Qty, ","")&amp;IF(R605="","Purchase Rate, ","")&amp;IF(S605="","MRP, ",""))-2),IF(COUNTIF(Vendors!$B$3:$B$202,C605)=0,"Add vendor "&amp;C605&amp;" on the Vendors sheet",IF(ISNA(MATCH(H605,Codes!$A$2:$A$13,0)),"Pick the HSN Code from the list",IF(AND(E605&lt;&gt;"",COUNTIFS($C$3:$C$1002,C605,$E$3:$E$1002,E605,$F$3:$F$1002,"&lt;&gt;"&amp;F605)+COUNTIFS($C$3:$C$1002,C605,$E$3:$E$1002,E605,$G$3:$G$1002,"&lt;&gt;"&amp;G605)&gt;0),"Design "&amp;E605&amp;" has another Product Type or Category on another row",IF(COUNTIFS($F$3:$F$1002,F605,$G$3:$G$1002,G605,$H$3:$H$1002,"&lt;&gt;"&amp;H605)&gt;0,F605&amp;" + "&amp;G605&amp;" has another HSN Code on another row",IF(AND(V605&lt;&gt;"",U605=""),"Received Qty needs the Vendor Invoice No",IF(AND(U605&lt;&gt;"",COUNTIFS(Bills!$B$3:$B$302,U605,Bills!$C$3:$C$302,C605)=0),"Add bill "&amp;U605&amp;" of "&amp;C605&amp;" on the Bills sheet",IF(S605&lt;R605,"MRP is below the Purchase Rate","OK")))))))))</f>
        <v/>
      </c>
      <c r="B605" s="29"/>
      <c r="C605" s="22"/>
      <c r="D605" s="22"/>
      <c r="E605" s="24"/>
      <c r="F605" s="22"/>
      <c r="G605" s="22"/>
      <c r="H605" s="22"/>
      <c r="I605" s="30" t="str">
        <f>IF(H605="","",IFERROR(INDEX(Codes!$B$2:$B$13,MATCH(H605,Codes!$A$2:$A$13,0)),""))</f>
        <v/>
      </c>
      <c r="J605" s="23"/>
      <c r="K605" s="23"/>
      <c r="L605" s="23"/>
      <c r="M605" s="23"/>
      <c r="N605" s="23"/>
      <c r="O605" s="23"/>
      <c r="P605" s="23"/>
      <c r="Q605" s="31"/>
      <c r="R605" s="32"/>
      <c r="S605" s="32"/>
      <c r="T605" s="33" t="str">
        <f t="shared" si="18"/>
        <v/>
      </c>
      <c r="U605" s="34"/>
      <c r="V605" s="35"/>
      <c r="W605" s="33" t="str">
        <f t="shared" si="19"/>
        <v/>
      </c>
    </row>
    <row r="606" spans="1:23" x14ac:dyDescent="0.35">
      <c r="A606" s="21" t="str">
        <f>IF(COUNTA(B606:H606,J606:S606,U606:V606)=0,"",IF((IF(B606="","PO Ref, ","")&amp;IF(C606="","Vendor, ","")&amp;IF(D606="","Store, ","")&amp;IF(F606="","Product Type, ","")&amp;IF(G606="","Category, ","")&amp;IF(H606="","HSN Code, ","")&amp;IF(Q606="","Qty, ","")&amp;IF(R606="","Purchase Rate, ","")&amp;IF(S606="","MRP, ",""))&lt;&gt;"","Missing: "&amp;LEFT(IF(B606="","PO Ref, ","")&amp;IF(C606="","Vendor, ","")&amp;IF(D606="","Store, ","")&amp;IF(F606="","Product Type, ","")&amp;IF(G606="","Category, ","")&amp;IF(H606="","HSN Code, ","")&amp;IF(Q606="","Qty, ","")&amp;IF(R606="","Purchase Rate, ","")&amp;IF(S606="","MRP, ",""),LEN(IF(B606="","PO Ref, ","")&amp;IF(C606="","Vendor, ","")&amp;IF(D606="","Store, ","")&amp;IF(F606="","Product Type, ","")&amp;IF(G606="","Category, ","")&amp;IF(H606="","HSN Code, ","")&amp;IF(Q606="","Qty, ","")&amp;IF(R606="","Purchase Rate, ","")&amp;IF(S606="","MRP, ",""))-2),IF(COUNTIF(Vendors!$B$3:$B$202,C606)=0,"Add vendor "&amp;C606&amp;" on the Vendors sheet",IF(ISNA(MATCH(H606,Codes!$A$2:$A$13,0)),"Pick the HSN Code from the list",IF(AND(E606&lt;&gt;"",COUNTIFS($C$3:$C$1002,C606,$E$3:$E$1002,E606,$F$3:$F$1002,"&lt;&gt;"&amp;F606)+COUNTIFS($C$3:$C$1002,C606,$E$3:$E$1002,E606,$G$3:$G$1002,"&lt;&gt;"&amp;G606)&gt;0),"Design "&amp;E606&amp;" has another Product Type or Category on another row",IF(COUNTIFS($F$3:$F$1002,F606,$G$3:$G$1002,G606,$H$3:$H$1002,"&lt;&gt;"&amp;H606)&gt;0,F606&amp;" + "&amp;G606&amp;" has another HSN Code on another row",IF(AND(V606&lt;&gt;"",U606=""),"Received Qty needs the Vendor Invoice No",IF(AND(U606&lt;&gt;"",COUNTIFS(Bills!$B$3:$B$302,U606,Bills!$C$3:$C$302,C606)=0),"Add bill "&amp;U606&amp;" of "&amp;C606&amp;" on the Bills sheet",IF(S606&lt;R606,"MRP is below the Purchase Rate","OK")))))))))</f>
        <v/>
      </c>
      <c r="B606" s="29"/>
      <c r="C606" s="22"/>
      <c r="D606" s="22"/>
      <c r="E606" s="24"/>
      <c r="F606" s="22"/>
      <c r="G606" s="22"/>
      <c r="H606" s="22"/>
      <c r="I606" s="30" t="str">
        <f>IF(H606="","",IFERROR(INDEX(Codes!$B$2:$B$13,MATCH(H606,Codes!$A$2:$A$13,0)),""))</f>
        <v/>
      </c>
      <c r="J606" s="23"/>
      <c r="K606" s="23"/>
      <c r="L606" s="23"/>
      <c r="M606" s="23"/>
      <c r="N606" s="23"/>
      <c r="O606" s="23"/>
      <c r="P606" s="23"/>
      <c r="Q606" s="31"/>
      <c r="R606" s="32"/>
      <c r="S606" s="32"/>
      <c r="T606" s="33" t="str">
        <f t="shared" si="18"/>
        <v/>
      </c>
      <c r="U606" s="34"/>
      <c r="V606" s="35"/>
      <c r="W606" s="33" t="str">
        <f t="shared" si="19"/>
        <v/>
      </c>
    </row>
    <row r="607" spans="1:23" x14ac:dyDescent="0.35">
      <c r="A607" s="21" t="str">
        <f>IF(COUNTA(B607:H607,J607:S607,U607:V607)=0,"",IF((IF(B607="","PO Ref, ","")&amp;IF(C607="","Vendor, ","")&amp;IF(D607="","Store, ","")&amp;IF(F607="","Product Type, ","")&amp;IF(G607="","Category, ","")&amp;IF(H607="","HSN Code, ","")&amp;IF(Q607="","Qty, ","")&amp;IF(R607="","Purchase Rate, ","")&amp;IF(S607="","MRP, ",""))&lt;&gt;"","Missing: "&amp;LEFT(IF(B607="","PO Ref, ","")&amp;IF(C607="","Vendor, ","")&amp;IF(D607="","Store, ","")&amp;IF(F607="","Product Type, ","")&amp;IF(G607="","Category, ","")&amp;IF(H607="","HSN Code, ","")&amp;IF(Q607="","Qty, ","")&amp;IF(R607="","Purchase Rate, ","")&amp;IF(S607="","MRP, ",""),LEN(IF(B607="","PO Ref, ","")&amp;IF(C607="","Vendor, ","")&amp;IF(D607="","Store, ","")&amp;IF(F607="","Product Type, ","")&amp;IF(G607="","Category, ","")&amp;IF(H607="","HSN Code, ","")&amp;IF(Q607="","Qty, ","")&amp;IF(R607="","Purchase Rate, ","")&amp;IF(S607="","MRP, ",""))-2),IF(COUNTIF(Vendors!$B$3:$B$202,C607)=0,"Add vendor "&amp;C607&amp;" on the Vendors sheet",IF(ISNA(MATCH(H607,Codes!$A$2:$A$13,0)),"Pick the HSN Code from the list",IF(AND(E607&lt;&gt;"",COUNTIFS($C$3:$C$1002,C607,$E$3:$E$1002,E607,$F$3:$F$1002,"&lt;&gt;"&amp;F607)+COUNTIFS($C$3:$C$1002,C607,$E$3:$E$1002,E607,$G$3:$G$1002,"&lt;&gt;"&amp;G607)&gt;0),"Design "&amp;E607&amp;" has another Product Type or Category on another row",IF(COUNTIFS($F$3:$F$1002,F607,$G$3:$G$1002,G607,$H$3:$H$1002,"&lt;&gt;"&amp;H607)&gt;0,F607&amp;" + "&amp;G607&amp;" has another HSN Code on another row",IF(AND(V607&lt;&gt;"",U607=""),"Received Qty needs the Vendor Invoice No",IF(AND(U607&lt;&gt;"",COUNTIFS(Bills!$B$3:$B$302,U607,Bills!$C$3:$C$302,C607)=0),"Add bill "&amp;U607&amp;" of "&amp;C607&amp;" on the Bills sheet",IF(S607&lt;R607,"MRP is below the Purchase Rate","OK")))))))))</f>
        <v/>
      </c>
      <c r="B607" s="29"/>
      <c r="C607" s="22"/>
      <c r="D607" s="22"/>
      <c r="E607" s="24"/>
      <c r="F607" s="22"/>
      <c r="G607" s="22"/>
      <c r="H607" s="22"/>
      <c r="I607" s="30" t="str">
        <f>IF(H607="","",IFERROR(INDEX(Codes!$B$2:$B$13,MATCH(H607,Codes!$A$2:$A$13,0)),""))</f>
        <v/>
      </c>
      <c r="J607" s="23"/>
      <c r="K607" s="23"/>
      <c r="L607" s="23"/>
      <c r="M607" s="23"/>
      <c r="N607" s="23"/>
      <c r="O607" s="23"/>
      <c r="P607" s="23"/>
      <c r="Q607" s="31"/>
      <c r="R607" s="32"/>
      <c r="S607" s="32"/>
      <c r="T607" s="33" t="str">
        <f t="shared" si="18"/>
        <v/>
      </c>
      <c r="U607" s="34"/>
      <c r="V607" s="35"/>
      <c r="W607" s="33" t="str">
        <f t="shared" si="19"/>
        <v/>
      </c>
    </row>
    <row r="608" spans="1:23" x14ac:dyDescent="0.35">
      <c r="A608" s="21" t="str">
        <f>IF(COUNTA(B608:H608,J608:S608,U608:V608)=0,"",IF((IF(B608="","PO Ref, ","")&amp;IF(C608="","Vendor, ","")&amp;IF(D608="","Store, ","")&amp;IF(F608="","Product Type, ","")&amp;IF(G608="","Category, ","")&amp;IF(H608="","HSN Code, ","")&amp;IF(Q608="","Qty, ","")&amp;IF(R608="","Purchase Rate, ","")&amp;IF(S608="","MRP, ",""))&lt;&gt;"","Missing: "&amp;LEFT(IF(B608="","PO Ref, ","")&amp;IF(C608="","Vendor, ","")&amp;IF(D608="","Store, ","")&amp;IF(F608="","Product Type, ","")&amp;IF(G608="","Category, ","")&amp;IF(H608="","HSN Code, ","")&amp;IF(Q608="","Qty, ","")&amp;IF(R608="","Purchase Rate, ","")&amp;IF(S608="","MRP, ",""),LEN(IF(B608="","PO Ref, ","")&amp;IF(C608="","Vendor, ","")&amp;IF(D608="","Store, ","")&amp;IF(F608="","Product Type, ","")&amp;IF(G608="","Category, ","")&amp;IF(H608="","HSN Code, ","")&amp;IF(Q608="","Qty, ","")&amp;IF(R608="","Purchase Rate, ","")&amp;IF(S608="","MRP, ",""))-2),IF(COUNTIF(Vendors!$B$3:$B$202,C608)=0,"Add vendor "&amp;C608&amp;" on the Vendors sheet",IF(ISNA(MATCH(H608,Codes!$A$2:$A$13,0)),"Pick the HSN Code from the list",IF(AND(E608&lt;&gt;"",COUNTIFS($C$3:$C$1002,C608,$E$3:$E$1002,E608,$F$3:$F$1002,"&lt;&gt;"&amp;F608)+COUNTIFS($C$3:$C$1002,C608,$E$3:$E$1002,E608,$G$3:$G$1002,"&lt;&gt;"&amp;G608)&gt;0),"Design "&amp;E608&amp;" has another Product Type or Category on another row",IF(COUNTIFS($F$3:$F$1002,F608,$G$3:$G$1002,G608,$H$3:$H$1002,"&lt;&gt;"&amp;H608)&gt;0,F608&amp;" + "&amp;G608&amp;" has another HSN Code on another row",IF(AND(V608&lt;&gt;"",U608=""),"Received Qty needs the Vendor Invoice No",IF(AND(U608&lt;&gt;"",COUNTIFS(Bills!$B$3:$B$302,U608,Bills!$C$3:$C$302,C608)=0),"Add bill "&amp;U608&amp;" of "&amp;C608&amp;" on the Bills sheet",IF(S608&lt;R608,"MRP is below the Purchase Rate","OK")))))))))</f>
        <v/>
      </c>
      <c r="B608" s="29"/>
      <c r="C608" s="22"/>
      <c r="D608" s="22"/>
      <c r="E608" s="24"/>
      <c r="F608" s="22"/>
      <c r="G608" s="22"/>
      <c r="H608" s="22"/>
      <c r="I608" s="30" t="str">
        <f>IF(H608="","",IFERROR(INDEX(Codes!$B$2:$B$13,MATCH(H608,Codes!$A$2:$A$13,0)),""))</f>
        <v/>
      </c>
      <c r="J608" s="23"/>
      <c r="K608" s="23"/>
      <c r="L608" s="23"/>
      <c r="M608" s="23"/>
      <c r="N608" s="23"/>
      <c r="O608" s="23"/>
      <c r="P608" s="23"/>
      <c r="Q608" s="31"/>
      <c r="R608" s="32"/>
      <c r="S608" s="32"/>
      <c r="T608" s="33" t="str">
        <f t="shared" si="18"/>
        <v/>
      </c>
      <c r="U608" s="34"/>
      <c r="V608" s="35"/>
      <c r="W608" s="33" t="str">
        <f t="shared" si="19"/>
        <v/>
      </c>
    </row>
    <row r="609" spans="1:23" x14ac:dyDescent="0.35">
      <c r="A609" s="21" t="str">
        <f>IF(COUNTA(B609:H609,J609:S609,U609:V609)=0,"",IF((IF(B609="","PO Ref, ","")&amp;IF(C609="","Vendor, ","")&amp;IF(D609="","Store, ","")&amp;IF(F609="","Product Type, ","")&amp;IF(G609="","Category, ","")&amp;IF(H609="","HSN Code, ","")&amp;IF(Q609="","Qty, ","")&amp;IF(R609="","Purchase Rate, ","")&amp;IF(S609="","MRP, ",""))&lt;&gt;"","Missing: "&amp;LEFT(IF(B609="","PO Ref, ","")&amp;IF(C609="","Vendor, ","")&amp;IF(D609="","Store, ","")&amp;IF(F609="","Product Type, ","")&amp;IF(G609="","Category, ","")&amp;IF(H609="","HSN Code, ","")&amp;IF(Q609="","Qty, ","")&amp;IF(R609="","Purchase Rate, ","")&amp;IF(S609="","MRP, ",""),LEN(IF(B609="","PO Ref, ","")&amp;IF(C609="","Vendor, ","")&amp;IF(D609="","Store, ","")&amp;IF(F609="","Product Type, ","")&amp;IF(G609="","Category, ","")&amp;IF(H609="","HSN Code, ","")&amp;IF(Q609="","Qty, ","")&amp;IF(R609="","Purchase Rate, ","")&amp;IF(S609="","MRP, ",""))-2),IF(COUNTIF(Vendors!$B$3:$B$202,C609)=0,"Add vendor "&amp;C609&amp;" on the Vendors sheet",IF(ISNA(MATCH(H609,Codes!$A$2:$A$13,0)),"Pick the HSN Code from the list",IF(AND(E609&lt;&gt;"",COUNTIFS($C$3:$C$1002,C609,$E$3:$E$1002,E609,$F$3:$F$1002,"&lt;&gt;"&amp;F609)+COUNTIFS($C$3:$C$1002,C609,$E$3:$E$1002,E609,$G$3:$G$1002,"&lt;&gt;"&amp;G609)&gt;0),"Design "&amp;E609&amp;" has another Product Type or Category on another row",IF(COUNTIFS($F$3:$F$1002,F609,$G$3:$G$1002,G609,$H$3:$H$1002,"&lt;&gt;"&amp;H609)&gt;0,F609&amp;" + "&amp;G609&amp;" has another HSN Code on another row",IF(AND(V609&lt;&gt;"",U609=""),"Received Qty needs the Vendor Invoice No",IF(AND(U609&lt;&gt;"",COUNTIFS(Bills!$B$3:$B$302,U609,Bills!$C$3:$C$302,C609)=0),"Add bill "&amp;U609&amp;" of "&amp;C609&amp;" on the Bills sheet",IF(S609&lt;R609,"MRP is below the Purchase Rate","OK")))))))))</f>
        <v/>
      </c>
      <c r="B609" s="29"/>
      <c r="C609" s="22"/>
      <c r="D609" s="22"/>
      <c r="E609" s="24"/>
      <c r="F609" s="22"/>
      <c r="G609" s="22"/>
      <c r="H609" s="22"/>
      <c r="I609" s="30" t="str">
        <f>IF(H609="","",IFERROR(INDEX(Codes!$B$2:$B$13,MATCH(H609,Codes!$A$2:$A$13,0)),""))</f>
        <v/>
      </c>
      <c r="J609" s="23"/>
      <c r="K609" s="23"/>
      <c r="L609" s="23"/>
      <c r="M609" s="23"/>
      <c r="N609" s="23"/>
      <c r="O609" s="23"/>
      <c r="P609" s="23"/>
      <c r="Q609" s="31"/>
      <c r="R609" s="32"/>
      <c r="S609" s="32"/>
      <c r="T609" s="33" t="str">
        <f t="shared" si="18"/>
        <v/>
      </c>
      <c r="U609" s="34"/>
      <c r="V609" s="35"/>
      <c r="W609" s="33" t="str">
        <f t="shared" si="19"/>
        <v/>
      </c>
    </row>
    <row r="610" spans="1:23" x14ac:dyDescent="0.35">
      <c r="A610" s="21" t="str">
        <f>IF(COUNTA(B610:H610,J610:S610,U610:V610)=0,"",IF((IF(B610="","PO Ref, ","")&amp;IF(C610="","Vendor, ","")&amp;IF(D610="","Store, ","")&amp;IF(F610="","Product Type, ","")&amp;IF(G610="","Category, ","")&amp;IF(H610="","HSN Code, ","")&amp;IF(Q610="","Qty, ","")&amp;IF(R610="","Purchase Rate, ","")&amp;IF(S610="","MRP, ",""))&lt;&gt;"","Missing: "&amp;LEFT(IF(B610="","PO Ref, ","")&amp;IF(C610="","Vendor, ","")&amp;IF(D610="","Store, ","")&amp;IF(F610="","Product Type, ","")&amp;IF(G610="","Category, ","")&amp;IF(H610="","HSN Code, ","")&amp;IF(Q610="","Qty, ","")&amp;IF(R610="","Purchase Rate, ","")&amp;IF(S610="","MRP, ",""),LEN(IF(B610="","PO Ref, ","")&amp;IF(C610="","Vendor, ","")&amp;IF(D610="","Store, ","")&amp;IF(F610="","Product Type, ","")&amp;IF(G610="","Category, ","")&amp;IF(H610="","HSN Code, ","")&amp;IF(Q610="","Qty, ","")&amp;IF(R610="","Purchase Rate, ","")&amp;IF(S610="","MRP, ",""))-2),IF(COUNTIF(Vendors!$B$3:$B$202,C610)=0,"Add vendor "&amp;C610&amp;" on the Vendors sheet",IF(ISNA(MATCH(H610,Codes!$A$2:$A$13,0)),"Pick the HSN Code from the list",IF(AND(E610&lt;&gt;"",COUNTIFS($C$3:$C$1002,C610,$E$3:$E$1002,E610,$F$3:$F$1002,"&lt;&gt;"&amp;F610)+COUNTIFS($C$3:$C$1002,C610,$E$3:$E$1002,E610,$G$3:$G$1002,"&lt;&gt;"&amp;G610)&gt;0),"Design "&amp;E610&amp;" has another Product Type or Category on another row",IF(COUNTIFS($F$3:$F$1002,F610,$G$3:$G$1002,G610,$H$3:$H$1002,"&lt;&gt;"&amp;H610)&gt;0,F610&amp;" + "&amp;G610&amp;" has another HSN Code on another row",IF(AND(V610&lt;&gt;"",U610=""),"Received Qty needs the Vendor Invoice No",IF(AND(U610&lt;&gt;"",COUNTIFS(Bills!$B$3:$B$302,U610,Bills!$C$3:$C$302,C610)=0),"Add bill "&amp;U610&amp;" of "&amp;C610&amp;" on the Bills sheet",IF(S610&lt;R610,"MRP is below the Purchase Rate","OK")))))))))</f>
        <v/>
      </c>
      <c r="B610" s="29"/>
      <c r="C610" s="22"/>
      <c r="D610" s="22"/>
      <c r="E610" s="24"/>
      <c r="F610" s="22"/>
      <c r="G610" s="22"/>
      <c r="H610" s="22"/>
      <c r="I610" s="30" t="str">
        <f>IF(H610="","",IFERROR(INDEX(Codes!$B$2:$B$13,MATCH(H610,Codes!$A$2:$A$13,0)),""))</f>
        <v/>
      </c>
      <c r="J610" s="23"/>
      <c r="K610" s="23"/>
      <c r="L610" s="23"/>
      <c r="M610" s="23"/>
      <c r="N610" s="23"/>
      <c r="O610" s="23"/>
      <c r="P610" s="23"/>
      <c r="Q610" s="31"/>
      <c r="R610" s="32"/>
      <c r="S610" s="32"/>
      <c r="T610" s="33" t="str">
        <f t="shared" si="18"/>
        <v/>
      </c>
      <c r="U610" s="34"/>
      <c r="V610" s="35"/>
      <c r="W610" s="33" t="str">
        <f t="shared" si="19"/>
        <v/>
      </c>
    </row>
    <row r="611" spans="1:23" x14ac:dyDescent="0.35">
      <c r="A611" s="21" t="str">
        <f>IF(COUNTA(B611:H611,J611:S611,U611:V611)=0,"",IF((IF(B611="","PO Ref, ","")&amp;IF(C611="","Vendor, ","")&amp;IF(D611="","Store, ","")&amp;IF(F611="","Product Type, ","")&amp;IF(G611="","Category, ","")&amp;IF(H611="","HSN Code, ","")&amp;IF(Q611="","Qty, ","")&amp;IF(R611="","Purchase Rate, ","")&amp;IF(S611="","MRP, ",""))&lt;&gt;"","Missing: "&amp;LEFT(IF(B611="","PO Ref, ","")&amp;IF(C611="","Vendor, ","")&amp;IF(D611="","Store, ","")&amp;IF(F611="","Product Type, ","")&amp;IF(G611="","Category, ","")&amp;IF(H611="","HSN Code, ","")&amp;IF(Q611="","Qty, ","")&amp;IF(R611="","Purchase Rate, ","")&amp;IF(S611="","MRP, ",""),LEN(IF(B611="","PO Ref, ","")&amp;IF(C611="","Vendor, ","")&amp;IF(D611="","Store, ","")&amp;IF(F611="","Product Type, ","")&amp;IF(G611="","Category, ","")&amp;IF(H611="","HSN Code, ","")&amp;IF(Q611="","Qty, ","")&amp;IF(R611="","Purchase Rate, ","")&amp;IF(S611="","MRP, ",""))-2),IF(COUNTIF(Vendors!$B$3:$B$202,C611)=0,"Add vendor "&amp;C611&amp;" on the Vendors sheet",IF(ISNA(MATCH(H611,Codes!$A$2:$A$13,0)),"Pick the HSN Code from the list",IF(AND(E611&lt;&gt;"",COUNTIFS($C$3:$C$1002,C611,$E$3:$E$1002,E611,$F$3:$F$1002,"&lt;&gt;"&amp;F611)+COUNTIFS($C$3:$C$1002,C611,$E$3:$E$1002,E611,$G$3:$G$1002,"&lt;&gt;"&amp;G611)&gt;0),"Design "&amp;E611&amp;" has another Product Type or Category on another row",IF(COUNTIFS($F$3:$F$1002,F611,$G$3:$G$1002,G611,$H$3:$H$1002,"&lt;&gt;"&amp;H611)&gt;0,F611&amp;" + "&amp;G611&amp;" has another HSN Code on another row",IF(AND(V611&lt;&gt;"",U611=""),"Received Qty needs the Vendor Invoice No",IF(AND(U611&lt;&gt;"",COUNTIFS(Bills!$B$3:$B$302,U611,Bills!$C$3:$C$302,C611)=0),"Add bill "&amp;U611&amp;" of "&amp;C611&amp;" on the Bills sheet",IF(S611&lt;R611,"MRP is below the Purchase Rate","OK")))))))))</f>
        <v/>
      </c>
      <c r="B611" s="29"/>
      <c r="C611" s="22"/>
      <c r="D611" s="22"/>
      <c r="E611" s="24"/>
      <c r="F611" s="22"/>
      <c r="G611" s="22"/>
      <c r="H611" s="22"/>
      <c r="I611" s="30" t="str">
        <f>IF(H611="","",IFERROR(INDEX(Codes!$B$2:$B$13,MATCH(H611,Codes!$A$2:$A$13,0)),""))</f>
        <v/>
      </c>
      <c r="J611" s="23"/>
      <c r="K611" s="23"/>
      <c r="L611" s="23"/>
      <c r="M611" s="23"/>
      <c r="N611" s="23"/>
      <c r="O611" s="23"/>
      <c r="P611" s="23"/>
      <c r="Q611" s="31"/>
      <c r="R611" s="32"/>
      <c r="S611" s="32"/>
      <c r="T611" s="33" t="str">
        <f t="shared" si="18"/>
        <v/>
      </c>
      <c r="U611" s="34"/>
      <c r="V611" s="35"/>
      <c r="W611" s="33" t="str">
        <f t="shared" si="19"/>
        <v/>
      </c>
    </row>
    <row r="612" spans="1:23" x14ac:dyDescent="0.35">
      <c r="A612" s="21" t="str">
        <f>IF(COUNTA(B612:H612,J612:S612,U612:V612)=0,"",IF((IF(B612="","PO Ref, ","")&amp;IF(C612="","Vendor, ","")&amp;IF(D612="","Store, ","")&amp;IF(F612="","Product Type, ","")&amp;IF(G612="","Category, ","")&amp;IF(H612="","HSN Code, ","")&amp;IF(Q612="","Qty, ","")&amp;IF(R612="","Purchase Rate, ","")&amp;IF(S612="","MRP, ",""))&lt;&gt;"","Missing: "&amp;LEFT(IF(B612="","PO Ref, ","")&amp;IF(C612="","Vendor, ","")&amp;IF(D612="","Store, ","")&amp;IF(F612="","Product Type, ","")&amp;IF(G612="","Category, ","")&amp;IF(H612="","HSN Code, ","")&amp;IF(Q612="","Qty, ","")&amp;IF(R612="","Purchase Rate, ","")&amp;IF(S612="","MRP, ",""),LEN(IF(B612="","PO Ref, ","")&amp;IF(C612="","Vendor, ","")&amp;IF(D612="","Store, ","")&amp;IF(F612="","Product Type, ","")&amp;IF(G612="","Category, ","")&amp;IF(H612="","HSN Code, ","")&amp;IF(Q612="","Qty, ","")&amp;IF(R612="","Purchase Rate, ","")&amp;IF(S612="","MRP, ",""))-2),IF(COUNTIF(Vendors!$B$3:$B$202,C612)=0,"Add vendor "&amp;C612&amp;" on the Vendors sheet",IF(ISNA(MATCH(H612,Codes!$A$2:$A$13,0)),"Pick the HSN Code from the list",IF(AND(E612&lt;&gt;"",COUNTIFS($C$3:$C$1002,C612,$E$3:$E$1002,E612,$F$3:$F$1002,"&lt;&gt;"&amp;F612)+COUNTIFS($C$3:$C$1002,C612,$E$3:$E$1002,E612,$G$3:$G$1002,"&lt;&gt;"&amp;G612)&gt;0),"Design "&amp;E612&amp;" has another Product Type or Category on another row",IF(COUNTIFS($F$3:$F$1002,F612,$G$3:$G$1002,G612,$H$3:$H$1002,"&lt;&gt;"&amp;H612)&gt;0,F612&amp;" + "&amp;G612&amp;" has another HSN Code on another row",IF(AND(V612&lt;&gt;"",U612=""),"Received Qty needs the Vendor Invoice No",IF(AND(U612&lt;&gt;"",COUNTIFS(Bills!$B$3:$B$302,U612,Bills!$C$3:$C$302,C612)=0),"Add bill "&amp;U612&amp;" of "&amp;C612&amp;" on the Bills sheet",IF(S612&lt;R612,"MRP is below the Purchase Rate","OK")))))))))</f>
        <v/>
      </c>
      <c r="B612" s="29"/>
      <c r="C612" s="22"/>
      <c r="D612" s="22"/>
      <c r="E612" s="24"/>
      <c r="F612" s="22"/>
      <c r="G612" s="22"/>
      <c r="H612" s="22"/>
      <c r="I612" s="30" t="str">
        <f>IF(H612="","",IFERROR(INDEX(Codes!$B$2:$B$13,MATCH(H612,Codes!$A$2:$A$13,0)),""))</f>
        <v/>
      </c>
      <c r="J612" s="23"/>
      <c r="K612" s="23"/>
      <c r="L612" s="23"/>
      <c r="M612" s="23"/>
      <c r="N612" s="23"/>
      <c r="O612" s="23"/>
      <c r="P612" s="23"/>
      <c r="Q612" s="31"/>
      <c r="R612" s="32"/>
      <c r="S612" s="32"/>
      <c r="T612" s="33" t="str">
        <f t="shared" si="18"/>
        <v/>
      </c>
      <c r="U612" s="34"/>
      <c r="V612" s="35"/>
      <c r="W612" s="33" t="str">
        <f t="shared" si="19"/>
        <v/>
      </c>
    </row>
    <row r="613" spans="1:23" x14ac:dyDescent="0.35">
      <c r="A613" s="21" t="str">
        <f>IF(COUNTA(B613:H613,J613:S613,U613:V613)=0,"",IF((IF(B613="","PO Ref, ","")&amp;IF(C613="","Vendor, ","")&amp;IF(D613="","Store, ","")&amp;IF(F613="","Product Type, ","")&amp;IF(G613="","Category, ","")&amp;IF(H613="","HSN Code, ","")&amp;IF(Q613="","Qty, ","")&amp;IF(R613="","Purchase Rate, ","")&amp;IF(S613="","MRP, ",""))&lt;&gt;"","Missing: "&amp;LEFT(IF(B613="","PO Ref, ","")&amp;IF(C613="","Vendor, ","")&amp;IF(D613="","Store, ","")&amp;IF(F613="","Product Type, ","")&amp;IF(G613="","Category, ","")&amp;IF(H613="","HSN Code, ","")&amp;IF(Q613="","Qty, ","")&amp;IF(R613="","Purchase Rate, ","")&amp;IF(S613="","MRP, ",""),LEN(IF(B613="","PO Ref, ","")&amp;IF(C613="","Vendor, ","")&amp;IF(D613="","Store, ","")&amp;IF(F613="","Product Type, ","")&amp;IF(G613="","Category, ","")&amp;IF(H613="","HSN Code, ","")&amp;IF(Q613="","Qty, ","")&amp;IF(R613="","Purchase Rate, ","")&amp;IF(S613="","MRP, ",""))-2),IF(COUNTIF(Vendors!$B$3:$B$202,C613)=0,"Add vendor "&amp;C613&amp;" on the Vendors sheet",IF(ISNA(MATCH(H613,Codes!$A$2:$A$13,0)),"Pick the HSN Code from the list",IF(AND(E613&lt;&gt;"",COUNTIFS($C$3:$C$1002,C613,$E$3:$E$1002,E613,$F$3:$F$1002,"&lt;&gt;"&amp;F613)+COUNTIFS($C$3:$C$1002,C613,$E$3:$E$1002,E613,$G$3:$G$1002,"&lt;&gt;"&amp;G613)&gt;0),"Design "&amp;E613&amp;" has another Product Type or Category on another row",IF(COUNTIFS($F$3:$F$1002,F613,$G$3:$G$1002,G613,$H$3:$H$1002,"&lt;&gt;"&amp;H613)&gt;0,F613&amp;" + "&amp;G613&amp;" has another HSN Code on another row",IF(AND(V613&lt;&gt;"",U613=""),"Received Qty needs the Vendor Invoice No",IF(AND(U613&lt;&gt;"",COUNTIFS(Bills!$B$3:$B$302,U613,Bills!$C$3:$C$302,C613)=0),"Add bill "&amp;U613&amp;" of "&amp;C613&amp;" on the Bills sheet",IF(S613&lt;R613,"MRP is below the Purchase Rate","OK")))))))))</f>
        <v/>
      </c>
      <c r="B613" s="29"/>
      <c r="C613" s="22"/>
      <c r="D613" s="22"/>
      <c r="E613" s="24"/>
      <c r="F613" s="22"/>
      <c r="G613" s="22"/>
      <c r="H613" s="22"/>
      <c r="I613" s="30" t="str">
        <f>IF(H613="","",IFERROR(INDEX(Codes!$B$2:$B$13,MATCH(H613,Codes!$A$2:$A$13,0)),""))</f>
        <v/>
      </c>
      <c r="J613" s="23"/>
      <c r="K613" s="23"/>
      <c r="L613" s="23"/>
      <c r="M613" s="23"/>
      <c r="N613" s="23"/>
      <c r="O613" s="23"/>
      <c r="P613" s="23"/>
      <c r="Q613" s="31"/>
      <c r="R613" s="32"/>
      <c r="S613" s="32"/>
      <c r="T613" s="33" t="str">
        <f t="shared" si="18"/>
        <v/>
      </c>
      <c r="U613" s="34"/>
      <c r="V613" s="35"/>
      <c r="W613" s="33" t="str">
        <f t="shared" si="19"/>
        <v/>
      </c>
    </row>
    <row r="614" spans="1:23" x14ac:dyDescent="0.35">
      <c r="A614" s="21" t="str">
        <f>IF(COUNTA(B614:H614,J614:S614,U614:V614)=0,"",IF((IF(B614="","PO Ref, ","")&amp;IF(C614="","Vendor, ","")&amp;IF(D614="","Store, ","")&amp;IF(F614="","Product Type, ","")&amp;IF(G614="","Category, ","")&amp;IF(H614="","HSN Code, ","")&amp;IF(Q614="","Qty, ","")&amp;IF(R614="","Purchase Rate, ","")&amp;IF(S614="","MRP, ",""))&lt;&gt;"","Missing: "&amp;LEFT(IF(B614="","PO Ref, ","")&amp;IF(C614="","Vendor, ","")&amp;IF(D614="","Store, ","")&amp;IF(F614="","Product Type, ","")&amp;IF(G614="","Category, ","")&amp;IF(H614="","HSN Code, ","")&amp;IF(Q614="","Qty, ","")&amp;IF(R614="","Purchase Rate, ","")&amp;IF(S614="","MRP, ",""),LEN(IF(B614="","PO Ref, ","")&amp;IF(C614="","Vendor, ","")&amp;IF(D614="","Store, ","")&amp;IF(F614="","Product Type, ","")&amp;IF(G614="","Category, ","")&amp;IF(H614="","HSN Code, ","")&amp;IF(Q614="","Qty, ","")&amp;IF(R614="","Purchase Rate, ","")&amp;IF(S614="","MRP, ",""))-2),IF(COUNTIF(Vendors!$B$3:$B$202,C614)=0,"Add vendor "&amp;C614&amp;" on the Vendors sheet",IF(ISNA(MATCH(H614,Codes!$A$2:$A$13,0)),"Pick the HSN Code from the list",IF(AND(E614&lt;&gt;"",COUNTIFS($C$3:$C$1002,C614,$E$3:$E$1002,E614,$F$3:$F$1002,"&lt;&gt;"&amp;F614)+COUNTIFS($C$3:$C$1002,C614,$E$3:$E$1002,E614,$G$3:$G$1002,"&lt;&gt;"&amp;G614)&gt;0),"Design "&amp;E614&amp;" has another Product Type or Category on another row",IF(COUNTIFS($F$3:$F$1002,F614,$G$3:$G$1002,G614,$H$3:$H$1002,"&lt;&gt;"&amp;H614)&gt;0,F614&amp;" + "&amp;G614&amp;" has another HSN Code on another row",IF(AND(V614&lt;&gt;"",U614=""),"Received Qty needs the Vendor Invoice No",IF(AND(U614&lt;&gt;"",COUNTIFS(Bills!$B$3:$B$302,U614,Bills!$C$3:$C$302,C614)=0),"Add bill "&amp;U614&amp;" of "&amp;C614&amp;" on the Bills sheet",IF(S614&lt;R614,"MRP is below the Purchase Rate","OK")))))))))</f>
        <v/>
      </c>
      <c r="B614" s="29"/>
      <c r="C614" s="22"/>
      <c r="D614" s="22"/>
      <c r="E614" s="24"/>
      <c r="F614" s="22"/>
      <c r="G614" s="22"/>
      <c r="H614" s="22"/>
      <c r="I614" s="30" t="str">
        <f>IF(H614="","",IFERROR(INDEX(Codes!$B$2:$B$13,MATCH(H614,Codes!$A$2:$A$13,0)),""))</f>
        <v/>
      </c>
      <c r="J614" s="23"/>
      <c r="K614" s="23"/>
      <c r="L614" s="23"/>
      <c r="M614" s="23"/>
      <c r="N614" s="23"/>
      <c r="O614" s="23"/>
      <c r="P614" s="23"/>
      <c r="Q614" s="31"/>
      <c r="R614" s="32"/>
      <c r="S614" s="32"/>
      <c r="T614" s="33" t="str">
        <f t="shared" si="18"/>
        <v/>
      </c>
      <c r="U614" s="34"/>
      <c r="V614" s="35"/>
      <c r="W614" s="33" t="str">
        <f t="shared" si="19"/>
        <v/>
      </c>
    </row>
    <row r="615" spans="1:23" x14ac:dyDescent="0.35">
      <c r="A615" s="21" t="str">
        <f>IF(COUNTA(B615:H615,J615:S615,U615:V615)=0,"",IF((IF(B615="","PO Ref, ","")&amp;IF(C615="","Vendor, ","")&amp;IF(D615="","Store, ","")&amp;IF(F615="","Product Type, ","")&amp;IF(G615="","Category, ","")&amp;IF(H615="","HSN Code, ","")&amp;IF(Q615="","Qty, ","")&amp;IF(R615="","Purchase Rate, ","")&amp;IF(S615="","MRP, ",""))&lt;&gt;"","Missing: "&amp;LEFT(IF(B615="","PO Ref, ","")&amp;IF(C615="","Vendor, ","")&amp;IF(D615="","Store, ","")&amp;IF(F615="","Product Type, ","")&amp;IF(G615="","Category, ","")&amp;IF(H615="","HSN Code, ","")&amp;IF(Q615="","Qty, ","")&amp;IF(R615="","Purchase Rate, ","")&amp;IF(S615="","MRP, ",""),LEN(IF(B615="","PO Ref, ","")&amp;IF(C615="","Vendor, ","")&amp;IF(D615="","Store, ","")&amp;IF(F615="","Product Type, ","")&amp;IF(G615="","Category, ","")&amp;IF(H615="","HSN Code, ","")&amp;IF(Q615="","Qty, ","")&amp;IF(R615="","Purchase Rate, ","")&amp;IF(S615="","MRP, ",""))-2),IF(COUNTIF(Vendors!$B$3:$B$202,C615)=0,"Add vendor "&amp;C615&amp;" on the Vendors sheet",IF(ISNA(MATCH(H615,Codes!$A$2:$A$13,0)),"Pick the HSN Code from the list",IF(AND(E615&lt;&gt;"",COUNTIFS($C$3:$C$1002,C615,$E$3:$E$1002,E615,$F$3:$F$1002,"&lt;&gt;"&amp;F615)+COUNTIFS($C$3:$C$1002,C615,$E$3:$E$1002,E615,$G$3:$G$1002,"&lt;&gt;"&amp;G615)&gt;0),"Design "&amp;E615&amp;" has another Product Type or Category on another row",IF(COUNTIFS($F$3:$F$1002,F615,$G$3:$G$1002,G615,$H$3:$H$1002,"&lt;&gt;"&amp;H615)&gt;0,F615&amp;" + "&amp;G615&amp;" has another HSN Code on another row",IF(AND(V615&lt;&gt;"",U615=""),"Received Qty needs the Vendor Invoice No",IF(AND(U615&lt;&gt;"",COUNTIFS(Bills!$B$3:$B$302,U615,Bills!$C$3:$C$302,C615)=0),"Add bill "&amp;U615&amp;" of "&amp;C615&amp;" on the Bills sheet",IF(S615&lt;R615,"MRP is below the Purchase Rate","OK")))))))))</f>
        <v/>
      </c>
      <c r="B615" s="29"/>
      <c r="C615" s="22"/>
      <c r="D615" s="22"/>
      <c r="E615" s="24"/>
      <c r="F615" s="22"/>
      <c r="G615" s="22"/>
      <c r="H615" s="22"/>
      <c r="I615" s="30" t="str">
        <f>IF(H615="","",IFERROR(INDEX(Codes!$B$2:$B$13,MATCH(H615,Codes!$A$2:$A$13,0)),""))</f>
        <v/>
      </c>
      <c r="J615" s="23"/>
      <c r="K615" s="23"/>
      <c r="L615" s="23"/>
      <c r="M615" s="23"/>
      <c r="N615" s="23"/>
      <c r="O615" s="23"/>
      <c r="P615" s="23"/>
      <c r="Q615" s="31"/>
      <c r="R615" s="32"/>
      <c r="S615" s="32"/>
      <c r="T615" s="33" t="str">
        <f t="shared" si="18"/>
        <v/>
      </c>
      <c r="U615" s="34"/>
      <c r="V615" s="35"/>
      <c r="W615" s="33" t="str">
        <f t="shared" si="19"/>
        <v/>
      </c>
    </row>
    <row r="616" spans="1:23" x14ac:dyDescent="0.35">
      <c r="A616" s="21" t="str">
        <f>IF(COUNTA(B616:H616,J616:S616,U616:V616)=0,"",IF((IF(B616="","PO Ref, ","")&amp;IF(C616="","Vendor, ","")&amp;IF(D616="","Store, ","")&amp;IF(F616="","Product Type, ","")&amp;IF(G616="","Category, ","")&amp;IF(H616="","HSN Code, ","")&amp;IF(Q616="","Qty, ","")&amp;IF(R616="","Purchase Rate, ","")&amp;IF(S616="","MRP, ",""))&lt;&gt;"","Missing: "&amp;LEFT(IF(B616="","PO Ref, ","")&amp;IF(C616="","Vendor, ","")&amp;IF(D616="","Store, ","")&amp;IF(F616="","Product Type, ","")&amp;IF(G616="","Category, ","")&amp;IF(H616="","HSN Code, ","")&amp;IF(Q616="","Qty, ","")&amp;IF(R616="","Purchase Rate, ","")&amp;IF(S616="","MRP, ",""),LEN(IF(B616="","PO Ref, ","")&amp;IF(C616="","Vendor, ","")&amp;IF(D616="","Store, ","")&amp;IF(F616="","Product Type, ","")&amp;IF(G616="","Category, ","")&amp;IF(H616="","HSN Code, ","")&amp;IF(Q616="","Qty, ","")&amp;IF(R616="","Purchase Rate, ","")&amp;IF(S616="","MRP, ",""))-2),IF(COUNTIF(Vendors!$B$3:$B$202,C616)=0,"Add vendor "&amp;C616&amp;" on the Vendors sheet",IF(ISNA(MATCH(H616,Codes!$A$2:$A$13,0)),"Pick the HSN Code from the list",IF(AND(E616&lt;&gt;"",COUNTIFS($C$3:$C$1002,C616,$E$3:$E$1002,E616,$F$3:$F$1002,"&lt;&gt;"&amp;F616)+COUNTIFS($C$3:$C$1002,C616,$E$3:$E$1002,E616,$G$3:$G$1002,"&lt;&gt;"&amp;G616)&gt;0),"Design "&amp;E616&amp;" has another Product Type or Category on another row",IF(COUNTIFS($F$3:$F$1002,F616,$G$3:$G$1002,G616,$H$3:$H$1002,"&lt;&gt;"&amp;H616)&gt;0,F616&amp;" + "&amp;G616&amp;" has another HSN Code on another row",IF(AND(V616&lt;&gt;"",U616=""),"Received Qty needs the Vendor Invoice No",IF(AND(U616&lt;&gt;"",COUNTIFS(Bills!$B$3:$B$302,U616,Bills!$C$3:$C$302,C616)=0),"Add bill "&amp;U616&amp;" of "&amp;C616&amp;" on the Bills sheet",IF(S616&lt;R616,"MRP is below the Purchase Rate","OK")))))))))</f>
        <v/>
      </c>
      <c r="B616" s="29"/>
      <c r="C616" s="22"/>
      <c r="D616" s="22"/>
      <c r="E616" s="24"/>
      <c r="F616" s="22"/>
      <c r="G616" s="22"/>
      <c r="H616" s="22"/>
      <c r="I616" s="30" t="str">
        <f>IF(H616="","",IFERROR(INDEX(Codes!$B$2:$B$13,MATCH(H616,Codes!$A$2:$A$13,0)),""))</f>
        <v/>
      </c>
      <c r="J616" s="23"/>
      <c r="K616" s="23"/>
      <c r="L616" s="23"/>
      <c r="M616" s="23"/>
      <c r="N616" s="23"/>
      <c r="O616" s="23"/>
      <c r="P616" s="23"/>
      <c r="Q616" s="31"/>
      <c r="R616" s="32"/>
      <c r="S616" s="32"/>
      <c r="T616" s="33" t="str">
        <f t="shared" si="18"/>
        <v/>
      </c>
      <c r="U616" s="34"/>
      <c r="V616" s="35"/>
      <c r="W616" s="33" t="str">
        <f t="shared" si="19"/>
        <v/>
      </c>
    </row>
    <row r="617" spans="1:23" x14ac:dyDescent="0.35">
      <c r="A617" s="21" t="str">
        <f>IF(COUNTA(B617:H617,J617:S617,U617:V617)=0,"",IF((IF(B617="","PO Ref, ","")&amp;IF(C617="","Vendor, ","")&amp;IF(D617="","Store, ","")&amp;IF(F617="","Product Type, ","")&amp;IF(G617="","Category, ","")&amp;IF(H617="","HSN Code, ","")&amp;IF(Q617="","Qty, ","")&amp;IF(R617="","Purchase Rate, ","")&amp;IF(S617="","MRP, ",""))&lt;&gt;"","Missing: "&amp;LEFT(IF(B617="","PO Ref, ","")&amp;IF(C617="","Vendor, ","")&amp;IF(D617="","Store, ","")&amp;IF(F617="","Product Type, ","")&amp;IF(G617="","Category, ","")&amp;IF(H617="","HSN Code, ","")&amp;IF(Q617="","Qty, ","")&amp;IF(R617="","Purchase Rate, ","")&amp;IF(S617="","MRP, ",""),LEN(IF(B617="","PO Ref, ","")&amp;IF(C617="","Vendor, ","")&amp;IF(D617="","Store, ","")&amp;IF(F617="","Product Type, ","")&amp;IF(G617="","Category, ","")&amp;IF(H617="","HSN Code, ","")&amp;IF(Q617="","Qty, ","")&amp;IF(R617="","Purchase Rate, ","")&amp;IF(S617="","MRP, ",""))-2),IF(COUNTIF(Vendors!$B$3:$B$202,C617)=0,"Add vendor "&amp;C617&amp;" on the Vendors sheet",IF(ISNA(MATCH(H617,Codes!$A$2:$A$13,0)),"Pick the HSN Code from the list",IF(AND(E617&lt;&gt;"",COUNTIFS($C$3:$C$1002,C617,$E$3:$E$1002,E617,$F$3:$F$1002,"&lt;&gt;"&amp;F617)+COUNTIFS($C$3:$C$1002,C617,$E$3:$E$1002,E617,$G$3:$G$1002,"&lt;&gt;"&amp;G617)&gt;0),"Design "&amp;E617&amp;" has another Product Type or Category on another row",IF(COUNTIFS($F$3:$F$1002,F617,$G$3:$G$1002,G617,$H$3:$H$1002,"&lt;&gt;"&amp;H617)&gt;0,F617&amp;" + "&amp;G617&amp;" has another HSN Code on another row",IF(AND(V617&lt;&gt;"",U617=""),"Received Qty needs the Vendor Invoice No",IF(AND(U617&lt;&gt;"",COUNTIFS(Bills!$B$3:$B$302,U617,Bills!$C$3:$C$302,C617)=0),"Add bill "&amp;U617&amp;" of "&amp;C617&amp;" on the Bills sheet",IF(S617&lt;R617,"MRP is below the Purchase Rate","OK")))))))))</f>
        <v/>
      </c>
      <c r="B617" s="29"/>
      <c r="C617" s="22"/>
      <c r="D617" s="22"/>
      <c r="E617" s="24"/>
      <c r="F617" s="22"/>
      <c r="G617" s="22"/>
      <c r="H617" s="22"/>
      <c r="I617" s="30" t="str">
        <f>IF(H617="","",IFERROR(INDEX(Codes!$B$2:$B$13,MATCH(H617,Codes!$A$2:$A$13,0)),""))</f>
        <v/>
      </c>
      <c r="J617" s="23"/>
      <c r="K617" s="23"/>
      <c r="L617" s="23"/>
      <c r="M617" s="23"/>
      <c r="N617" s="23"/>
      <c r="O617" s="23"/>
      <c r="P617" s="23"/>
      <c r="Q617" s="31"/>
      <c r="R617" s="32"/>
      <c r="S617" s="32"/>
      <c r="T617" s="33" t="str">
        <f t="shared" si="18"/>
        <v/>
      </c>
      <c r="U617" s="34"/>
      <c r="V617" s="35"/>
      <c r="W617" s="33" t="str">
        <f t="shared" si="19"/>
        <v/>
      </c>
    </row>
    <row r="618" spans="1:23" x14ac:dyDescent="0.35">
      <c r="A618" s="21" t="str">
        <f>IF(COUNTA(B618:H618,J618:S618,U618:V618)=0,"",IF((IF(B618="","PO Ref, ","")&amp;IF(C618="","Vendor, ","")&amp;IF(D618="","Store, ","")&amp;IF(F618="","Product Type, ","")&amp;IF(G618="","Category, ","")&amp;IF(H618="","HSN Code, ","")&amp;IF(Q618="","Qty, ","")&amp;IF(R618="","Purchase Rate, ","")&amp;IF(S618="","MRP, ",""))&lt;&gt;"","Missing: "&amp;LEFT(IF(B618="","PO Ref, ","")&amp;IF(C618="","Vendor, ","")&amp;IF(D618="","Store, ","")&amp;IF(F618="","Product Type, ","")&amp;IF(G618="","Category, ","")&amp;IF(H618="","HSN Code, ","")&amp;IF(Q618="","Qty, ","")&amp;IF(R618="","Purchase Rate, ","")&amp;IF(S618="","MRP, ",""),LEN(IF(B618="","PO Ref, ","")&amp;IF(C618="","Vendor, ","")&amp;IF(D618="","Store, ","")&amp;IF(F618="","Product Type, ","")&amp;IF(G618="","Category, ","")&amp;IF(H618="","HSN Code, ","")&amp;IF(Q618="","Qty, ","")&amp;IF(R618="","Purchase Rate, ","")&amp;IF(S618="","MRP, ",""))-2),IF(COUNTIF(Vendors!$B$3:$B$202,C618)=0,"Add vendor "&amp;C618&amp;" on the Vendors sheet",IF(ISNA(MATCH(H618,Codes!$A$2:$A$13,0)),"Pick the HSN Code from the list",IF(AND(E618&lt;&gt;"",COUNTIFS($C$3:$C$1002,C618,$E$3:$E$1002,E618,$F$3:$F$1002,"&lt;&gt;"&amp;F618)+COUNTIFS($C$3:$C$1002,C618,$E$3:$E$1002,E618,$G$3:$G$1002,"&lt;&gt;"&amp;G618)&gt;0),"Design "&amp;E618&amp;" has another Product Type or Category on another row",IF(COUNTIFS($F$3:$F$1002,F618,$G$3:$G$1002,G618,$H$3:$H$1002,"&lt;&gt;"&amp;H618)&gt;0,F618&amp;" + "&amp;G618&amp;" has another HSN Code on another row",IF(AND(V618&lt;&gt;"",U618=""),"Received Qty needs the Vendor Invoice No",IF(AND(U618&lt;&gt;"",COUNTIFS(Bills!$B$3:$B$302,U618,Bills!$C$3:$C$302,C618)=0),"Add bill "&amp;U618&amp;" of "&amp;C618&amp;" on the Bills sheet",IF(S618&lt;R618,"MRP is below the Purchase Rate","OK")))))))))</f>
        <v/>
      </c>
      <c r="B618" s="29"/>
      <c r="C618" s="22"/>
      <c r="D618" s="22"/>
      <c r="E618" s="24"/>
      <c r="F618" s="22"/>
      <c r="G618" s="22"/>
      <c r="H618" s="22"/>
      <c r="I618" s="30" t="str">
        <f>IF(H618="","",IFERROR(INDEX(Codes!$B$2:$B$13,MATCH(H618,Codes!$A$2:$A$13,0)),""))</f>
        <v/>
      </c>
      <c r="J618" s="23"/>
      <c r="K618" s="23"/>
      <c r="L618" s="23"/>
      <c r="M618" s="23"/>
      <c r="N618" s="23"/>
      <c r="O618" s="23"/>
      <c r="P618" s="23"/>
      <c r="Q618" s="31"/>
      <c r="R618" s="32"/>
      <c r="S618" s="32"/>
      <c r="T618" s="33" t="str">
        <f t="shared" si="18"/>
        <v/>
      </c>
      <c r="U618" s="34"/>
      <c r="V618" s="35"/>
      <c r="W618" s="33" t="str">
        <f t="shared" si="19"/>
        <v/>
      </c>
    </row>
    <row r="619" spans="1:23" x14ac:dyDescent="0.35">
      <c r="A619" s="21" t="str">
        <f>IF(COUNTA(B619:H619,J619:S619,U619:V619)=0,"",IF((IF(B619="","PO Ref, ","")&amp;IF(C619="","Vendor, ","")&amp;IF(D619="","Store, ","")&amp;IF(F619="","Product Type, ","")&amp;IF(G619="","Category, ","")&amp;IF(H619="","HSN Code, ","")&amp;IF(Q619="","Qty, ","")&amp;IF(R619="","Purchase Rate, ","")&amp;IF(S619="","MRP, ",""))&lt;&gt;"","Missing: "&amp;LEFT(IF(B619="","PO Ref, ","")&amp;IF(C619="","Vendor, ","")&amp;IF(D619="","Store, ","")&amp;IF(F619="","Product Type, ","")&amp;IF(G619="","Category, ","")&amp;IF(H619="","HSN Code, ","")&amp;IF(Q619="","Qty, ","")&amp;IF(R619="","Purchase Rate, ","")&amp;IF(S619="","MRP, ",""),LEN(IF(B619="","PO Ref, ","")&amp;IF(C619="","Vendor, ","")&amp;IF(D619="","Store, ","")&amp;IF(F619="","Product Type, ","")&amp;IF(G619="","Category, ","")&amp;IF(H619="","HSN Code, ","")&amp;IF(Q619="","Qty, ","")&amp;IF(R619="","Purchase Rate, ","")&amp;IF(S619="","MRP, ",""))-2),IF(COUNTIF(Vendors!$B$3:$B$202,C619)=0,"Add vendor "&amp;C619&amp;" on the Vendors sheet",IF(ISNA(MATCH(H619,Codes!$A$2:$A$13,0)),"Pick the HSN Code from the list",IF(AND(E619&lt;&gt;"",COUNTIFS($C$3:$C$1002,C619,$E$3:$E$1002,E619,$F$3:$F$1002,"&lt;&gt;"&amp;F619)+COUNTIFS($C$3:$C$1002,C619,$E$3:$E$1002,E619,$G$3:$G$1002,"&lt;&gt;"&amp;G619)&gt;0),"Design "&amp;E619&amp;" has another Product Type or Category on another row",IF(COUNTIFS($F$3:$F$1002,F619,$G$3:$G$1002,G619,$H$3:$H$1002,"&lt;&gt;"&amp;H619)&gt;0,F619&amp;" + "&amp;G619&amp;" has another HSN Code on another row",IF(AND(V619&lt;&gt;"",U619=""),"Received Qty needs the Vendor Invoice No",IF(AND(U619&lt;&gt;"",COUNTIFS(Bills!$B$3:$B$302,U619,Bills!$C$3:$C$302,C619)=0),"Add bill "&amp;U619&amp;" of "&amp;C619&amp;" on the Bills sheet",IF(S619&lt;R619,"MRP is below the Purchase Rate","OK")))))))))</f>
        <v/>
      </c>
      <c r="B619" s="29"/>
      <c r="C619" s="22"/>
      <c r="D619" s="22"/>
      <c r="E619" s="24"/>
      <c r="F619" s="22"/>
      <c r="G619" s="22"/>
      <c r="H619" s="22"/>
      <c r="I619" s="30" t="str">
        <f>IF(H619="","",IFERROR(INDEX(Codes!$B$2:$B$13,MATCH(H619,Codes!$A$2:$A$13,0)),""))</f>
        <v/>
      </c>
      <c r="J619" s="23"/>
      <c r="K619" s="23"/>
      <c r="L619" s="23"/>
      <c r="M619" s="23"/>
      <c r="N619" s="23"/>
      <c r="O619" s="23"/>
      <c r="P619" s="23"/>
      <c r="Q619" s="31"/>
      <c r="R619" s="32"/>
      <c r="S619" s="32"/>
      <c r="T619" s="33" t="str">
        <f t="shared" si="18"/>
        <v/>
      </c>
      <c r="U619" s="34"/>
      <c r="V619" s="35"/>
      <c r="W619" s="33" t="str">
        <f t="shared" si="19"/>
        <v/>
      </c>
    </row>
    <row r="620" spans="1:23" x14ac:dyDescent="0.35">
      <c r="A620" s="21" t="str">
        <f>IF(COUNTA(B620:H620,J620:S620,U620:V620)=0,"",IF((IF(B620="","PO Ref, ","")&amp;IF(C620="","Vendor, ","")&amp;IF(D620="","Store, ","")&amp;IF(F620="","Product Type, ","")&amp;IF(G620="","Category, ","")&amp;IF(H620="","HSN Code, ","")&amp;IF(Q620="","Qty, ","")&amp;IF(R620="","Purchase Rate, ","")&amp;IF(S620="","MRP, ",""))&lt;&gt;"","Missing: "&amp;LEFT(IF(B620="","PO Ref, ","")&amp;IF(C620="","Vendor, ","")&amp;IF(D620="","Store, ","")&amp;IF(F620="","Product Type, ","")&amp;IF(G620="","Category, ","")&amp;IF(H620="","HSN Code, ","")&amp;IF(Q620="","Qty, ","")&amp;IF(R620="","Purchase Rate, ","")&amp;IF(S620="","MRP, ",""),LEN(IF(B620="","PO Ref, ","")&amp;IF(C620="","Vendor, ","")&amp;IF(D620="","Store, ","")&amp;IF(F620="","Product Type, ","")&amp;IF(G620="","Category, ","")&amp;IF(H620="","HSN Code, ","")&amp;IF(Q620="","Qty, ","")&amp;IF(R620="","Purchase Rate, ","")&amp;IF(S620="","MRP, ",""))-2),IF(COUNTIF(Vendors!$B$3:$B$202,C620)=0,"Add vendor "&amp;C620&amp;" on the Vendors sheet",IF(ISNA(MATCH(H620,Codes!$A$2:$A$13,0)),"Pick the HSN Code from the list",IF(AND(E620&lt;&gt;"",COUNTIFS($C$3:$C$1002,C620,$E$3:$E$1002,E620,$F$3:$F$1002,"&lt;&gt;"&amp;F620)+COUNTIFS($C$3:$C$1002,C620,$E$3:$E$1002,E620,$G$3:$G$1002,"&lt;&gt;"&amp;G620)&gt;0),"Design "&amp;E620&amp;" has another Product Type or Category on another row",IF(COUNTIFS($F$3:$F$1002,F620,$G$3:$G$1002,G620,$H$3:$H$1002,"&lt;&gt;"&amp;H620)&gt;0,F620&amp;" + "&amp;G620&amp;" has another HSN Code on another row",IF(AND(V620&lt;&gt;"",U620=""),"Received Qty needs the Vendor Invoice No",IF(AND(U620&lt;&gt;"",COUNTIFS(Bills!$B$3:$B$302,U620,Bills!$C$3:$C$302,C620)=0),"Add bill "&amp;U620&amp;" of "&amp;C620&amp;" on the Bills sheet",IF(S620&lt;R620,"MRP is below the Purchase Rate","OK")))))))))</f>
        <v/>
      </c>
      <c r="B620" s="29"/>
      <c r="C620" s="22"/>
      <c r="D620" s="22"/>
      <c r="E620" s="24"/>
      <c r="F620" s="22"/>
      <c r="G620" s="22"/>
      <c r="H620" s="22"/>
      <c r="I620" s="30" t="str">
        <f>IF(H620="","",IFERROR(INDEX(Codes!$B$2:$B$13,MATCH(H620,Codes!$A$2:$A$13,0)),""))</f>
        <v/>
      </c>
      <c r="J620" s="23"/>
      <c r="K620" s="23"/>
      <c r="L620" s="23"/>
      <c r="M620" s="23"/>
      <c r="N620" s="23"/>
      <c r="O620" s="23"/>
      <c r="P620" s="23"/>
      <c r="Q620" s="31"/>
      <c r="R620" s="32"/>
      <c r="S620" s="32"/>
      <c r="T620" s="33" t="str">
        <f t="shared" si="18"/>
        <v/>
      </c>
      <c r="U620" s="34"/>
      <c r="V620" s="35"/>
      <c r="W620" s="33" t="str">
        <f t="shared" si="19"/>
        <v/>
      </c>
    </row>
    <row r="621" spans="1:23" x14ac:dyDescent="0.35">
      <c r="A621" s="21" t="str">
        <f>IF(COUNTA(B621:H621,J621:S621,U621:V621)=0,"",IF((IF(B621="","PO Ref, ","")&amp;IF(C621="","Vendor, ","")&amp;IF(D621="","Store, ","")&amp;IF(F621="","Product Type, ","")&amp;IF(G621="","Category, ","")&amp;IF(H621="","HSN Code, ","")&amp;IF(Q621="","Qty, ","")&amp;IF(R621="","Purchase Rate, ","")&amp;IF(S621="","MRP, ",""))&lt;&gt;"","Missing: "&amp;LEFT(IF(B621="","PO Ref, ","")&amp;IF(C621="","Vendor, ","")&amp;IF(D621="","Store, ","")&amp;IF(F621="","Product Type, ","")&amp;IF(G621="","Category, ","")&amp;IF(H621="","HSN Code, ","")&amp;IF(Q621="","Qty, ","")&amp;IF(R621="","Purchase Rate, ","")&amp;IF(S621="","MRP, ",""),LEN(IF(B621="","PO Ref, ","")&amp;IF(C621="","Vendor, ","")&amp;IF(D621="","Store, ","")&amp;IF(F621="","Product Type, ","")&amp;IF(G621="","Category, ","")&amp;IF(H621="","HSN Code, ","")&amp;IF(Q621="","Qty, ","")&amp;IF(R621="","Purchase Rate, ","")&amp;IF(S621="","MRP, ",""))-2),IF(COUNTIF(Vendors!$B$3:$B$202,C621)=0,"Add vendor "&amp;C621&amp;" on the Vendors sheet",IF(ISNA(MATCH(H621,Codes!$A$2:$A$13,0)),"Pick the HSN Code from the list",IF(AND(E621&lt;&gt;"",COUNTIFS($C$3:$C$1002,C621,$E$3:$E$1002,E621,$F$3:$F$1002,"&lt;&gt;"&amp;F621)+COUNTIFS($C$3:$C$1002,C621,$E$3:$E$1002,E621,$G$3:$G$1002,"&lt;&gt;"&amp;G621)&gt;0),"Design "&amp;E621&amp;" has another Product Type or Category on another row",IF(COUNTIFS($F$3:$F$1002,F621,$G$3:$G$1002,G621,$H$3:$H$1002,"&lt;&gt;"&amp;H621)&gt;0,F621&amp;" + "&amp;G621&amp;" has another HSN Code on another row",IF(AND(V621&lt;&gt;"",U621=""),"Received Qty needs the Vendor Invoice No",IF(AND(U621&lt;&gt;"",COUNTIFS(Bills!$B$3:$B$302,U621,Bills!$C$3:$C$302,C621)=0),"Add bill "&amp;U621&amp;" of "&amp;C621&amp;" on the Bills sheet",IF(S621&lt;R621,"MRP is below the Purchase Rate","OK")))))))))</f>
        <v/>
      </c>
      <c r="B621" s="29"/>
      <c r="C621" s="22"/>
      <c r="D621" s="22"/>
      <c r="E621" s="24"/>
      <c r="F621" s="22"/>
      <c r="G621" s="22"/>
      <c r="H621" s="22"/>
      <c r="I621" s="30" t="str">
        <f>IF(H621="","",IFERROR(INDEX(Codes!$B$2:$B$13,MATCH(H621,Codes!$A$2:$A$13,0)),""))</f>
        <v/>
      </c>
      <c r="J621" s="23"/>
      <c r="K621" s="23"/>
      <c r="L621" s="23"/>
      <c r="M621" s="23"/>
      <c r="N621" s="23"/>
      <c r="O621" s="23"/>
      <c r="P621" s="23"/>
      <c r="Q621" s="31"/>
      <c r="R621" s="32"/>
      <c r="S621" s="32"/>
      <c r="T621" s="33" t="str">
        <f t="shared" si="18"/>
        <v/>
      </c>
      <c r="U621" s="34"/>
      <c r="V621" s="35"/>
      <c r="W621" s="33" t="str">
        <f t="shared" si="19"/>
        <v/>
      </c>
    </row>
    <row r="622" spans="1:23" x14ac:dyDescent="0.35">
      <c r="A622" s="21" t="str">
        <f>IF(COUNTA(B622:H622,J622:S622,U622:V622)=0,"",IF((IF(B622="","PO Ref, ","")&amp;IF(C622="","Vendor, ","")&amp;IF(D622="","Store, ","")&amp;IF(F622="","Product Type, ","")&amp;IF(G622="","Category, ","")&amp;IF(H622="","HSN Code, ","")&amp;IF(Q622="","Qty, ","")&amp;IF(R622="","Purchase Rate, ","")&amp;IF(S622="","MRP, ",""))&lt;&gt;"","Missing: "&amp;LEFT(IF(B622="","PO Ref, ","")&amp;IF(C622="","Vendor, ","")&amp;IF(D622="","Store, ","")&amp;IF(F622="","Product Type, ","")&amp;IF(G622="","Category, ","")&amp;IF(H622="","HSN Code, ","")&amp;IF(Q622="","Qty, ","")&amp;IF(R622="","Purchase Rate, ","")&amp;IF(S622="","MRP, ",""),LEN(IF(B622="","PO Ref, ","")&amp;IF(C622="","Vendor, ","")&amp;IF(D622="","Store, ","")&amp;IF(F622="","Product Type, ","")&amp;IF(G622="","Category, ","")&amp;IF(H622="","HSN Code, ","")&amp;IF(Q622="","Qty, ","")&amp;IF(R622="","Purchase Rate, ","")&amp;IF(S622="","MRP, ",""))-2),IF(COUNTIF(Vendors!$B$3:$B$202,C622)=0,"Add vendor "&amp;C622&amp;" on the Vendors sheet",IF(ISNA(MATCH(H622,Codes!$A$2:$A$13,0)),"Pick the HSN Code from the list",IF(AND(E622&lt;&gt;"",COUNTIFS($C$3:$C$1002,C622,$E$3:$E$1002,E622,$F$3:$F$1002,"&lt;&gt;"&amp;F622)+COUNTIFS($C$3:$C$1002,C622,$E$3:$E$1002,E622,$G$3:$G$1002,"&lt;&gt;"&amp;G622)&gt;0),"Design "&amp;E622&amp;" has another Product Type or Category on another row",IF(COUNTIFS($F$3:$F$1002,F622,$G$3:$G$1002,G622,$H$3:$H$1002,"&lt;&gt;"&amp;H622)&gt;0,F622&amp;" + "&amp;G622&amp;" has another HSN Code on another row",IF(AND(V622&lt;&gt;"",U622=""),"Received Qty needs the Vendor Invoice No",IF(AND(U622&lt;&gt;"",COUNTIFS(Bills!$B$3:$B$302,U622,Bills!$C$3:$C$302,C622)=0),"Add bill "&amp;U622&amp;" of "&amp;C622&amp;" on the Bills sheet",IF(S622&lt;R622,"MRP is below the Purchase Rate","OK")))))))))</f>
        <v/>
      </c>
      <c r="B622" s="29"/>
      <c r="C622" s="22"/>
      <c r="D622" s="22"/>
      <c r="E622" s="24"/>
      <c r="F622" s="22"/>
      <c r="G622" s="22"/>
      <c r="H622" s="22"/>
      <c r="I622" s="30" t="str">
        <f>IF(H622="","",IFERROR(INDEX(Codes!$B$2:$B$13,MATCH(H622,Codes!$A$2:$A$13,0)),""))</f>
        <v/>
      </c>
      <c r="J622" s="23"/>
      <c r="K622" s="23"/>
      <c r="L622" s="23"/>
      <c r="M622" s="23"/>
      <c r="N622" s="23"/>
      <c r="O622" s="23"/>
      <c r="P622" s="23"/>
      <c r="Q622" s="31"/>
      <c r="R622" s="32"/>
      <c r="S622" s="32"/>
      <c r="T622" s="33" t="str">
        <f t="shared" si="18"/>
        <v/>
      </c>
      <c r="U622" s="34"/>
      <c r="V622" s="35"/>
      <c r="W622" s="33" t="str">
        <f t="shared" si="19"/>
        <v/>
      </c>
    </row>
    <row r="623" spans="1:23" x14ac:dyDescent="0.35">
      <c r="A623" s="21" t="str">
        <f>IF(COUNTA(B623:H623,J623:S623,U623:V623)=0,"",IF((IF(B623="","PO Ref, ","")&amp;IF(C623="","Vendor, ","")&amp;IF(D623="","Store, ","")&amp;IF(F623="","Product Type, ","")&amp;IF(G623="","Category, ","")&amp;IF(H623="","HSN Code, ","")&amp;IF(Q623="","Qty, ","")&amp;IF(R623="","Purchase Rate, ","")&amp;IF(S623="","MRP, ",""))&lt;&gt;"","Missing: "&amp;LEFT(IF(B623="","PO Ref, ","")&amp;IF(C623="","Vendor, ","")&amp;IF(D623="","Store, ","")&amp;IF(F623="","Product Type, ","")&amp;IF(G623="","Category, ","")&amp;IF(H623="","HSN Code, ","")&amp;IF(Q623="","Qty, ","")&amp;IF(R623="","Purchase Rate, ","")&amp;IF(S623="","MRP, ",""),LEN(IF(B623="","PO Ref, ","")&amp;IF(C623="","Vendor, ","")&amp;IF(D623="","Store, ","")&amp;IF(F623="","Product Type, ","")&amp;IF(G623="","Category, ","")&amp;IF(H623="","HSN Code, ","")&amp;IF(Q623="","Qty, ","")&amp;IF(R623="","Purchase Rate, ","")&amp;IF(S623="","MRP, ",""))-2),IF(COUNTIF(Vendors!$B$3:$B$202,C623)=0,"Add vendor "&amp;C623&amp;" on the Vendors sheet",IF(ISNA(MATCH(H623,Codes!$A$2:$A$13,0)),"Pick the HSN Code from the list",IF(AND(E623&lt;&gt;"",COUNTIFS($C$3:$C$1002,C623,$E$3:$E$1002,E623,$F$3:$F$1002,"&lt;&gt;"&amp;F623)+COUNTIFS($C$3:$C$1002,C623,$E$3:$E$1002,E623,$G$3:$G$1002,"&lt;&gt;"&amp;G623)&gt;0),"Design "&amp;E623&amp;" has another Product Type or Category on another row",IF(COUNTIFS($F$3:$F$1002,F623,$G$3:$G$1002,G623,$H$3:$H$1002,"&lt;&gt;"&amp;H623)&gt;0,F623&amp;" + "&amp;G623&amp;" has another HSN Code on another row",IF(AND(V623&lt;&gt;"",U623=""),"Received Qty needs the Vendor Invoice No",IF(AND(U623&lt;&gt;"",COUNTIFS(Bills!$B$3:$B$302,U623,Bills!$C$3:$C$302,C623)=0),"Add bill "&amp;U623&amp;" of "&amp;C623&amp;" on the Bills sheet",IF(S623&lt;R623,"MRP is below the Purchase Rate","OK")))))))))</f>
        <v/>
      </c>
      <c r="B623" s="29"/>
      <c r="C623" s="22"/>
      <c r="D623" s="22"/>
      <c r="E623" s="24"/>
      <c r="F623" s="22"/>
      <c r="G623" s="22"/>
      <c r="H623" s="22"/>
      <c r="I623" s="30" t="str">
        <f>IF(H623="","",IFERROR(INDEX(Codes!$B$2:$B$13,MATCH(H623,Codes!$A$2:$A$13,0)),""))</f>
        <v/>
      </c>
      <c r="J623" s="23"/>
      <c r="K623" s="23"/>
      <c r="L623" s="23"/>
      <c r="M623" s="23"/>
      <c r="N623" s="23"/>
      <c r="O623" s="23"/>
      <c r="P623" s="23"/>
      <c r="Q623" s="31"/>
      <c r="R623" s="32"/>
      <c r="S623" s="32"/>
      <c r="T623" s="33" t="str">
        <f t="shared" si="18"/>
        <v/>
      </c>
      <c r="U623" s="34"/>
      <c r="V623" s="35"/>
      <c r="W623" s="33" t="str">
        <f t="shared" si="19"/>
        <v/>
      </c>
    </row>
    <row r="624" spans="1:23" x14ac:dyDescent="0.35">
      <c r="A624" s="21" t="str">
        <f>IF(COUNTA(B624:H624,J624:S624,U624:V624)=0,"",IF((IF(B624="","PO Ref, ","")&amp;IF(C624="","Vendor, ","")&amp;IF(D624="","Store, ","")&amp;IF(F624="","Product Type, ","")&amp;IF(G624="","Category, ","")&amp;IF(H624="","HSN Code, ","")&amp;IF(Q624="","Qty, ","")&amp;IF(R624="","Purchase Rate, ","")&amp;IF(S624="","MRP, ",""))&lt;&gt;"","Missing: "&amp;LEFT(IF(B624="","PO Ref, ","")&amp;IF(C624="","Vendor, ","")&amp;IF(D624="","Store, ","")&amp;IF(F624="","Product Type, ","")&amp;IF(G624="","Category, ","")&amp;IF(H624="","HSN Code, ","")&amp;IF(Q624="","Qty, ","")&amp;IF(R624="","Purchase Rate, ","")&amp;IF(S624="","MRP, ",""),LEN(IF(B624="","PO Ref, ","")&amp;IF(C624="","Vendor, ","")&amp;IF(D624="","Store, ","")&amp;IF(F624="","Product Type, ","")&amp;IF(G624="","Category, ","")&amp;IF(H624="","HSN Code, ","")&amp;IF(Q624="","Qty, ","")&amp;IF(R624="","Purchase Rate, ","")&amp;IF(S624="","MRP, ",""))-2),IF(COUNTIF(Vendors!$B$3:$B$202,C624)=0,"Add vendor "&amp;C624&amp;" on the Vendors sheet",IF(ISNA(MATCH(H624,Codes!$A$2:$A$13,0)),"Pick the HSN Code from the list",IF(AND(E624&lt;&gt;"",COUNTIFS($C$3:$C$1002,C624,$E$3:$E$1002,E624,$F$3:$F$1002,"&lt;&gt;"&amp;F624)+COUNTIFS($C$3:$C$1002,C624,$E$3:$E$1002,E624,$G$3:$G$1002,"&lt;&gt;"&amp;G624)&gt;0),"Design "&amp;E624&amp;" has another Product Type or Category on another row",IF(COUNTIFS($F$3:$F$1002,F624,$G$3:$G$1002,G624,$H$3:$H$1002,"&lt;&gt;"&amp;H624)&gt;0,F624&amp;" + "&amp;G624&amp;" has another HSN Code on another row",IF(AND(V624&lt;&gt;"",U624=""),"Received Qty needs the Vendor Invoice No",IF(AND(U624&lt;&gt;"",COUNTIFS(Bills!$B$3:$B$302,U624,Bills!$C$3:$C$302,C624)=0),"Add bill "&amp;U624&amp;" of "&amp;C624&amp;" on the Bills sheet",IF(S624&lt;R624,"MRP is below the Purchase Rate","OK")))))))))</f>
        <v/>
      </c>
      <c r="B624" s="29"/>
      <c r="C624" s="22"/>
      <c r="D624" s="22"/>
      <c r="E624" s="24"/>
      <c r="F624" s="22"/>
      <c r="G624" s="22"/>
      <c r="H624" s="22"/>
      <c r="I624" s="30" t="str">
        <f>IF(H624="","",IFERROR(INDEX(Codes!$B$2:$B$13,MATCH(H624,Codes!$A$2:$A$13,0)),""))</f>
        <v/>
      </c>
      <c r="J624" s="23"/>
      <c r="K624" s="23"/>
      <c r="L624" s="23"/>
      <c r="M624" s="23"/>
      <c r="N624" s="23"/>
      <c r="O624" s="23"/>
      <c r="P624" s="23"/>
      <c r="Q624" s="31"/>
      <c r="R624" s="32"/>
      <c r="S624" s="32"/>
      <c r="T624" s="33" t="str">
        <f t="shared" si="18"/>
        <v/>
      </c>
      <c r="U624" s="34"/>
      <c r="V624" s="35"/>
      <c r="W624" s="33" t="str">
        <f t="shared" si="19"/>
        <v/>
      </c>
    </row>
    <row r="625" spans="1:23" x14ac:dyDescent="0.35">
      <c r="A625" s="21" t="str">
        <f>IF(COUNTA(B625:H625,J625:S625,U625:V625)=0,"",IF((IF(B625="","PO Ref, ","")&amp;IF(C625="","Vendor, ","")&amp;IF(D625="","Store, ","")&amp;IF(F625="","Product Type, ","")&amp;IF(G625="","Category, ","")&amp;IF(H625="","HSN Code, ","")&amp;IF(Q625="","Qty, ","")&amp;IF(R625="","Purchase Rate, ","")&amp;IF(S625="","MRP, ",""))&lt;&gt;"","Missing: "&amp;LEFT(IF(B625="","PO Ref, ","")&amp;IF(C625="","Vendor, ","")&amp;IF(D625="","Store, ","")&amp;IF(F625="","Product Type, ","")&amp;IF(G625="","Category, ","")&amp;IF(H625="","HSN Code, ","")&amp;IF(Q625="","Qty, ","")&amp;IF(R625="","Purchase Rate, ","")&amp;IF(S625="","MRP, ",""),LEN(IF(B625="","PO Ref, ","")&amp;IF(C625="","Vendor, ","")&amp;IF(D625="","Store, ","")&amp;IF(F625="","Product Type, ","")&amp;IF(G625="","Category, ","")&amp;IF(H625="","HSN Code, ","")&amp;IF(Q625="","Qty, ","")&amp;IF(R625="","Purchase Rate, ","")&amp;IF(S625="","MRP, ",""))-2),IF(COUNTIF(Vendors!$B$3:$B$202,C625)=0,"Add vendor "&amp;C625&amp;" on the Vendors sheet",IF(ISNA(MATCH(H625,Codes!$A$2:$A$13,0)),"Pick the HSN Code from the list",IF(AND(E625&lt;&gt;"",COUNTIFS($C$3:$C$1002,C625,$E$3:$E$1002,E625,$F$3:$F$1002,"&lt;&gt;"&amp;F625)+COUNTIFS($C$3:$C$1002,C625,$E$3:$E$1002,E625,$G$3:$G$1002,"&lt;&gt;"&amp;G625)&gt;0),"Design "&amp;E625&amp;" has another Product Type or Category on another row",IF(COUNTIFS($F$3:$F$1002,F625,$G$3:$G$1002,G625,$H$3:$H$1002,"&lt;&gt;"&amp;H625)&gt;0,F625&amp;" + "&amp;G625&amp;" has another HSN Code on another row",IF(AND(V625&lt;&gt;"",U625=""),"Received Qty needs the Vendor Invoice No",IF(AND(U625&lt;&gt;"",COUNTIFS(Bills!$B$3:$B$302,U625,Bills!$C$3:$C$302,C625)=0),"Add bill "&amp;U625&amp;" of "&amp;C625&amp;" on the Bills sheet",IF(S625&lt;R625,"MRP is below the Purchase Rate","OK")))))))))</f>
        <v/>
      </c>
      <c r="B625" s="29"/>
      <c r="C625" s="22"/>
      <c r="D625" s="22"/>
      <c r="E625" s="24"/>
      <c r="F625" s="22"/>
      <c r="G625" s="22"/>
      <c r="H625" s="22"/>
      <c r="I625" s="30" t="str">
        <f>IF(H625="","",IFERROR(INDEX(Codes!$B$2:$B$13,MATCH(H625,Codes!$A$2:$A$13,0)),""))</f>
        <v/>
      </c>
      <c r="J625" s="23"/>
      <c r="K625" s="23"/>
      <c r="L625" s="23"/>
      <c r="M625" s="23"/>
      <c r="N625" s="23"/>
      <c r="O625" s="23"/>
      <c r="P625" s="23"/>
      <c r="Q625" s="31"/>
      <c r="R625" s="32"/>
      <c r="S625" s="32"/>
      <c r="T625" s="33" t="str">
        <f t="shared" si="18"/>
        <v/>
      </c>
      <c r="U625" s="34"/>
      <c r="V625" s="35"/>
      <c r="W625" s="33" t="str">
        <f t="shared" si="19"/>
        <v/>
      </c>
    </row>
    <row r="626" spans="1:23" x14ac:dyDescent="0.35">
      <c r="A626" s="21" t="str">
        <f>IF(COUNTA(B626:H626,J626:S626,U626:V626)=0,"",IF((IF(B626="","PO Ref, ","")&amp;IF(C626="","Vendor, ","")&amp;IF(D626="","Store, ","")&amp;IF(F626="","Product Type, ","")&amp;IF(G626="","Category, ","")&amp;IF(H626="","HSN Code, ","")&amp;IF(Q626="","Qty, ","")&amp;IF(R626="","Purchase Rate, ","")&amp;IF(S626="","MRP, ",""))&lt;&gt;"","Missing: "&amp;LEFT(IF(B626="","PO Ref, ","")&amp;IF(C626="","Vendor, ","")&amp;IF(D626="","Store, ","")&amp;IF(F626="","Product Type, ","")&amp;IF(G626="","Category, ","")&amp;IF(H626="","HSN Code, ","")&amp;IF(Q626="","Qty, ","")&amp;IF(R626="","Purchase Rate, ","")&amp;IF(S626="","MRP, ",""),LEN(IF(B626="","PO Ref, ","")&amp;IF(C626="","Vendor, ","")&amp;IF(D626="","Store, ","")&amp;IF(F626="","Product Type, ","")&amp;IF(G626="","Category, ","")&amp;IF(H626="","HSN Code, ","")&amp;IF(Q626="","Qty, ","")&amp;IF(R626="","Purchase Rate, ","")&amp;IF(S626="","MRP, ",""))-2),IF(COUNTIF(Vendors!$B$3:$B$202,C626)=0,"Add vendor "&amp;C626&amp;" on the Vendors sheet",IF(ISNA(MATCH(H626,Codes!$A$2:$A$13,0)),"Pick the HSN Code from the list",IF(AND(E626&lt;&gt;"",COUNTIFS($C$3:$C$1002,C626,$E$3:$E$1002,E626,$F$3:$F$1002,"&lt;&gt;"&amp;F626)+COUNTIFS($C$3:$C$1002,C626,$E$3:$E$1002,E626,$G$3:$G$1002,"&lt;&gt;"&amp;G626)&gt;0),"Design "&amp;E626&amp;" has another Product Type or Category on another row",IF(COUNTIFS($F$3:$F$1002,F626,$G$3:$G$1002,G626,$H$3:$H$1002,"&lt;&gt;"&amp;H626)&gt;0,F626&amp;" + "&amp;G626&amp;" has another HSN Code on another row",IF(AND(V626&lt;&gt;"",U626=""),"Received Qty needs the Vendor Invoice No",IF(AND(U626&lt;&gt;"",COUNTIFS(Bills!$B$3:$B$302,U626,Bills!$C$3:$C$302,C626)=0),"Add bill "&amp;U626&amp;" of "&amp;C626&amp;" on the Bills sheet",IF(S626&lt;R626,"MRP is below the Purchase Rate","OK")))))))))</f>
        <v/>
      </c>
      <c r="B626" s="29"/>
      <c r="C626" s="22"/>
      <c r="D626" s="22"/>
      <c r="E626" s="24"/>
      <c r="F626" s="22"/>
      <c r="G626" s="22"/>
      <c r="H626" s="22"/>
      <c r="I626" s="30" t="str">
        <f>IF(H626="","",IFERROR(INDEX(Codes!$B$2:$B$13,MATCH(H626,Codes!$A$2:$A$13,0)),""))</f>
        <v/>
      </c>
      <c r="J626" s="23"/>
      <c r="K626" s="23"/>
      <c r="L626" s="23"/>
      <c r="M626" s="23"/>
      <c r="N626" s="23"/>
      <c r="O626" s="23"/>
      <c r="P626" s="23"/>
      <c r="Q626" s="31"/>
      <c r="R626" s="32"/>
      <c r="S626" s="32"/>
      <c r="T626" s="33" t="str">
        <f t="shared" si="18"/>
        <v/>
      </c>
      <c r="U626" s="34"/>
      <c r="V626" s="35"/>
      <c r="W626" s="33" t="str">
        <f t="shared" si="19"/>
        <v/>
      </c>
    </row>
    <row r="627" spans="1:23" x14ac:dyDescent="0.35">
      <c r="A627" s="21" t="str">
        <f>IF(COUNTA(B627:H627,J627:S627,U627:V627)=0,"",IF((IF(B627="","PO Ref, ","")&amp;IF(C627="","Vendor, ","")&amp;IF(D627="","Store, ","")&amp;IF(F627="","Product Type, ","")&amp;IF(G627="","Category, ","")&amp;IF(H627="","HSN Code, ","")&amp;IF(Q627="","Qty, ","")&amp;IF(R627="","Purchase Rate, ","")&amp;IF(S627="","MRP, ",""))&lt;&gt;"","Missing: "&amp;LEFT(IF(B627="","PO Ref, ","")&amp;IF(C627="","Vendor, ","")&amp;IF(D627="","Store, ","")&amp;IF(F627="","Product Type, ","")&amp;IF(G627="","Category, ","")&amp;IF(H627="","HSN Code, ","")&amp;IF(Q627="","Qty, ","")&amp;IF(R627="","Purchase Rate, ","")&amp;IF(S627="","MRP, ",""),LEN(IF(B627="","PO Ref, ","")&amp;IF(C627="","Vendor, ","")&amp;IF(D627="","Store, ","")&amp;IF(F627="","Product Type, ","")&amp;IF(G627="","Category, ","")&amp;IF(H627="","HSN Code, ","")&amp;IF(Q627="","Qty, ","")&amp;IF(R627="","Purchase Rate, ","")&amp;IF(S627="","MRP, ",""))-2),IF(COUNTIF(Vendors!$B$3:$B$202,C627)=0,"Add vendor "&amp;C627&amp;" on the Vendors sheet",IF(ISNA(MATCH(H627,Codes!$A$2:$A$13,0)),"Pick the HSN Code from the list",IF(AND(E627&lt;&gt;"",COUNTIFS($C$3:$C$1002,C627,$E$3:$E$1002,E627,$F$3:$F$1002,"&lt;&gt;"&amp;F627)+COUNTIFS($C$3:$C$1002,C627,$E$3:$E$1002,E627,$G$3:$G$1002,"&lt;&gt;"&amp;G627)&gt;0),"Design "&amp;E627&amp;" has another Product Type or Category on another row",IF(COUNTIFS($F$3:$F$1002,F627,$G$3:$G$1002,G627,$H$3:$H$1002,"&lt;&gt;"&amp;H627)&gt;0,F627&amp;" + "&amp;G627&amp;" has another HSN Code on another row",IF(AND(V627&lt;&gt;"",U627=""),"Received Qty needs the Vendor Invoice No",IF(AND(U627&lt;&gt;"",COUNTIFS(Bills!$B$3:$B$302,U627,Bills!$C$3:$C$302,C627)=0),"Add bill "&amp;U627&amp;" of "&amp;C627&amp;" on the Bills sheet",IF(S627&lt;R627,"MRP is below the Purchase Rate","OK")))))))))</f>
        <v/>
      </c>
      <c r="B627" s="29"/>
      <c r="C627" s="22"/>
      <c r="D627" s="22"/>
      <c r="E627" s="24"/>
      <c r="F627" s="22"/>
      <c r="G627" s="22"/>
      <c r="H627" s="22"/>
      <c r="I627" s="30" t="str">
        <f>IF(H627="","",IFERROR(INDEX(Codes!$B$2:$B$13,MATCH(H627,Codes!$A$2:$A$13,0)),""))</f>
        <v/>
      </c>
      <c r="J627" s="23"/>
      <c r="K627" s="23"/>
      <c r="L627" s="23"/>
      <c r="M627" s="23"/>
      <c r="N627" s="23"/>
      <c r="O627" s="23"/>
      <c r="P627" s="23"/>
      <c r="Q627" s="31"/>
      <c r="R627" s="32"/>
      <c r="S627" s="32"/>
      <c r="T627" s="33" t="str">
        <f t="shared" si="18"/>
        <v/>
      </c>
      <c r="U627" s="34"/>
      <c r="V627" s="35"/>
      <c r="W627" s="33" t="str">
        <f t="shared" si="19"/>
        <v/>
      </c>
    </row>
    <row r="628" spans="1:23" x14ac:dyDescent="0.35">
      <c r="A628" s="21" t="str">
        <f>IF(COUNTA(B628:H628,J628:S628,U628:V628)=0,"",IF((IF(B628="","PO Ref, ","")&amp;IF(C628="","Vendor, ","")&amp;IF(D628="","Store, ","")&amp;IF(F628="","Product Type, ","")&amp;IF(G628="","Category, ","")&amp;IF(H628="","HSN Code, ","")&amp;IF(Q628="","Qty, ","")&amp;IF(R628="","Purchase Rate, ","")&amp;IF(S628="","MRP, ",""))&lt;&gt;"","Missing: "&amp;LEFT(IF(B628="","PO Ref, ","")&amp;IF(C628="","Vendor, ","")&amp;IF(D628="","Store, ","")&amp;IF(F628="","Product Type, ","")&amp;IF(G628="","Category, ","")&amp;IF(H628="","HSN Code, ","")&amp;IF(Q628="","Qty, ","")&amp;IF(R628="","Purchase Rate, ","")&amp;IF(S628="","MRP, ",""),LEN(IF(B628="","PO Ref, ","")&amp;IF(C628="","Vendor, ","")&amp;IF(D628="","Store, ","")&amp;IF(F628="","Product Type, ","")&amp;IF(G628="","Category, ","")&amp;IF(H628="","HSN Code, ","")&amp;IF(Q628="","Qty, ","")&amp;IF(R628="","Purchase Rate, ","")&amp;IF(S628="","MRP, ",""))-2),IF(COUNTIF(Vendors!$B$3:$B$202,C628)=0,"Add vendor "&amp;C628&amp;" on the Vendors sheet",IF(ISNA(MATCH(H628,Codes!$A$2:$A$13,0)),"Pick the HSN Code from the list",IF(AND(E628&lt;&gt;"",COUNTIFS($C$3:$C$1002,C628,$E$3:$E$1002,E628,$F$3:$F$1002,"&lt;&gt;"&amp;F628)+COUNTIFS($C$3:$C$1002,C628,$E$3:$E$1002,E628,$G$3:$G$1002,"&lt;&gt;"&amp;G628)&gt;0),"Design "&amp;E628&amp;" has another Product Type or Category on another row",IF(COUNTIFS($F$3:$F$1002,F628,$G$3:$G$1002,G628,$H$3:$H$1002,"&lt;&gt;"&amp;H628)&gt;0,F628&amp;" + "&amp;G628&amp;" has another HSN Code on another row",IF(AND(V628&lt;&gt;"",U628=""),"Received Qty needs the Vendor Invoice No",IF(AND(U628&lt;&gt;"",COUNTIFS(Bills!$B$3:$B$302,U628,Bills!$C$3:$C$302,C628)=0),"Add bill "&amp;U628&amp;" of "&amp;C628&amp;" on the Bills sheet",IF(S628&lt;R628,"MRP is below the Purchase Rate","OK")))))))))</f>
        <v/>
      </c>
      <c r="B628" s="29"/>
      <c r="C628" s="22"/>
      <c r="D628" s="22"/>
      <c r="E628" s="24"/>
      <c r="F628" s="22"/>
      <c r="G628" s="22"/>
      <c r="H628" s="22"/>
      <c r="I628" s="30" t="str">
        <f>IF(H628="","",IFERROR(INDEX(Codes!$B$2:$B$13,MATCH(H628,Codes!$A$2:$A$13,0)),""))</f>
        <v/>
      </c>
      <c r="J628" s="23"/>
      <c r="K628" s="23"/>
      <c r="L628" s="23"/>
      <c r="M628" s="23"/>
      <c r="N628" s="23"/>
      <c r="O628" s="23"/>
      <c r="P628" s="23"/>
      <c r="Q628" s="31"/>
      <c r="R628" s="32"/>
      <c r="S628" s="32"/>
      <c r="T628" s="33" t="str">
        <f t="shared" si="18"/>
        <v/>
      </c>
      <c r="U628" s="34"/>
      <c r="V628" s="35"/>
      <c r="W628" s="33" t="str">
        <f t="shared" si="19"/>
        <v/>
      </c>
    </row>
    <row r="629" spans="1:23" x14ac:dyDescent="0.35">
      <c r="A629" s="21" t="str">
        <f>IF(COUNTA(B629:H629,J629:S629,U629:V629)=0,"",IF((IF(B629="","PO Ref, ","")&amp;IF(C629="","Vendor, ","")&amp;IF(D629="","Store, ","")&amp;IF(F629="","Product Type, ","")&amp;IF(G629="","Category, ","")&amp;IF(H629="","HSN Code, ","")&amp;IF(Q629="","Qty, ","")&amp;IF(R629="","Purchase Rate, ","")&amp;IF(S629="","MRP, ",""))&lt;&gt;"","Missing: "&amp;LEFT(IF(B629="","PO Ref, ","")&amp;IF(C629="","Vendor, ","")&amp;IF(D629="","Store, ","")&amp;IF(F629="","Product Type, ","")&amp;IF(G629="","Category, ","")&amp;IF(H629="","HSN Code, ","")&amp;IF(Q629="","Qty, ","")&amp;IF(R629="","Purchase Rate, ","")&amp;IF(S629="","MRP, ",""),LEN(IF(B629="","PO Ref, ","")&amp;IF(C629="","Vendor, ","")&amp;IF(D629="","Store, ","")&amp;IF(F629="","Product Type, ","")&amp;IF(G629="","Category, ","")&amp;IF(H629="","HSN Code, ","")&amp;IF(Q629="","Qty, ","")&amp;IF(R629="","Purchase Rate, ","")&amp;IF(S629="","MRP, ",""))-2),IF(COUNTIF(Vendors!$B$3:$B$202,C629)=0,"Add vendor "&amp;C629&amp;" on the Vendors sheet",IF(ISNA(MATCH(H629,Codes!$A$2:$A$13,0)),"Pick the HSN Code from the list",IF(AND(E629&lt;&gt;"",COUNTIFS($C$3:$C$1002,C629,$E$3:$E$1002,E629,$F$3:$F$1002,"&lt;&gt;"&amp;F629)+COUNTIFS($C$3:$C$1002,C629,$E$3:$E$1002,E629,$G$3:$G$1002,"&lt;&gt;"&amp;G629)&gt;0),"Design "&amp;E629&amp;" has another Product Type or Category on another row",IF(COUNTIFS($F$3:$F$1002,F629,$G$3:$G$1002,G629,$H$3:$H$1002,"&lt;&gt;"&amp;H629)&gt;0,F629&amp;" + "&amp;G629&amp;" has another HSN Code on another row",IF(AND(V629&lt;&gt;"",U629=""),"Received Qty needs the Vendor Invoice No",IF(AND(U629&lt;&gt;"",COUNTIFS(Bills!$B$3:$B$302,U629,Bills!$C$3:$C$302,C629)=0),"Add bill "&amp;U629&amp;" of "&amp;C629&amp;" on the Bills sheet",IF(S629&lt;R629,"MRP is below the Purchase Rate","OK")))))))))</f>
        <v/>
      </c>
      <c r="B629" s="29"/>
      <c r="C629" s="22"/>
      <c r="D629" s="22"/>
      <c r="E629" s="24"/>
      <c r="F629" s="22"/>
      <c r="G629" s="22"/>
      <c r="H629" s="22"/>
      <c r="I629" s="30" t="str">
        <f>IF(H629="","",IFERROR(INDEX(Codes!$B$2:$B$13,MATCH(H629,Codes!$A$2:$A$13,0)),""))</f>
        <v/>
      </c>
      <c r="J629" s="23"/>
      <c r="K629" s="23"/>
      <c r="L629" s="23"/>
      <c r="M629" s="23"/>
      <c r="N629" s="23"/>
      <c r="O629" s="23"/>
      <c r="P629" s="23"/>
      <c r="Q629" s="31"/>
      <c r="R629" s="32"/>
      <c r="S629" s="32"/>
      <c r="T629" s="33" t="str">
        <f t="shared" si="18"/>
        <v/>
      </c>
      <c r="U629" s="34"/>
      <c r="V629" s="35"/>
      <c r="W629" s="33" t="str">
        <f t="shared" si="19"/>
        <v/>
      </c>
    </row>
    <row r="630" spans="1:23" x14ac:dyDescent="0.35">
      <c r="A630" s="21" t="str">
        <f>IF(COUNTA(B630:H630,J630:S630,U630:V630)=0,"",IF((IF(B630="","PO Ref, ","")&amp;IF(C630="","Vendor, ","")&amp;IF(D630="","Store, ","")&amp;IF(F630="","Product Type, ","")&amp;IF(G630="","Category, ","")&amp;IF(H630="","HSN Code, ","")&amp;IF(Q630="","Qty, ","")&amp;IF(R630="","Purchase Rate, ","")&amp;IF(S630="","MRP, ",""))&lt;&gt;"","Missing: "&amp;LEFT(IF(B630="","PO Ref, ","")&amp;IF(C630="","Vendor, ","")&amp;IF(D630="","Store, ","")&amp;IF(F630="","Product Type, ","")&amp;IF(G630="","Category, ","")&amp;IF(H630="","HSN Code, ","")&amp;IF(Q630="","Qty, ","")&amp;IF(R630="","Purchase Rate, ","")&amp;IF(S630="","MRP, ",""),LEN(IF(B630="","PO Ref, ","")&amp;IF(C630="","Vendor, ","")&amp;IF(D630="","Store, ","")&amp;IF(F630="","Product Type, ","")&amp;IF(G630="","Category, ","")&amp;IF(H630="","HSN Code, ","")&amp;IF(Q630="","Qty, ","")&amp;IF(R630="","Purchase Rate, ","")&amp;IF(S630="","MRP, ",""))-2),IF(COUNTIF(Vendors!$B$3:$B$202,C630)=0,"Add vendor "&amp;C630&amp;" on the Vendors sheet",IF(ISNA(MATCH(H630,Codes!$A$2:$A$13,0)),"Pick the HSN Code from the list",IF(AND(E630&lt;&gt;"",COUNTIFS($C$3:$C$1002,C630,$E$3:$E$1002,E630,$F$3:$F$1002,"&lt;&gt;"&amp;F630)+COUNTIFS($C$3:$C$1002,C630,$E$3:$E$1002,E630,$G$3:$G$1002,"&lt;&gt;"&amp;G630)&gt;0),"Design "&amp;E630&amp;" has another Product Type or Category on another row",IF(COUNTIFS($F$3:$F$1002,F630,$G$3:$G$1002,G630,$H$3:$H$1002,"&lt;&gt;"&amp;H630)&gt;0,F630&amp;" + "&amp;G630&amp;" has another HSN Code on another row",IF(AND(V630&lt;&gt;"",U630=""),"Received Qty needs the Vendor Invoice No",IF(AND(U630&lt;&gt;"",COUNTIFS(Bills!$B$3:$B$302,U630,Bills!$C$3:$C$302,C630)=0),"Add bill "&amp;U630&amp;" of "&amp;C630&amp;" on the Bills sheet",IF(S630&lt;R630,"MRP is below the Purchase Rate","OK")))))))))</f>
        <v/>
      </c>
      <c r="B630" s="29"/>
      <c r="C630" s="22"/>
      <c r="D630" s="22"/>
      <c r="E630" s="24"/>
      <c r="F630" s="22"/>
      <c r="G630" s="22"/>
      <c r="H630" s="22"/>
      <c r="I630" s="30" t="str">
        <f>IF(H630="","",IFERROR(INDEX(Codes!$B$2:$B$13,MATCH(H630,Codes!$A$2:$A$13,0)),""))</f>
        <v/>
      </c>
      <c r="J630" s="23"/>
      <c r="K630" s="23"/>
      <c r="L630" s="23"/>
      <c r="M630" s="23"/>
      <c r="N630" s="23"/>
      <c r="O630" s="23"/>
      <c r="P630" s="23"/>
      <c r="Q630" s="31"/>
      <c r="R630" s="32"/>
      <c r="S630" s="32"/>
      <c r="T630" s="33" t="str">
        <f t="shared" si="18"/>
        <v/>
      </c>
      <c r="U630" s="34"/>
      <c r="V630" s="35"/>
      <c r="W630" s="33" t="str">
        <f t="shared" si="19"/>
        <v/>
      </c>
    </row>
    <row r="631" spans="1:23" x14ac:dyDescent="0.35">
      <c r="A631" s="21" t="str">
        <f>IF(COUNTA(B631:H631,J631:S631,U631:V631)=0,"",IF((IF(B631="","PO Ref, ","")&amp;IF(C631="","Vendor, ","")&amp;IF(D631="","Store, ","")&amp;IF(F631="","Product Type, ","")&amp;IF(G631="","Category, ","")&amp;IF(H631="","HSN Code, ","")&amp;IF(Q631="","Qty, ","")&amp;IF(R631="","Purchase Rate, ","")&amp;IF(S631="","MRP, ",""))&lt;&gt;"","Missing: "&amp;LEFT(IF(B631="","PO Ref, ","")&amp;IF(C631="","Vendor, ","")&amp;IF(D631="","Store, ","")&amp;IF(F631="","Product Type, ","")&amp;IF(G631="","Category, ","")&amp;IF(H631="","HSN Code, ","")&amp;IF(Q631="","Qty, ","")&amp;IF(R631="","Purchase Rate, ","")&amp;IF(S631="","MRP, ",""),LEN(IF(B631="","PO Ref, ","")&amp;IF(C631="","Vendor, ","")&amp;IF(D631="","Store, ","")&amp;IF(F631="","Product Type, ","")&amp;IF(G631="","Category, ","")&amp;IF(H631="","HSN Code, ","")&amp;IF(Q631="","Qty, ","")&amp;IF(R631="","Purchase Rate, ","")&amp;IF(S631="","MRP, ",""))-2),IF(COUNTIF(Vendors!$B$3:$B$202,C631)=0,"Add vendor "&amp;C631&amp;" on the Vendors sheet",IF(ISNA(MATCH(H631,Codes!$A$2:$A$13,0)),"Pick the HSN Code from the list",IF(AND(E631&lt;&gt;"",COUNTIFS($C$3:$C$1002,C631,$E$3:$E$1002,E631,$F$3:$F$1002,"&lt;&gt;"&amp;F631)+COUNTIFS($C$3:$C$1002,C631,$E$3:$E$1002,E631,$G$3:$G$1002,"&lt;&gt;"&amp;G631)&gt;0),"Design "&amp;E631&amp;" has another Product Type or Category on another row",IF(COUNTIFS($F$3:$F$1002,F631,$G$3:$G$1002,G631,$H$3:$H$1002,"&lt;&gt;"&amp;H631)&gt;0,F631&amp;" + "&amp;G631&amp;" has another HSN Code on another row",IF(AND(V631&lt;&gt;"",U631=""),"Received Qty needs the Vendor Invoice No",IF(AND(U631&lt;&gt;"",COUNTIFS(Bills!$B$3:$B$302,U631,Bills!$C$3:$C$302,C631)=0),"Add bill "&amp;U631&amp;" of "&amp;C631&amp;" on the Bills sheet",IF(S631&lt;R631,"MRP is below the Purchase Rate","OK")))))))))</f>
        <v/>
      </c>
      <c r="B631" s="29"/>
      <c r="C631" s="22"/>
      <c r="D631" s="22"/>
      <c r="E631" s="24"/>
      <c r="F631" s="22"/>
      <c r="G631" s="22"/>
      <c r="H631" s="22"/>
      <c r="I631" s="30" t="str">
        <f>IF(H631="","",IFERROR(INDEX(Codes!$B$2:$B$13,MATCH(H631,Codes!$A$2:$A$13,0)),""))</f>
        <v/>
      </c>
      <c r="J631" s="23"/>
      <c r="K631" s="23"/>
      <c r="L631" s="23"/>
      <c r="M631" s="23"/>
      <c r="N631" s="23"/>
      <c r="O631" s="23"/>
      <c r="P631" s="23"/>
      <c r="Q631" s="31"/>
      <c r="R631" s="32"/>
      <c r="S631" s="32"/>
      <c r="T631" s="33" t="str">
        <f t="shared" si="18"/>
        <v/>
      </c>
      <c r="U631" s="34"/>
      <c r="V631" s="35"/>
      <c r="W631" s="33" t="str">
        <f t="shared" si="19"/>
        <v/>
      </c>
    </row>
    <row r="632" spans="1:23" x14ac:dyDescent="0.35">
      <c r="A632" s="21" t="str">
        <f>IF(COUNTA(B632:H632,J632:S632,U632:V632)=0,"",IF((IF(B632="","PO Ref, ","")&amp;IF(C632="","Vendor, ","")&amp;IF(D632="","Store, ","")&amp;IF(F632="","Product Type, ","")&amp;IF(G632="","Category, ","")&amp;IF(H632="","HSN Code, ","")&amp;IF(Q632="","Qty, ","")&amp;IF(R632="","Purchase Rate, ","")&amp;IF(S632="","MRP, ",""))&lt;&gt;"","Missing: "&amp;LEFT(IF(B632="","PO Ref, ","")&amp;IF(C632="","Vendor, ","")&amp;IF(D632="","Store, ","")&amp;IF(F632="","Product Type, ","")&amp;IF(G632="","Category, ","")&amp;IF(H632="","HSN Code, ","")&amp;IF(Q632="","Qty, ","")&amp;IF(R632="","Purchase Rate, ","")&amp;IF(S632="","MRP, ",""),LEN(IF(B632="","PO Ref, ","")&amp;IF(C632="","Vendor, ","")&amp;IF(D632="","Store, ","")&amp;IF(F632="","Product Type, ","")&amp;IF(G632="","Category, ","")&amp;IF(H632="","HSN Code, ","")&amp;IF(Q632="","Qty, ","")&amp;IF(R632="","Purchase Rate, ","")&amp;IF(S632="","MRP, ",""))-2),IF(COUNTIF(Vendors!$B$3:$B$202,C632)=0,"Add vendor "&amp;C632&amp;" on the Vendors sheet",IF(ISNA(MATCH(H632,Codes!$A$2:$A$13,0)),"Pick the HSN Code from the list",IF(AND(E632&lt;&gt;"",COUNTIFS($C$3:$C$1002,C632,$E$3:$E$1002,E632,$F$3:$F$1002,"&lt;&gt;"&amp;F632)+COUNTIFS($C$3:$C$1002,C632,$E$3:$E$1002,E632,$G$3:$G$1002,"&lt;&gt;"&amp;G632)&gt;0),"Design "&amp;E632&amp;" has another Product Type or Category on another row",IF(COUNTIFS($F$3:$F$1002,F632,$G$3:$G$1002,G632,$H$3:$H$1002,"&lt;&gt;"&amp;H632)&gt;0,F632&amp;" + "&amp;G632&amp;" has another HSN Code on another row",IF(AND(V632&lt;&gt;"",U632=""),"Received Qty needs the Vendor Invoice No",IF(AND(U632&lt;&gt;"",COUNTIFS(Bills!$B$3:$B$302,U632,Bills!$C$3:$C$302,C632)=0),"Add bill "&amp;U632&amp;" of "&amp;C632&amp;" on the Bills sheet",IF(S632&lt;R632,"MRP is below the Purchase Rate","OK")))))))))</f>
        <v/>
      </c>
      <c r="B632" s="29"/>
      <c r="C632" s="22"/>
      <c r="D632" s="22"/>
      <c r="E632" s="24"/>
      <c r="F632" s="22"/>
      <c r="G632" s="22"/>
      <c r="H632" s="22"/>
      <c r="I632" s="30" t="str">
        <f>IF(H632="","",IFERROR(INDEX(Codes!$B$2:$B$13,MATCH(H632,Codes!$A$2:$A$13,0)),""))</f>
        <v/>
      </c>
      <c r="J632" s="23"/>
      <c r="K632" s="23"/>
      <c r="L632" s="23"/>
      <c r="M632" s="23"/>
      <c r="N632" s="23"/>
      <c r="O632" s="23"/>
      <c r="P632" s="23"/>
      <c r="Q632" s="31"/>
      <c r="R632" s="32"/>
      <c r="S632" s="32"/>
      <c r="T632" s="33" t="str">
        <f t="shared" si="18"/>
        <v/>
      </c>
      <c r="U632" s="34"/>
      <c r="V632" s="35"/>
      <c r="W632" s="33" t="str">
        <f t="shared" si="19"/>
        <v/>
      </c>
    </row>
    <row r="633" spans="1:23" x14ac:dyDescent="0.35">
      <c r="A633" s="21" t="str">
        <f>IF(COUNTA(B633:H633,J633:S633,U633:V633)=0,"",IF((IF(B633="","PO Ref, ","")&amp;IF(C633="","Vendor, ","")&amp;IF(D633="","Store, ","")&amp;IF(F633="","Product Type, ","")&amp;IF(G633="","Category, ","")&amp;IF(H633="","HSN Code, ","")&amp;IF(Q633="","Qty, ","")&amp;IF(R633="","Purchase Rate, ","")&amp;IF(S633="","MRP, ",""))&lt;&gt;"","Missing: "&amp;LEFT(IF(B633="","PO Ref, ","")&amp;IF(C633="","Vendor, ","")&amp;IF(D633="","Store, ","")&amp;IF(F633="","Product Type, ","")&amp;IF(G633="","Category, ","")&amp;IF(H633="","HSN Code, ","")&amp;IF(Q633="","Qty, ","")&amp;IF(R633="","Purchase Rate, ","")&amp;IF(S633="","MRP, ",""),LEN(IF(B633="","PO Ref, ","")&amp;IF(C633="","Vendor, ","")&amp;IF(D633="","Store, ","")&amp;IF(F633="","Product Type, ","")&amp;IF(G633="","Category, ","")&amp;IF(H633="","HSN Code, ","")&amp;IF(Q633="","Qty, ","")&amp;IF(R633="","Purchase Rate, ","")&amp;IF(S633="","MRP, ",""))-2),IF(COUNTIF(Vendors!$B$3:$B$202,C633)=0,"Add vendor "&amp;C633&amp;" on the Vendors sheet",IF(ISNA(MATCH(H633,Codes!$A$2:$A$13,0)),"Pick the HSN Code from the list",IF(AND(E633&lt;&gt;"",COUNTIFS($C$3:$C$1002,C633,$E$3:$E$1002,E633,$F$3:$F$1002,"&lt;&gt;"&amp;F633)+COUNTIFS($C$3:$C$1002,C633,$E$3:$E$1002,E633,$G$3:$G$1002,"&lt;&gt;"&amp;G633)&gt;0),"Design "&amp;E633&amp;" has another Product Type or Category on another row",IF(COUNTIFS($F$3:$F$1002,F633,$G$3:$G$1002,G633,$H$3:$H$1002,"&lt;&gt;"&amp;H633)&gt;0,F633&amp;" + "&amp;G633&amp;" has another HSN Code on another row",IF(AND(V633&lt;&gt;"",U633=""),"Received Qty needs the Vendor Invoice No",IF(AND(U633&lt;&gt;"",COUNTIFS(Bills!$B$3:$B$302,U633,Bills!$C$3:$C$302,C633)=0),"Add bill "&amp;U633&amp;" of "&amp;C633&amp;" on the Bills sheet",IF(S633&lt;R633,"MRP is below the Purchase Rate","OK")))))))))</f>
        <v/>
      </c>
      <c r="B633" s="29"/>
      <c r="C633" s="22"/>
      <c r="D633" s="22"/>
      <c r="E633" s="24"/>
      <c r="F633" s="22"/>
      <c r="G633" s="22"/>
      <c r="H633" s="22"/>
      <c r="I633" s="30" t="str">
        <f>IF(H633="","",IFERROR(INDEX(Codes!$B$2:$B$13,MATCH(H633,Codes!$A$2:$A$13,0)),""))</f>
        <v/>
      </c>
      <c r="J633" s="23"/>
      <c r="K633" s="23"/>
      <c r="L633" s="23"/>
      <c r="M633" s="23"/>
      <c r="N633" s="23"/>
      <c r="O633" s="23"/>
      <c r="P633" s="23"/>
      <c r="Q633" s="31"/>
      <c r="R633" s="32"/>
      <c r="S633" s="32"/>
      <c r="T633" s="33" t="str">
        <f t="shared" si="18"/>
        <v/>
      </c>
      <c r="U633" s="34"/>
      <c r="V633" s="35"/>
      <c r="W633" s="33" t="str">
        <f t="shared" si="19"/>
        <v/>
      </c>
    </row>
    <row r="634" spans="1:23" x14ac:dyDescent="0.35">
      <c r="A634" s="21" t="str">
        <f>IF(COUNTA(B634:H634,J634:S634,U634:V634)=0,"",IF((IF(B634="","PO Ref, ","")&amp;IF(C634="","Vendor, ","")&amp;IF(D634="","Store, ","")&amp;IF(F634="","Product Type, ","")&amp;IF(G634="","Category, ","")&amp;IF(H634="","HSN Code, ","")&amp;IF(Q634="","Qty, ","")&amp;IF(R634="","Purchase Rate, ","")&amp;IF(S634="","MRP, ",""))&lt;&gt;"","Missing: "&amp;LEFT(IF(B634="","PO Ref, ","")&amp;IF(C634="","Vendor, ","")&amp;IF(D634="","Store, ","")&amp;IF(F634="","Product Type, ","")&amp;IF(G634="","Category, ","")&amp;IF(H634="","HSN Code, ","")&amp;IF(Q634="","Qty, ","")&amp;IF(R634="","Purchase Rate, ","")&amp;IF(S634="","MRP, ",""),LEN(IF(B634="","PO Ref, ","")&amp;IF(C634="","Vendor, ","")&amp;IF(D634="","Store, ","")&amp;IF(F634="","Product Type, ","")&amp;IF(G634="","Category, ","")&amp;IF(H634="","HSN Code, ","")&amp;IF(Q634="","Qty, ","")&amp;IF(R634="","Purchase Rate, ","")&amp;IF(S634="","MRP, ",""))-2),IF(COUNTIF(Vendors!$B$3:$B$202,C634)=0,"Add vendor "&amp;C634&amp;" on the Vendors sheet",IF(ISNA(MATCH(H634,Codes!$A$2:$A$13,0)),"Pick the HSN Code from the list",IF(AND(E634&lt;&gt;"",COUNTIFS($C$3:$C$1002,C634,$E$3:$E$1002,E634,$F$3:$F$1002,"&lt;&gt;"&amp;F634)+COUNTIFS($C$3:$C$1002,C634,$E$3:$E$1002,E634,$G$3:$G$1002,"&lt;&gt;"&amp;G634)&gt;0),"Design "&amp;E634&amp;" has another Product Type or Category on another row",IF(COUNTIFS($F$3:$F$1002,F634,$G$3:$G$1002,G634,$H$3:$H$1002,"&lt;&gt;"&amp;H634)&gt;0,F634&amp;" + "&amp;G634&amp;" has another HSN Code on another row",IF(AND(V634&lt;&gt;"",U634=""),"Received Qty needs the Vendor Invoice No",IF(AND(U634&lt;&gt;"",COUNTIFS(Bills!$B$3:$B$302,U634,Bills!$C$3:$C$302,C634)=0),"Add bill "&amp;U634&amp;" of "&amp;C634&amp;" on the Bills sheet",IF(S634&lt;R634,"MRP is below the Purchase Rate","OK")))))))))</f>
        <v/>
      </c>
      <c r="B634" s="29"/>
      <c r="C634" s="22"/>
      <c r="D634" s="22"/>
      <c r="E634" s="24"/>
      <c r="F634" s="22"/>
      <c r="G634" s="22"/>
      <c r="H634" s="22"/>
      <c r="I634" s="30" t="str">
        <f>IF(H634="","",IFERROR(INDEX(Codes!$B$2:$B$13,MATCH(H634,Codes!$A$2:$A$13,0)),""))</f>
        <v/>
      </c>
      <c r="J634" s="23"/>
      <c r="K634" s="23"/>
      <c r="L634" s="23"/>
      <c r="M634" s="23"/>
      <c r="N634" s="23"/>
      <c r="O634" s="23"/>
      <c r="P634" s="23"/>
      <c r="Q634" s="31"/>
      <c r="R634" s="32"/>
      <c r="S634" s="32"/>
      <c r="T634" s="33" t="str">
        <f t="shared" si="18"/>
        <v/>
      </c>
      <c r="U634" s="34"/>
      <c r="V634" s="35"/>
      <c r="W634" s="33" t="str">
        <f t="shared" si="19"/>
        <v/>
      </c>
    </row>
    <row r="635" spans="1:23" x14ac:dyDescent="0.35">
      <c r="A635" s="21" t="str">
        <f>IF(COUNTA(B635:H635,J635:S635,U635:V635)=0,"",IF((IF(B635="","PO Ref, ","")&amp;IF(C635="","Vendor, ","")&amp;IF(D635="","Store, ","")&amp;IF(F635="","Product Type, ","")&amp;IF(G635="","Category, ","")&amp;IF(H635="","HSN Code, ","")&amp;IF(Q635="","Qty, ","")&amp;IF(R635="","Purchase Rate, ","")&amp;IF(S635="","MRP, ",""))&lt;&gt;"","Missing: "&amp;LEFT(IF(B635="","PO Ref, ","")&amp;IF(C635="","Vendor, ","")&amp;IF(D635="","Store, ","")&amp;IF(F635="","Product Type, ","")&amp;IF(G635="","Category, ","")&amp;IF(H635="","HSN Code, ","")&amp;IF(Q635="","Qty, ","")&amp;IF(R635="","Purchase Rate, ","")&amp;IF(S635="","MRP, ",""),LEN(IF(B635="","PO Ref, ","")&amp;IF(C635="","Vendor, ","")&amp;IF(D635="","Store, ","")&amp;IF(F635="","Product Type, ","")&amp;IF(G635="","Category, ","")&amp;IF(H635="","HSN Code, ","")&amp;IF(Q635="","Qty, ","")&amp;IF(R635="","Purchase Rate, ","")&amp;IF(S635="","MRP, ",""))-2),IF(COUNTIF(Vendors!$B$3:$B$202,C635)=0,"Add vendor "&amp;C635&amp;" on the Vendors sheet",IF(ISNA(MATCH(H635,Codes!$A$2:$A$13,0)),"Pick the HSN Code from the list",IF(AND(E635&lt;&gt;"",COUNTIFS($C$3:$C$1002,C635,$E$3:$E$1002,E635,$F$3:$F$1002,"&lt;&gt;"&amp;F635)+COUNTIFS($C$3:$C$1002,C635,$E$3:$E$1002,E635,$G$3:$G$1002,"&lt;&gt;"&amp;G635)&gt;0),"Design "&amp;E635&amp;" has another Product Type or Category on another row",IF(COUNTIFS($F$3:$F$1002,F635,$G$3:$G$1002,G635,$H$3:$H$1002,"&lt;&gt;"&amp;H635)&gt;0,F635&amp;" + "&amp;G635&amp;" has another HSN Code on another row",IF(AND(V635&lt;&gt;"",U635=""),"Received Qty needs the Vendor Invoice No",IF(AND(U635&lt;&gt;"",COUNTIFS(Bills!$B$3:$B$302,U635,Bills!$C$3:$C$302,C635)=0),"Add bill "&amp;U635&amp;" of "&amp;C635&amp;" on the Bills sheet",IF(S635&lt;R635,"MRP is below the Purchase Rate","OK")))))))))</f>
        <v/>
      </c>
      <c r="B635" s="29"/>
      <c r="C635" s="22"/>
      <c r="D635" s="22"/>
      <c r="E635" s="24"/>
      <c r="F635" s="22"/>
      <c r="G635" s="22"/>
      <c r="H635" s="22"/>
      <c r="I635" s="30" t="str">
        <f>IF(H635="","",IFERROR(INDEX(Codes!$B$2:$B$13,MATCH(H635,Codes!$A$2:$A$13,0)),""))</f>
        <v/>
      </c>
      <c r="J635" s="23"/>
      <c r="K635" s="23"/>
      <c r="L635" s="23"/>
      <c r="M635" s="23"/>
      <c r="N635" s="23"/>
      <c r="O635" s="23"/>
      <c r="P635" s="23"/>
      <c r="Q635" s="31"/>
      <c r="R635" s="32"/>
      <c r="S635" s="32"/>
      <c r="T635" s="33" t="str">
        <f t="shared" si="18"/>
        <v/>
      </c>
      <c r="U635" s="34"/>
      <c r="V635" s="35"/>
      <c r="W635" s="33" t="str">
        <f t="shared" si="19"/>
        <v/>
      </c>
    </row>
    <row r="636" spans="1:23" x14ac:dyDescent="0.35">
      <c r="A636" s="21" t="str">
        <f>IF(COUNTA(B636:H636,J636:S636,U636:V636)=0,"",IF((IF(B636="","PO Ref, ","")&amp;IF(C636="","Vendor, ","")&amp;IF(D636="","Store, ","")&amp;IF(F636="","Product Type, ","")&amp;IF(G636="","Category, ","")&amp;IF(H636="","HSN Code, ","")&amp;IF(Q636="","Qty, ","")&amp;IF(R636="","Purchase Rate, ","")&amp;IF(S636="","MRP, ",""))&lt;&gt;"","Missing: "&amp;LEFT(IF(B636="","PO Ref, ","")&amp;IF(C636="","Vendor, ","")&amp;IF(D636="","Store, ","")&amp;IF(F636="","Product Type, ","")&amp;IF(G636="","Category, ","")&amp;IF(H636="","HSN Code, ","")&amp;IF(Q636="","Qty, ","")&amp;IF(R636="","Purchase Rate, ","")&amp;IF(S636="","MRP, ",""),LEN(IF(B636="","PO Ref, ","")&amp;IF(C636="","Vendor, ","")&amp;IF(D636="","Store, ","")&amp;IF(F636="","Product Type, ","")&amp;IF(G636="","Category, ","")&amp;IF(H636="","HSN Code, ","")&amp;IF(Q636="","Qty, ","")&amp;IF(R636="","Purchase Rate, ","")&amp;IF(S636="","MRP, ",""))-2),IF(COUNTIF(Vendors!$B$3:$B$202,C636)=0,"Add vendor "&amp;C636&amp;" on the Vendors sheet",IF(ISNA(MATCH(H636,Codes!$A$2:$A$13,0)),"Pick the HSN Code from the list",IF(AND(E636&lt;&gt;"",COUNTIFS($C$3:$C$1002,C636,$E$3:$E$1002,E636,$F$3:$F$1002,"&lt;&gt;"&amp;F636)+COUNTIFS($C$3:$C$1002,C636,$E$3:$E$1002,E636,$G$3:$G$1002,"&lt;&gt;"&amp;G636)&gt;0),"Design "&amp;E636&amp;" has another Product Type or Category on another row",IF(COUNTIFS($F$3:$F$1002,F636,$G$3:$G$1002,G636,$H$3:$H$1002,"&lt;&gt;"&amp;H636)&gt;0,F636&amp;" + "&amp;G636&amp;" has another HSN Code on another row",IF(AND(V636&lt;&gt;"",U636=""),"Received Qty needs the Vendor Invoice No",IF(AND(U636&lt;&gt;"",COUNTIFS(Bills!$B$3:$B$302,U636,Bills!$C$3:$C$302,C636)=0),"Add bill "&amp;U636&amp;" of "&amp;C636&amp;" on the Bills sheet",IF(S636&lt;R636,"MRP is below the Purchase Rate","OK")))))))))</f>
        <v/>
      </c>
      <c r="B636" s="29"/>
      <c r="C636" s="22"/>
      <c r="D636" s="22"/>
      <c r="E636" s="24"/>
      <c r="F636" s="22"/>
      <c r="G636" s="22"/>
      <c r="H636" s="22"/>
      <c r="I636" s="30" t="str">
        <f>IF(H636="","",IFERROR(INDEX(Codes!$B$2:$B$13,MATCH(H636,Codes!$A$2:$A$13,0)),""))</f>
        <v/>
      </c>
      <c r="J636" s="23"/>
      <c r="K636" s="23"/>
      <c r="L636" s="23"/>
      <c r="M636" s="23"/>
      <c r="N636" s="23"/>
      <c r="O636" s="23"/>
      <c r="P636" s="23"/>
      <c r="Q636" s="31"/>
      <c r="R636" s="32"/>
      <c r="S636" s="32"/>
      <c r="T636" s="33" t="str">
        <f t="shared" si="18"/>
        <v/>
      </c>
      <c r="U636" s="34"/>
      <c r="V636" s="35"/>
      <c r="W636" s="33" t="str">
        <f t="shared" si="19"/>
        <v/>
      </c>
    </row>
    <row r="637" spans="1:23" x14ac:dyDescent="0.35">
      <c r="A637" s="21" t="str">
        <f>IF(COUNTA(B637:H637,J637:S637,U637:V637)=0,"",IF((IF(B637="","PO Ref, ","")&amp;IF(C637="","Vendor, ","")&amp;IF(D637="","Store, ","")&amp;IF(F637="","Product Type, ","")&amp;IF(G637="","Category, ","")&amp;IF(H637="","HSN Code, ","")&amp;IF(Q637="","Qty, ","")&amp;IF(R637="","Purchase Rate, ","")&amp;IF(S637="","MRP, ",""))&lt;&gt;"","Missing: "&amp;LEFT(IF(B637="","PO Ref, ","")&amp;IF(C637="","Vendor, ","")&amp;IF(D637="","Store, ","")&amp;IF(F637="","Product Type, ","")&amp;IF(G637="","Category, ","")&amp;IF(H637="","HSN Code, ","")&amp;IF(Q637="","Qty, ","")&amp;IF(R637="","Purchase Rate, ","")&amp;IF(S637="","MRP, ",""),LEN(IF(B637="","PO Ref, ","")&amp;IF(C637="","Vendor, ","")&amp;IF(D637="","Store, ","")&amp;IF(F637="","Product Type, ","")&amp;IF(G637="","Category, ","")&amp;IF(H637="","HSN Code, ","")&amp;IF(Q637="","Qty, ","")&amp;IF(R637="","Purchase Rate, ","")&amp;IF(S637="","MRP, ",""))-2),IF(COUNTIF(Vendors!$B$3:$B$202,C637)=0,"Add vendor "&amp;C637&amp;" on the Vendors sheet",IF(ISNA(MATCH(H637,Codes!$A$2:$A$13,0)),"Pick the HSN Code from the list",IF(AND(E637&lt;&gt;"",COUNTIFS($C$3:$C$1002,C637,$E$3:$E$1002,E637,$F$3:$F$1002,"&lt;&gt;"&amp;F637)+COUNTIFS($C$3:$C$1002,C637,$E$3:$E$1002,E637,$G$3:$G$1002,"&lt;&gt;"&amp;G637)&gt;0),"Design "&amp;E637&amp;" has another Product Type or Category on another row",IF(COUNTIFS($F$3:$F$1002,F637,$G$3:$G$1002,G637,$H$3:$H$1002,"&lt;&gt;"&amp;H637)&gt;0,F637&amp;" + "&amp;G637&amp;" has another HSN Code on another row",IF(AND(V637&lt;&gt;"",U637=""),"Received Qty needs the Vendor Invoice No",IF(AND(U637&lt;&gt;"",COUNTIFS(Bills!$B$3:$B$302,U637,Bills!$C$3:$C$302,C637)=0),"Add bill "&amp;U637&amp;" of "&amp;C637&amp;" on the Bills sheet",IF(S637&lt;R637,"MRP is below the Purchase Rate","OK")))))))))</f>
        <v/>
      </c>
      <c r="B637" s="29"/>
      <c r="C637" s="22"/>
      <c r="D637" s="22"/>
      <c r="E637" s="24"/>
      <c r="F637" s="22"/>
      <c r="G637" s="22"/>
      <c r="H637" s="22"/>
      <c r="I637" s="30" t="str">
        <f>IF(H637="","",IFERROR(INDEX(Codes!$B$2:$B$13,MATCH(H637,Codes!$A$2:$A$13,0)),""))</f>
        <v/>
      </c>
      <c r="J637" s="23"/>
      <c r="K637" s="23"/>
      <c r="L637" s="23"/>
      <c r="M637" s="23"/>
      <c r="N637" s="23"/>
      <c r="O637" s="23"/>
      <c r="P637" s="23"/>
      <c r="Q637" s="31"/>
      <c r="R637" s="32"/>
      <c r="S637" s="32"/>
      <c r="T637" s="33" t="str">
        <f t="shared" si="18"/>
        <v/>
      </c>
      <c r="U637" s="34"/>
      <c r="V637" s="35"/>
      <c r="W637" s="33" t="str">
        <f t="shared" si="19"/>
        <v/>
      </c>
    </row>
    <row r="638" spans="1:23" x14ac:dyDescent="0.35">
      <c r="A638" s="21" t="str">
        <f>IF(COUNTA(B638:H638,J638:S638,U638:V638)=0,"",IF((IF(B638="","PO Ref, ","")&amp;IF(C638="","Vendor, ","")&amp;IF(D638="","Store, ","")&amp;IF(F638="","Product Type, ","")&amp;IF(G638="","Category, ","")&amp;IF(H638="","HSN Code, ","")&amp;IF(Q638="","Qty, ","")&amp;IF(R638="","Purchase Rate, ","")&amp;IF(S638="","MRP, ",""))&lt;&gt;"","Missing: "&amp;LEFT(IF(B638="","PO Ref, ","")&amp;IF(C638="","Vendor, ","")&amp;IF(D638="","Store, ","")&amp;IF(F638="","Product Type, ","")&amp;IF(G638="","Category, ","")&amp;IF(H638="","HSN Code, ","")&amp;IF(Q638="","Qty, ","")&amp;IF(R638="","Purchase Rate, ","")&amp;IF(S638="","MRP, ",""),LEN(IF(B638="","PO Ref, ","")&amp;IF(C638="","Vendor, ","")&amp;IF(D638="","Store, ","")&amp;IF(F638="","Product Type, ","")&amp;IF(G638="","Category, ","")&amp;IF(H638="","HSN Code, ","")&amp;IF(Q638="","Qty, ","")&amp;IF(R638="","Purchase Rate, ","")&amp;IF(S638="","MRP, ",""))-2),IF(COUNTIF(Vendors!$B$3:$B$202,C638)=0,"Add vendor "&amp;C638&amp;" on the Vendors sheet",IF(ISNA(MATCH(H638,Codes!$A$2:$A$13,0)),"Pick the HSN Code from the list",IF(AND(E638&lt;&gt;"",COUNTIFS($C$3:$C$1002,C638,$E$3:$E$1002,E638,$F$3:$F$1002,"&lt;&gt;"&amp;F638)+COUNTIFS($C$3:$C$1002,C638,$E$3:$E$1002,E638,$G$3:$G$1002,"&lt;&gt;"&amp;G638)&gt;0),"Design "&amp;E638&amp;" has another Product Type or Category on another row",IF(COUNTIFS($F$3:$F$1002,F638,$G$3:$G$1002,G638,$H$3:$H$1002,"&lt;&gt;"&amp;H638)&gt;0,F638&amp;" + "&amp;G638&amp;" has another HSN Code on another row",IF(AND(V638&lt;&gt;"",U638=""),"Received Qty needs the Vendor Invoice No",IF(AND(U638&lt;&gt;"",COUNTIFS(Bills!$B$3:$B$302,U638,Bills!$C$3:$C$302,C638)=0),"Add bill "&amp;U638&amp;" of "&amp;C638&amp;" on the Bills sheet",IF(S638&lt;R638,"MRP is below the Purchase Rate","OK")))))))))</f>
        <v/>
      </c>
      <c r="B638" s="29"/>
      <c r="C638" s="22"/>
      <c r="D638" s="22"/>
      <c r="E638" s="24"/>
      <c r="F638" s="22"/>
      <c r="G638" s="22"/>
      <c r="H638" s="22"/>
      <c r="I638" s="30" t="str">
        <f>IF(H638="","",IFERROR(INDEX(Codes!$B$2:$B$13,MATCH(H638,Codes!$A$2:$A$13,0)),""))</f>
        <v/>
      </c>
      <c r="J638" s="23"/>
      <c r="K638" s="23"/>
      <c r="L638" s="23"/>
      <c r="M638" s="23"/>
      <c r="N638" s="23"/>
      <c r="O638" s="23"/>
      <c r="P638" s="23"/>
      <c r="Q638" s="31"/>
      <c r="R638" s="32"/>
      <c r="S638" s="32"/>
      <c r="T638" s="33" t="str">
        <f t="shared" si="18"/>
        <v/>
      </c>
      <c r="U638" s="34"/>
      <c r="V638" s="35"/>
      <c r="W638" s="33" t="str">
        <f t="shared" si="19"/>
        <v/>
      </c>
    </row>
    <row r="639" spans="1:23" x14ac:dyDescent="0.35">
      <c r="A639" s="21" t="str">
        <f>IF(COUNTA(B639:H639,J639:S639,U639:V639)=0,"",IF((IF(B639="","PO Ref, ","")&amp;IF(C639="","Vendor, ","")&amp;IF(D639="","Store, ","")&amp;IF(F639="","Product Type, ","")&amp;IF(G639="","Category, ","")&amp;IF(H639="","HSN Code, ","")&amp;IF(Q639="","Qty, ","")&amp;IF(R639="","Purchase Rate, ","")&amp;IF(S639="","MRP, ",""))&lt;&gt;"","Missing: "&amp;LEFT(IF(B639="","PO Ref, ","")&amp;IF(C639="","Vendor, ","")&amp;IF(D639="","Store, ","")&amp;IF(F639="","Product Type, ","")&amp;IF(G639="","Category, ","")&amp;IF(H639="","HSN Code, ","")&amp;IF(Q639="","Qty, ","")&amp;IF(R639="","Purchase Rate, ","")&amp;IF(S639="","MRP, ",""),LEN(IF(B639="","PO Ref, ","")&amp;IF(C639="","Vendor, ","")&amp;IF(D639="","Store, ","")&amp;IF(F639="","Product Type, ","")&amp;IF(G639="","Category, ","")&amp;IF(H639="","HSN Code, ","")&amp;IF(Q639="","Qty, ","")&amp;IF(R639="","Purchase Rate, ","")&amp;IF(S639="","MRP, ",""))-2),IF(COUNTIF(Vendors!$B$3:$B$202,C639)=0,"Add vendor "&amp;C639&amp;" on the Vendors sheet",IF(ISNA(MATCH(H639,Codes!$A$2:$A$13,0)),"Pick the HSN Code from the list",IF(AND(E639&lt;&gt;"",COUNTIFS($C$3:$C$1002,C639,$E$3:$E$1002,E639,$F$3:$F$1002,"&lt;&gt;"&amp;F639)+COUNTIFS($C$3:$C$1002,C639,$E$3:$E$1002,E639,$G$3:$G$1002,"&lt;&gt;"&amp;G639)&gt;0),"Design "&amp;E639&amp;" has another Product Type or Category on another row",IF(COUNTIFS($F$3:$F$1002,F639,$G$3:$G$1002,G639,$H$3:$H$1002,"&lt;&gt;"&amp;H639)&gt;0,F639&amp;" + "&amp;G639&amp;" has another HSN Code on another row",IF(AND(V639&lt;&gt;"",U639=""),"Received Qty needs the Vendor Invoice No",IF(AND(U639&lt;&gt;"",COUNTIFS(Bills!$B$3:$B$302,U639,Bills!$C$3:$C$302,C639)=0),"Add bill "&amp;U639&amp;" of "&amp;C639&amp;" on the Bills sheet",IF(S639&lt;R639,"MRP is below the Purchase Rate","OK")))))))))</f>
        <v/>
      </c>
      <c r="B639" s="29"/>
      <c r="C639" s="22"/>
      <c r="D639" s="22"/>
      <c r="E639" s="24"/>
      <c r="F639" s="22"/>
      <c r="G639" s="22"/>
      <c r="H639" s="22"/>
      <c r="I639" s="30" t="str">
        <f>IF(H639="","",IFERROR(INDEX(Codes!$B$2:$B$13,MATCH(H639,Codes!$A$2:$A$13,0)),""))</f>
        <v/>
      </c>
      <c r="J639" s="23"/>
      <c r="K639" s="23"/>
      <c r="L639" s="23"/>
      <c r="M639" s="23"/>
      <c r="N639" s="23"/>
      <c r="O639" s="23"/>
      <c r="P639" s="23"/>
      <c r="Q639" s="31"/>
      <c r="R639" s="32"/>
      <c r="S639" s="32"/>
      <c r="T639" s="33" t="str">
        <f t="shared" si="18"/>
        <v/>
      </c>
      <c r="U639" s="34"/>
      <c r="V639" s="35"/>
      <c r="W639" s="33" t="str">
        <f t="shared" si="19"/>
        <v/>
      </c>
    </row>
    <row r="640" spans="1:23" x14ac:dyDescent="0.35">
      <c r="A640" s="21" t="str">
        <f>IF(COUNTA(B640:H640,J640:S640,U640:V640)=0,"",IF((IF(B640="","PO Ref, ","")&amp;IF(C640="","Vendor, ","")&amp;IF(D640="","Store, ","")&amp;IF(F640="","Product Type, ","")&amp;IF(G640="","Category, ","")&amp;IF(H640="","HSN Code, ","")&amp;IF(Q640="","Qty, ","")&amp;IF(R640="","Purchase Rate, ","")&amp;IF(S640="","MRP, ",""))&lt;&gt;"","Missing: "&amp;LEFT(IF(B640="","PO Ref, ","")&amp;IF(C640="","Vendor, ","")&amp;IF(D640="","Store, ","")&amp;IF(F640="","Product Type, ","")&amp;IF(G640="","Category, ","")&amp;IF(H640="","HSN Code, ","")&amp;IF(Q640="","Qty, ","")&amp;IF(R640="","Purchase Rate, ","")&amp;IF(S640="","MRP, ",""),LEN(IF(B640="","PO Ref, ","")&amp;IF(C640="","Vendor, ","")&amp;IF(D640="","Store, ","")&amp;IF(F640="","Product Type, ","")&amp;IF(G640="","Category, ","")&amp;IF(H640="","HSN Code, ","")&amp;IF(Q640="","Qty, ","")&amp;IF(R640="","Purchase Rate, ","")&amp;IF(S640="","MRP, ",""))-2),IF(COUNTIF(Vendors!$B$3:$B$202,C640)=0,"Add vendor "&amp;C640&amp;" on the Vendors sheet",IF(ISNA(MATCH(H640,Codes!$A$2:$A$13,0)),"Pick the HSN Code from the list",IF(AND(E640&lt;&gt;"",COUNTIFS($C$3:$C$1002,C640,$E$3:$E$1002,E640,$F$3:$F$1002,"&lt;&gt;"&amp;F640)+COUNTIFS($C$3:$C$1002,C640,$E$3:$E$1002,E640,$G$3:$G$1002,"&lt;&gt;"&amp;G640)&gt;0),"Design "&amp;E640&amp;" has another Product Type or Category on another row",IF(COUNTIFS($F$3:$F$1002,F640,$G$3:$G$1002,G640,$H$3:$H$1002,"&lt;&gt;"&amp;H640)&gt;0,F640&amp;" + "&amp;G640&amp;" has another HSN Code on another row",IF(AND(V640&lt;&gt;"",U640=""),"Received Qty needs the Vendor Invoice No",IF(AND(U640&lt;&gt;"",COUNTIFS(Bills!$B$3:$B$302,U640,Bills!$C$3:$C$302,C640)=0),"Add bill "&amp;U640&amp;" of "&amp;C640&amp;" on the Bills sheet",IF(S640&lt;R640,"MRP is below the Purchase Rate","OK")))))))))</f>
        <v/>
      </c>
      <c r="B640" s="29"/>
      <c r="C640" s="22"/>
      <c r="D640" s="22"/>
      <c r="E640" s="24"/>
      <c r="F640" s="22"/>
      <c r="G640" s="22"/>
      <c r="H640" s="22"/>
      <c r="I640" s="30" t="str">
        <f>IF(H640="","",IFERROR(INDEX(Codes!$B$2:$B$13,MATCH(H640,Codes!$A$2:$A$13,0)),""))</f>
        <v/>
      </c>
      <c r="J640" s="23"/>
      <c r="K640" s="23"/>
      <c r="L640" s="23"/>
      <c r="M640" s="23"/>
      <c r="N640" s="23"/>
      <c r="O640" s="23"/>
      <c r="P640" s="23"/>
      <c r="Q640" s="31"/>
      <c r="R640" s="32"/>
      <c r="S640" s="32"/>
      <c r="T640" s="33" t="str">
        <f t="shared" si="18"/>
        <v/>
      </c>
      <c r="U640" s="34"/>
      <c r="V640" s="35"/>
      <c r="W640" s="33" t="str">
        <f t="shared" si="19"/>
        <v/>
      </c>
    </row>
    <row r="641" spans="1:23" x14ac:dyDescent="0.35">
      <c r="A641" s="21" t="str">
        <f>IF(COUNTA(B641:H641,J641:S641,U641:V641)=0,"",IF((IF(B641="","PO Ref, ","")&amp;IF(C641="","Vendor, ","")&amp;IF(D641="","Store, ","")&amp;IF(F641="","Product Type, ","")&amp;IF(G641="","Category, ","")&amp;IF(H641="","HSN Code, ","")&amp;IF(Q641="","Qty, ","")&amp;IF(R641="","Purchase Rate, ","")&amp;IF(S641="","MRP, ",""))&lt;&gt;"","Missing: "&amp;LEFT(IF(B641="","PO Ref, ","")&amp;IF(C641="","Vendor, ","")&amp;IF(D641="","Store, ","")&amp;IF(F641="","Product Type, ","")&amp;IF(G641="","Category, ","")&amp;IF(H641="","HSN Code, ","")&amp;IF(Q641="","Qty, ","")&amp;IF(R641="","Purchase Rate, ","")&amp;IF(S641="","MRP, ",""),LEN(IF(B641="","PO Ref, ","")&amp;IF(C641="","Vendor, ","")&amp;IF(D641="","Store, ","")&amp;IF(F641="","Product Type, ","")&amp;IF(G641="","Category, ","")&amp;IF(H641="","HSN Code, ","")&amp;IF(Q641="","Qty, ","")&amp;IF(R641="","Purchase Rate, ","")&amp;IF(S641="","MRP, ",""))-2),IF(COUNTIF(Vendors!$B$3:$B$202,C641)=0,"Add vendor "&amp;C641&amp;" on the Vendors sheet",IF(ISNA(MATCH(H641,Codes!$A$2:$A$13,0)),"Pick the HSN Code from the list",IF(AND(E641&lt;&gt;"",COUNTIFS($C$3:$C$1002,C641,$E$3:$E$1002,E641,$F$3:$F$1002,"&lt;&gt;"&amp;F641)+COUNTIFS($C$3:$C$1002,C641,$E$3:$E$1002,E641,$G$3:$G$1002,"&lt;&gt;"&amp;G641)&gt;0),"Design "&amp;E641&amp;" has another Product Type or Category on another row",IF(COUNTIFS($F$3:$F$1002,F641,$G$3:$G$1002,G641,$H$3:$H$1002,"&lt;&gt;"&amp;H641)&gt;0,F641&amp;" + "&amp;G641&amp;" has another HSN Code on another row",IF(AND(V641&lt;&gt;"",U641=""),"Received Qty needs the Vendor Invoice No",IF(AND(U641&lt;&gt;"",COUNTIFS(Bills!$B$3:$B$302,U641,Bills!$C$3:$C$302,C641)=0),"Add bill "&amp;U641&amp;" of "&amp;C641&amp;" on the Bills sheet",IF(S641&lt;R641,"MRP is below the Purchase Rate","OK")))))))))</f>
        <v/>
      </c>
      <c r="B641" s="29"/>
      <c r="C641" s="22"/>
      <c r="D641" s="22"/>
      <c r="E641" s="24"/>
      <c r="F641" s="22"/>
      <c r="G641" s="22"/>
      <c r="H641" s="22"/>
      <c r="I641" s="30" t="str">
        <f>IF(H641="","",IFERROR(INDEX(Codes!$B$2:$B$13,MATCH(H641,Codes!$A$2:$A$13,0)),""))</f>
        <v/>
      </c>
      <c r="J641" s="23"/>
      <c r="K641" s="23"/>
      <c r="L641" s="23"/>
      <c r="M641" s="23"/>
      <c r="N641" s="23"/>
      <c r="O641" s="23"/>
      <c r="P641" s="23"/>
      <c r="Q641" s="31"/>
      <c r="R641" s="32"/>
      <c r="S641" s="32"/>
      <c r="T641" s="33" t="str">
        <f t="shared" si="18"/>
        <v/>
      </c>
      <c r="U641" s="34"/>
      <c r="V641" s="35"/>
      <c r="W641" s="33" t="str">
        <f t="shared" si="19"/>
        <v/>
      </c>
    </row>
    <row r="642" spans="1:23" x14ac:dyDescent="0.35">
      <c r="A642" s="21" t="str">
        <f>IF(COUNTA(B642:H642,J642:S642,U642:V642)=0,"",IF((IF(B642="","PO Ref, ","")&amp;IF(C642="","Vendor, ","")&amp;IF(D642="","Store, ","")&amp;IF(F642="","Product Type, ","")&amp;IF(G642="","Category, ","")&amp;IF(H642="","HSN Code, ","")&amp;IF(Q642="","Qty, ","")&amp;IF(R642="","Purchase Rate, ","")&amp;IF(S642="","MRP, ",""))&lt;&gt;"","Missing: "&amp;LEFT(IF(B642="","PO Ref, ","")&amp;IF(C642="","Vendor, ","")&amp;IF(D642="","Store, ","")&amp;IF(F642="","Product Type, ","")&amp;IF(G642="","Category, ","")&amp;IF(H642="","HSN Code, ","")&amp;IF(Q642="","Qty, ","")&amp;IF(R642="","Purchase Rate, ","")&amp;IF(S642="","MRP, ",""),LEN(IF(B642="","PO Ref, ","")&amp;IF(C642="","Vendor, ","")&amp;IF(D642="","Store, ","")&amp;IF(F642="","Product Type, ","")&amp;IF(G642="","Category, ","")&amp;IF(H642="","HSN Code, ","")&amp;IF(Q642="","Qty, ","")&amp;IF(R642="","Purchase Rate, ","")&amp;IF(S642="","MRP, ",""))-2),IF(COUNTIF(Vendors!$B$3:$B$202,C642)=0,"Add vendor "&amp;C642&amp;" on the Vendors sheet",IF(ISNA(MATCH(H642,Codes!$A$2:$A$13,0)),"Pick the HSN Code from the list",IF(AND(E642&lt;&gt;"",COUNTIFS($C$3:$C$1002,C642,$E$3:$E$1002,E642,$F$3:$F$1002,"&lt;&gt;"&amp;F642)+COUNTIFS($C$3:$C$1002,C642,$E$3:$E$1002,E642,$G$3:$G$1002,"&lt;&gt;"&amp;G642)&gt;0),"Design "&amp;E642&amp;" has another Product Type or Category on another row",IF(COUNTIFS($F$3:$F$1002,F642,$G$3:$G$1002,G642,$H$3:$H$1002,"&lt;&gt;"&amp;H642)&gt;0,F642&amp;" + "&amp;G642&amp;" has another HSN Code on another row",IF(AND(V642&lt;&gt;"",U642=""),"Received Qty needs the Vendor Invoice No",IF(AND(U642&lt;&gt;"",COUNTIFS(Bills!$B$3:$B$302,U642,Bills!$C$3:$C$302,C642)=0),"Add bill "&amp;U642&amp;" of "&amp;C642&amp;" on the Bills sheet",IF(S642&lt;R642,"MRP is below the Purchase Rate","OK")))))))))</f>
        <v/>
      </c>
      <c r="B642" s="29"/>
      <c r="C642" s="22"/>
      <c r="D642" s="22"/>
      <c r="E642" s="24"/>
      <c r="F642" s="22"/>
      <c r="G642" s="22"/>
      <c r="H642" s="22"/>
      <c r="I642" s="30" t="str">
        <f>IF(H642="","",IFERROR(INDEX(Codes!$B$2:$B$13,MATCH(H642,Codes!$A$2:$A$13,0)),""))</f>
        <v/>
      </c>
      <c r="J642" s="23"/>
      <c r="K642" s="23"/>
      <c r="L642" s="23"/>
      <c r="M642" s="23"/>
      <c r="N642" s="23"/>
      <c r="O642" s="23"/>
      <c r="P642" s="23"/>
      <c r="Q642" s="31"/>
      <c r="R642" s="32"/>
      <c r="S642" s="32"/>
      <c r="T642" s="33" t="str">
        <f t="shared" si="18"/>
        <v/>
      </c>
      <c r="U642" s="34"/>
      <c r="V642" s="35"/>
      <c r="W642" s="33" t="str">
        <f t="shared" si="19"/>
        <v/>
      </c>
    </row>
    <row r="643" spans="1:23" x14ac:dyDescent="0.35">
      <c r="A643" s="21" t="str">
        <f>IF(COUNTA(B643:H643,J643:S643,U643:V643)=0,"",IF((IF(B643="","PO Ref, ","")&amp;IF(C643="","Vendor, ","")&amp;IF(D643="","Store, ","")&amp;IF(F643="","Product Type, ","")&amp;IF(G643="","Category, ","")&amp;IF(H643="","HSN Code, ","")&amp;IF(Q643="","Qty, ","")&amp;IF(R643="","Purchase Rate, ","")&amp;IF(S643="","MRP, ",""))&lt;&gt;"","Missing: "&amp;LEFT(IF(B643="","PO Ref, ","")&amp;IF(C643="","Vendor, ","")&amp;IF(D643="","Store, ","")&amp;IF(F643="","Product Type, ","")&amp;IF(G643="","Category, ","")&amp;IF(H643="","HSN Code, ","")&amp;IF(Q643="","Qty, ","")&amp;IF(R643="","Purchase Rate, ","")&amp;IF(S643="","MRP, ",""),LEN(IF(B643="","PO Ref, ","")&amp;IF(C643="","Vendor, ","")&amp;IF(D643="","Store, ","")&amp;IF(F643="","Product Type, ","")&amp;IF(G643="","Category, ","")&amp;IF(H643="","HSN Code, ","")&amp;IF(Q643="","Qty, ","")&amp;IF(R643="","Purchase Rate, ","")&amp;IF(S643="","MRP, ",""))-2),IF(COUNTIF(Vendors!$B$3:$B$202,C643)=0,"Add vendor "&amp;C643&amp;" on the Vendors sheet",IF(ISNA(MATCH(H643,Codes!$A$2:$A$13,0)),"Pick the HSN Code from the list",IF(AND(E643&lt;&gt;"",COUNTIFS($C$3:$C$1002,C643,$E$3:$E$1002,E643,$F$3:$F$1002,"&lt;&gt;"&amp;F643)+COUNTIFS($C$3:$C$1002,C643,$E$3:$E$1002,E643,$G$3:$G$1002,"&lt;&gt;"&amp;G643)&gt;0),"Design "&amp;E643&amp;" has another Product Type or Category on another row",IF(COUNTIFS($F$3:$F$1002,F643,$G$3:$G$1002,G643,$H$3:$H$1002,"&lt;&gt;"&amp;H643)&gt;0,F643&amp;" + "&amp;G643&amp;" has another HSN Code on another row",IF(AND(V643&lt;&gt;"",U643=""),"Received Qty needs the Vendor Invoice No",IF(AND(U643&lt;&gt;"",COUNTIFS(Bills!$B$3:$B$302,U643,Bills!$C$3:$C$302,C643)=0),"Add bill "&amp;U643&amp;" of "&amp;C643&amp;" on the Bills sheet",IF(S643&lt;R643,"MRP is below the Purchase Rate","OK")))))))))</f>
        <v/>
      </c>
      <c r="B643" s="29"/>
      <c r="C643" s="22"/>
      <c r="D643" s="22"/>
      <c r="E643" s="24"/>
      <c r="F643" s="22"/>
      <c r="G643" s="22"/>
      <c r="H643" s="22"/>
      <c r="I643" s="30" t="str">
        <f>IF(H643="","",IFERROR(INDEX(Codes!$B$2:$B$13,MATCH(H643,Codes!$A$2:$A$13,0)),""))</f>
        <v/>
      </c>
      <c r="J643" s="23"/>
      <c r="K643" s="23"/>
      <c r="L643" s="23"/>
      <c r="M643" s="23"/>
      <c r="N643" s="23"/>
      <c r="O643" s="23"/>
      <c r="P643" s="23"/>
      <c r="Q643" s="31"/>
      <c r="R643" s="32"/>
      <c r="S643" s="32"/>
      <c r="T643" s="33" t="str">
        <f t="shared" ref="T643:T706" si="20">IF(OR(Q643="",R643=""),"",Q643*R643)</f>
        <v/>
      </c>
      <c r="U643" s="34"/>
      <c r="V643" s="35"/>
      <c r="W643" s="33" t="str">
        <f t="shared" ref="W643:W706" si="21">IF(OR(U643="",R643=""),"",IF(V643="",Q643,V643)*R643)</f>
        <v/>
      </c>
    </row>
    <row r="644" spans="1:23" x14ac:dyDescent="0.35">
      <c r="A644" s="21" t="str">
        <f>IF(COUNTA(B644:H644,J644:S644,U644:V644)=0,"",IF((IF(B644="","PO Ref, ","")&amp;IF(C644="","Vendor, ","")&amp;IF(D644="","Store, ","")&amp;IF(F644="","Product Type, ","")&amp;IF(G644="","Category, ","")&amp;IF(H644="","HSN Code, ","")&amp;IF(Q644="","Qty, ","")&amp;IF(R644="","Purchase Rate, ","")&amp;IF(S644="","MRP, ",""))&lt;&gt;"","Missing: "&amp;LEFT(IF(B644="","PO Ref, ","")&amp;IF(C644="","Vendor, ","")&amp;IF(D644="","Store, ","")&amp;IF(F644="","Product Type, ","")&amp;IF(G644="","Category, ","")&amp;IF(H644="","HSN Code, ","")&amp;IF(Q644="","Qty, ","")&amp;IF(R644="","Purchase Rate, ","")&amp;IF(S644="","MRP, ",""),LEN(IF(B644="","PO Ref, ","")&amp;IF(C644="","Vendor, ","")&amp;IF(D644="","Store, ","")&amp;IF(F644="","Product Type, ","")&amp;IF(G644="","Category, ","")&amp;IF(H644="","HSN Code, ","")&amp;IF(Q644="","Qty, ","")&amp;IF(R644="","Purchase Rate, ","")&amp;IF(S644="","MRP, ",""))-2),IF(COUNTIF(Vendors!$B$3:$B$202,C644)=0,"Add vendor "&amp;C644&amp;" on the Vendors sheet",IF(ISNA(MATCH(H644,Codes!$A$2:$A$13,0)),"Pick the HSN Code from the list",IF(AND(E644&lt;&gt;"",COUNTIFS($C$3:$C$1002,C644,$E$3:$E$1002,E644,$F$3:$F$1002,"&lt;&gt;"&amp;F644)+COUNTIFS($C$3:$C$1002,C644,$E$3:$E$1002,E644,$G$3:$G$1002,"&lt;&gt;"&amp;G644)&gt;0),"Design "&amp;E644&amp;" has another Product Type or Category on another row",IF(COUNTIFS($F$3:$F$1002,F644,$G$3:$G$1002,G644,$H$3:$H$1002,"&lt;&gt;"&amp;H644)&gt;0,F644&amp;" + "&amp;G644&amp;" has another HSN Code on another row",IF(AND(V644&lt;&gt;"",U644=""),"Received Qty needs the Vendor Invoice No",IF(AND(U644&lt;&gt;"",COUNTIFS(Bills!$B$3:$B$302,U644,Bills!$C$3:$C$302,C644)=0),"Add bill "&amp;U644&amp;" of "&amp;C644&amp;" on the Bills sheet",IF(S644&lt;R644,"MRP is below the Purchase Rate","OK")))))))))</f>
        <v/>
      </c>
      <c r="B644" s="29"/>
      <c r="C644" s="22"/>
      <c r="D644" s="22"/>
      <c r="E644" s="24"/>
      <c r="F644" s="22"/>
      <c r="G644" s="22"/>
      <c r="H644" s="22"/>
      <c r="I644" s="30" t="str">
        <f>IF(H644="","",IFERROR(INDEX(Codes!$B$2:$B$13,MATCH(H644,Codes!$A$2:$A$13,0)),""))</f>
        <v/>
      </c>
      <c r="J644" s="23"/>
      <c r="K644" s="23"/>
      <c r="L644" s="23"/>
      <c r="M644" s="23"/>
      <c r="N644" s="23"/>
      <c r="O644" s="23"/>
      <c r="P644" s="23"/>
      <c r="Q644" s="31"/>
      <c r="R644" s="32"/>
      <c r="S644" s="32"/>
      <c r="T644" s="33" t="str">
        <f t="shared" si="20"/>
        <v/>
      </c>
      <c r="U644" s="34"/>
      <c r="V644" s="35"/>
      <c r="W644" s="33" t="str">
        <f t="shared" si="21"/>
        <v/>
      </c>
    </row>
    <row r="645" spans="1:23" x14ac:dyDescent="0.35">
      <c r="A645" s="21" t="str">
        <f>IF(COUNTA(B645:H645,J645:S645,U645:V645)=0,"",IF((IF(B645="","PO Ref, ","")&amp;IF(C645="","Vendor, ","")&amp;IF(D645="","Store, ","")&amp;IF(F645="","Product Type, ","")&amp;IF(G645="","Category, ","")&amp;IF(H645="","HSN Code, ","")&amp;IF(Q645="","Qty, ","")&amp;IF(R645="","Purchase Rate, ","")&amp;IF(S645="","MRP, ",""))&lt;&gt;"","Missing: "&amp;LEFT(IF(B645="","PO Ref, ","")&amp;IF(C645="","Vendor, ","")&amp;IF(D645="","Store, ","")&amp;IF(F645="","Product Type, ","")&amp;IF(G645="","Category, ","")&amp;IF(H645="","HSN Code, ","")&amp;IF(Q645="","Qty, ","")&amp;IF(R645="","Purchase Rate, ","")&amp;IF(S645="","MRP, ",""),LEN(IF(B645="","PO Ref, ","")&amp;IF(C645="","Vendor, ","")&amp;IF(D645="","Store, ","")&amp;IF(F645="","Product Type, ","")&amp;IF(G645="","Category, ","")&amp;IF(H645="","HSN Code, ","")&amp;IF(Q645="","Qty, ","")&amp;IF(R645="","Purchase Rate, ","")&amp;IF(S645="","MRP, ",""))-2),IF(COUNTIF(Vendors!$B$3:$B$202,C645)=0,"Add vendor "&amp;C645&amp;" on the Vendors sheet",IF(ISNA(MATCH(H645,Codes!$A$2:$A$13,0)),"Pick the HSN Code from the list",IF(AND(E645&lt;&gt;"",COUNTIFS($C$3:$C$1002,C645,$E$3:$E$1002,E645,$F$3:$F$1002,"&lt;&gt;"&amp;F645)+COUNTIFS($C$3:$C$1002,C645,$E$3:$E$1002,E645,$G$3:$G$1002,"&lt;&gt;"&amp;G645)&gt;0),"Design "&amp;E645&amp;" has another Product Type or Category on another row",IF(COUNTIFS($F$3:$F$1002,F645,$G$3:$G$1002,G645,$H$3:$H$1002,"&lt;&gt;"&amp;H645)&gt;0,F645&amp;" + "&amp;G645&amp;" has another HSN Code on another row",IF(AND(V645&lt;&gt;"",U645=""),"Received Qty needs the Vendor Invoice No",IF(AND(U645&lt;&gt;"",COUNTIFS(Bills!$B$3:$B$302,U645,Bills!$C$3:$C$302,C645)=0),"Add bill "&amp;U645&amp;" of "&amp;C645&amp;" on the Bills sheet",IF(S645&lt;R645,"MRP is below the Purchase Rate","OK")))))))))</f>
        <v/>
      </c>
      <c r="B645" s="29"/>
      <c r="C645" s="22"/>
      <c r="D645" s="22"/>
      <c r="E645" s="24"/>
      <c r="F645" s="22"/>
      <c r="G645" s="22"/>
      <c r="H645" s="22"/>
      <c r="I645" s="30" t="str">
        <f>IF(H645="","",IFERROR(INDEX(Codes!$B$2:$B$13,MATCH(H645,Codes!$A$2:$A$13,0)),""))</f>
        <v/>
      </c>
      <c r="J645" s="23"/>
      <c r="K645" s="23"/>
      <c r="L645" s="23"/>
      <c r="M645" s="23"/>
      <c r="N645" s="23"/>
      <c r="O645" s="23"/>
      <c r="P645" s="23"/>
      <c r="Q645" s="31"/>
      <c r="R645" s="32"/>
      <c r="S645" s="32"/>
      <c r="T645" s="33" t="str">
        <f t="shared" si="20"/>
        <v/>
      </c>
      <c r="U645" s="34"/>
      <c r="V645" s="35"/>
      <c r="W645" s="33" t="str">
        <f t="shared" si="21"/>
        <v/>
      </c>
    </row>
    <row r="646" spans="1:23" x14ac:dyDescent="0.35">
      <c r="A646" s="21" t="str">
        <f>IF(COUNTA(B646:H646,J646:S646,U646:V646)=0,"",IF((IF(B646="","PO Ref, ","")&amp;IF(C646="","Vendor, ","")&amp;IF(D646="","Store, ","")&amp;IF(F646="","Product Type, ","")&amp;IF(G646="","Category, ","")&amp;IF(H646="","HSN Code, ","")&amp;IF(Q646="","Qty, ","")&amp;IF(R646="","Purchase Rate, ","")&amp;IF(S646="","MRP, ",""))&lt;&gt;"","Missing: "&amp;LEFT(IF(B646="","PO Ref, ","")&amp;IF(C646="","Vendor, ","")&amp;IF(D646="","Store, ","")&amp;IF(F646="","Product Type, ","")&amp;IF(G646="","Category, ","")&amp;IF(H646="","HSN Code, ","")&amp;IF(Q646="","Qty, ","")&amp;IF(R646="","Purchase Rate, ","")&amp;IF(S646="","MRP, ",""),LEN(IF(B646="","PO Ref, ","")&amp;IF(C646="","Vendor, ","")&amp;IF(D646="","Store, ","")&amp;IF(F646="","Product Type, ","")&amp;IF(G646="","Category, ","")&amp;IF(H646="","HSN Code, ","")&amp;IF(Q646="","Qty, ","")&amp;IF(R646="","Purchase Rate, ","")&amp;IF(S646="","MRP, ",""))-2),IF(COUNTIF(Vendors!$B$3:$B$202,C646)=0,"Add vendor "&amp;C646&amp;" on the Vendors sheet",IF(ISNA(MATCH(H646,Codes!$A$2:$A$13,0)),"Pick the HSN Code from the list",IF(AND(E646&lt;&gt;"",COUNTIFS($C$3:$C$1002,C646,$E$3:$E$1002,E646,$F$3:$F$1002,"&lt;&gt;"&amp;F646)+COUNTIFS($C$3:$C$1002,C646,$E$3:$E$1002,E646,$G$3:$G$1002,"&lt;&gt;"&amp;G646)&gt;0),"Design "&amp;E646&amp;" has another Product Type or Category on another row",IF(COUNTIFS($F$3:$F$1002,F646,$G$3:$G$1002,G646,$H$3:$H$1002,"&lt;&gt;"&amp;H646)&gt;0,F646&amp;" + "&amp;G646&amp;" has another HSN Code on another row",IF(AND(V646&lt;&gt;"",U646=""),"Received Qty needs the Vendor Invoice No",IF(AND(U646&lt;&gt;"",COUNTIFS(Bills!$B$3:$B$302,U646,Bills!$C$3:$C$302,C646)=0),"Add bill "&amp;U646&amp;" of "&amp;C646&amp;" on the Bills sheet",IF(S646&lt;R646,"MRP is below the Purchase Rate","OK")))))))))</f>
        <v/>
      </c>
      <c r="B646" s="29"/>
      <c r="C646" s="22"/>
      <c r="D646" s="22"/>
      <c r="E646" s="24"/>
      <c r="F646" s="22"/>
      <c r="G646" s="22"/>
      <c r="H646" s="22"/>
      <c r="I646" s="30" t="str">
        <f>IF(H646="","",IFERROR(INDEX(Codes!$B$2:$B$13,MATCH(H646,Codes!$A$2:$A$13,0)),""))</f>
        <v/>
      </c>
      <c r="J646" s="23"/>
      <c r="K646" s="23"/>
      <c r="L646" s="23"/>
      <c r="M646" s="23"/>
      <c r="N646" s="23"/>
      <c r="O646" s="23"/>
      <c r="P646" s="23"/>
      <c r="Q646" s="31"/>
      <c r="R646" s="32"/>
      <c r="S646" s="32"/>
      <c r="T646" s="33" t="str">
        <f t="shared" si="20"/>
        <v/>
      </c>
      <c r="U646" s="34"/>
      <c r="V646" s="35"/>
      <c r="W646" s="33" t="str">
        <f t="shared" si="21"/>
        <v/>
      </c>
    </row>
    <row r="647" spans="1:23" x14ac:dyDescent="0.35">
      <c r="A647" s="21" t="str">
        <f>IF(COUNTA(B647:H647,J647:S647,U647:V647)=0,"",IF((IF(B647="","PO Ref, ","")&amp;IF(C647="","Vendor, ","")&amp;IF(D647="","Store, ","")&amp;IF(F647="","Product Type, ","")&amp;IF(G647="","Category, ","")&amp;IF(H647="","HSN Code, ","")&amp;IF(Q647="","Qty, ","")&amp;IF(R647="","Purchase Rate, ","")&amp;IF(S647="","MRP, ",""))&lt;&gt;"","Missing: "&amp;LEFT(IF(B647="","PO Ref, ","")&amp;IF(C647="","Vendor, ","")&amp;IF(D647="","Store, ","")&amp;IF(F647="","Product Type, ","")&amp;IF(G647="","Category, ","")&amp;IF(H647="","HSN Code, ","")&amp;IF(Q647="","Qty, ","")&amp;IF(R647="","Purchase Rate, ","")&amp;IF(S647="","MRP, ",""),LEN(IF(B647="","PO Ref, ","")&amp;IF(C647="","Vendor, ","")&amp;IF(D647="","Store, ","")&amp;IF(F647="","Product Type, ","")&amp;IF(G647="","Category, ","")&amp;IF(H647="","HSN Code, ","")&amp;IF(Q647="","Qty, ","")&amp;IF(R647="","Purchase Rate, ","")&amp;IF(S647="","MRP, ",""))-2),IF(COUNTIF(Vendors!$B$3:$B$202,C647)=0,"Add vendor "&amp;C647&amp;" on the Vendors sheet",IF(ISNA(MATCH(H647,Codes!$A$2:$A$13,0)),"Pick the HSN Code from the list",IF(AND(E647&lt;&gt;"",COUNTIFS($C$3:$C$1002,C647,$E$3:$E$1002,E647,$F$3:$F$1002,"&lt;&gt;"&amp;F647)+COUNTIFS($C$3:$C$1002,C647,$E$3:$E$1002,E647,$G$3:$G$1002,"&lt;&gt;"&amp;G647)&gt;0),"Design "&amp;E647&amp;" has another Product Type or Category on another row",IF(COUNTIFS($F$3:$F$1002,F647,$G$3:$G$1002,G647,$H$3:$H$1002,"&lt;&gt;"&amp;H647)&gt;0,F647&amp;" + "&amp;G647&amp;" has another HSN Code on another row",IF(AND(V647&lt;&gt;"",U647=""),"Received Qty needs the Vendor Invoice No",IF(AND(U647&lt;&gt;"",COUNTIFS(Bills!$B$3:$B$302,U647,Bills!$C$3:$C$302,C647)=0),"Add bill "&amp;U647&amp;" of "&amp;C647&amp;" on the Bills sheet",IF(S647&lt;R647,"MRP is below the Purchase Rate","OK")))))))))</f>
        <v/>
      </c>
      <c r="B647" s="29"/>
      <c r="C647" s="22"/>
      <c r="D647" s="22"/>
      <c r="E647" s="24"/>
      <c r="F647" s="22"/>
      <c r="G647" s="22"/>
      <c r="H647" s="22"/>
      <c r="I647" s="30" t="str">
        <f>IF(H647="","",IFERROR(INDEX(Codes!$B$2:$B$13,MATCH(H647,Codes!$A$2:$A$13,0)),""))</f>
        <v/>
      </c>
      <c r="J647" s="23"/>
      <c r="K647" s="23"/>
      <c r="L647" s="23"/>
      <c r="M647" s="23"/>
      <c r="N647" s="23"/>
      <c r="O647" s="23"/>
      <c r="P647" s="23"/>
      <c r="Q647" s="31"/>
      <c r="R647" s="32"/>
      <c r="S647" s="32"/>
      <c r="T647" s="33" t="str">
        <f t="shared" si="20"/>
        <v/>
      </c>
      <c r="U647" s="34"/>
      <c r="V647" s="35"/>
      <c r="W647" s="33" t="str">
        <f t="shared" si="21"/>
        <v/>
      </c>
    </row>
    <row r="648" spans="1:23" x14ac:dyDescent="0.35">
      <c r="A648" s="21" t="str">
        <f>IF(COUNTA(B648:H648,J648:S648,U648:V648)=0,"",IF((IF(B648="","PO Ref, ","")&amp;IF(C648="","Vendor, ","")&amp;IF(D648="","Store, ","")&amp;IF(F648="","Product Type, ","")&amp;IF(G648="","Category, ","")&amp;IF(H648="","HSN Code, ","")&amp;IF(Q648="","Qty, ","")&amp;IF(R648="","Purchase Rate, ","")&amp;IF(S648="","MRP, ",""))&lt;&gt;"","Missing: "&amp;LEFT(IF(B648="","PO Ref, ","")&amp;IF(C648="","Vendor, ","")&amp;IF(D648="","Store, ","")&amp;IF(F648="","Product Type, ","")&amp;IF(G648="","Category, ","")&amp;IF(H648="","HSN Code, ","")&amp;IF(Q648="","Qty, ","")&amp;IF(R648="","Purchase Rate, ","")&amp;IF(S648="","MRP, ",""),LEN(IF(B648="","PO Ref, ","")&amp;IF(C648="","Vendor, ","")&amp;IF(D648="","Store, ","")&amp;IF(F648="","Product Type, ","")&amp;IF(G648="","Category, ","")&amp;IF(H648="","HSN Code, ","")&amp;IF(Q648="","Qty, ","")&amp;IF(R648="","Purchase Rate, ","")&amp;IF(S648="","MRP, ",""))-2),IF(COUNTIF(Vendors!$B$3:$B$202,C648)=0,"Add vendor "&amp;C648&amp;" on the Vendors sheet",IF(ISNA(MATCH(H648,Codes!$A$2:$A$13,0)),"Pick the HSN Code from the list",IF(AND(E648&lt;&gt;"",COUNTIFS($C$3:$C$1002,C648,$E$3:$E$1002,E648,$F$3:$F$1002,"&lt;&gt;"&amp;F648)+COUNTIFS($C$3:$C$1002,C648,$E$3:$E$1002,E648,$G$3:$G$1002,"&lt;&gt;"&amp;G648)&gt;0),"Design "&amp;E648&amp;" has another Product Type or Category on another row",IF(COUNTIFS($F$3:$F$1002,F648,$G$3:$G$1002,G648,$H$3:$H$1002,"&lt;&gt;"&amp;H648)&gt;0,F648&amp;" + "&amp;G648&amp;" has another HSN Code on another row",IF(AND(V648&lt;&gt;"",U648=""),"Received Qty needs the Vendor Invoice No",IF(AND(U648&lt;&gt;"",COUNTIFS(Bills!$B$3:$B$302,U648,Bills!$C$3:$C$302,C648)=0),"Add bill "&amp;U648&amp;" of "&amp;C648&amp;" on the Bills sheet",IF(S648&lt;R648,"MRP is below the Purchase Rate","OK")))))))))</f>
        <v/>
      </c>
      <c r="B648" s="29"/>
      <c r="C648" s="22"/>
      <c r="D648" s="22"/>
      <c r="E648" s="24"/>
      <c r="F648" s="22"/>
      <c r="G648" s="22"/>
      <c r="H648" s="22"/>
      <c r="I648" s="30" t="str">
        <f>IF(H648="","",IFERROR(INDEX(Codes!$B$2:$B$13,MATCH(H648,Codes!$A$2:$A$13,0)),""))</f>
        <v/>
      </c>
      <c r="J648" s="23"/>
      <c r="K648" s="23"/>
      <c r="L648" s="23"/>
      <c r="M648" s="23"/>
      <c r="N648" s="23"/>
      <c r="O648" s="23"/>
      <c r="P648" s="23"/>
      <c r="Q648" s="31"/>
      <c r="R648" s="32"/>
      <c r="S648" s="32"/>
      <c r="T648" s="33" t="str">
        <f t="shared" si="20"/>
        <v/>
      </c>
      <c r="U648" s="34"/>
      <c r="V648" s="35"/>
      <c r="W648" s="33" t="str">
        <f t="shared" si="21"/>
        <v/>
      </c>
    </row>
    <row r="649" spans="1:23" x14ac:dyDescent="0.35">
      <c r="A649" s="21" t="str">
        <f>IF(COUNTA(B649:H649,J649:S649,U649:V649)=0,"",IF((IF(B649="","PO Ref, ","")&amp;IF(C649="","Vendor, ","")&amp;IF(D649="","Store, ","")&amp;IF(F649="","Product Type, ","")&amp;IF(G649="","Category, ","")&amp;IF(H649="","HSN Code, ","")&amp;IF(Q649="","Qty, ","")&amp;IF(R649="","Purchase Rate, ","")&amp;IF(S649="","MRP, ",""))&lt;&gt;"","Missing: "&amp;LEFT(IF(B649="","PO Ref, ","")&amp;IF(C649="","Vendor, ","")&amp;IF(D649="","Store, ","")&amp;IF(F649="","Product Type, ","")&amp;IF(G649="","Category, ","")&amp;IF(H649="","HSN Code, ","")&amp;IF(Q649="","Qty, ","")&amp;IF(R649="","Purchase Rate, ","")&amp;IF(S649="","MRP, ",""),LEN(IF(B649="","PO Ref, ","")&amp;IF(C649="","Vendor, ","")&amp;IF(D649="","Store, ","")&amp;IF(F649="","Product Type, ","")&amp;IF(G649="","Category, ","")&amp;IF(H649="","HSN Code, ","")&amp;IF(Q649="","Qty, ","")&amp;IF(R649="","Purchase Rate, ","")&amp;IF(S649="","MRP, ",""))-2),IF(COUNTIF(Vendors!$B$3:$B$202,C649)=0,"Add vendor "&amp;C649&amp;" on the Vendors sheet",IF(ISNA(MATCH(H649,Codes!$A$2:$A$13,0)),"Pick the HSN Code from the list",IF(AND(E649&lt;&gt;"",COUNTIFS($C$3:$C$1002,C649,$E$3:$E$1002,E649,$F$3:$F$1002,"&lt;&gt;"&amp;F649)+COUNTIFS($C$3:$C$1002,C649,$E$3:$E$1002,E649,$G$3:$G$1002,"&lt;&gt;"&amp;G649)&gt;0),"Design "&amp;E649&amp;" has another Product Type or Category on another row",IF(COUNTIFS($F$3:$F$1002,F649,$G$3:$G$1002,G649,$H$3:$H$1002,"&lt;&gt;"&amp;H649)&gt;0,F649&amp;" + "&amp;G649&amp;" has another HSN Code on another row",IF(AND(V649&lt;&gt;"",U649=""),"Received Qty needs the Vendor Invoice No",IF(AND(U649&lt;&gt;"",COUNTIFS(Bills!$B$3:$B$302,U649,Bills!$C$3:$C$302,C649)=0),"Add bill "&amp;U649&amp;" of "&amp;C649&amp;" on the Bills sheet",IF(S649&lt;R649,"MRP is below the Purchase Rate","OK")))))))))</f>
        <v/>
      </c>
      <c r="B649" s="29"/>
      <c r="C649" s="22"/>
      <c r="D649" s="22"/>
      <c r="E649" s="24"/>
      <c r="F649" s="22"/>
      <c r="G649" s="22"/>
      <c r="H649" s="22"/>
      <c r="I649" s="30" t="str">
        <f>IF(H649="","",IFERROR(INDEX(Codes!$B$2:$B$13,MATCH(H649,Codes!$A$2:$A$13,0)),""))</f>
        <v/>
      </c>
      <c r="J649" s="23"/>
      <c r="K649" s="23"/>
      <c r="L649" s="23"/>
      <c r="M649" s="23"/>
      <c r="N649" s="23"/>
      <c r="O649" s="23"/>
      <c r="P649" s="23"/>
      <c r="Q649" s="31"/>
      <c r="R649" s="32"/>
      <c r="S649" s="32"/>
      <c r="T649" s="33" t="str">
        <f t="shared" si="20"/>
        <v/>
      </c>
      <c r="U649" s="34"/>
      <c r="V649" s="35"/>
      <c r="W649" s="33" t="str">
        <f t="shared" si="21"/>
        <v/>
      </c>
    </row>
    <row r="650" spans="1:23" x14ac:dyDescent="0.35">
      <c r="A650" s="21" t="str">
        <f>IF(COUNTA(B650:H650,J650:S650,U650:V650)=0,"",IF((IF(B650="","PO Ref, ","")&amp;IF(C650="","Vendor, ","")&amp;IF(D650="","Store, ","")&amp;IF(F650="","Product Type, ","")&amp;IF(G650="","Category, ","")&amp;IF(H650="","HSN Code, ","")&amp;IF(Q650="","Qty, ","")&amp;IF(R650="","Purchase Rate, ","")&amp;IF(S650="","MRP, ",""))&lt;&gt;"","Missing: "&amp;LEFT(IF(B650="","PO Ref, ","")&amp;IF(C650="","Vendor, ","")&amp;IF(D650="","Store, ","")&amp;IF(F650="","Product Type, ","")&amp;IF(G650="","Category, ","")&amp;IF(H650="","HSN Code, ","")&amp;IF(Q650="","Qty, ","")&amp;IF(R650="","Purchase Rate, ","")&amp;IF(S650="","MRP, ",""),LEN(IF(B650="","PO Ref, ","")&amp;IF(C650="","Vendor, ","")&amp;IF(D650="","Store, ","")&amp;IF(F650="","Product Type, ","")&amp;IF(G650="","Category, ","")&amp;IF(H650="","HSN Code, ","")&amp;IF(Q650="","Qty, ","")&amp;IF(R650="","Purchase Rate, ","")&amp;IF(S650="","MRP, ",""))-2),IF(COUNTIF(Vendors!$B$3:$B$202,C650)=0,"Add vendor "&amp;C650&amp;" on the Vendors sheet",IF(ISNA(MATCH(H650,Codes!$A$2:$A$13,0)),"Pick the HSN Code from the list",IF(AND(E650&lt;&gt;"",COUNTIFS($C$3:$C$1002,C650,$E$3:$E$1002,E650,$F$3:$F$1002,"&lt;&gt;"&amp;F650)+COUNTIFS($C$3:$C$1002,C650,$E$3:$E$1002,E650,$G$3:$G$1002,"&lt;&gt;"&amp;G650)&gt;0),"Design "&amp;E650&amp;" has another Product Type or Category on another row",IF(COUNTIFS($F$3:$F$1002,F650,$G$3:$G$1002,G650,$H$3:$H$1002,"&lt;&gt;"&amp;H650)&gt;0,F650&amp;" + "&amp;G650&amp;" has another HSN Code on another row",IF(AND(V650&lt;&gt;"",U650=""),"Received Qty needs the Vendor Invoice No",IF(AND(U650&lt;&gt;"",COUNTIFS(Bills!$B$3:$B$302,U650,Bills!$C$3:$C$302,C650)=0),"Add bill "&amp;U650&amp;" of "&amp;C650&amp;" on the Bills sheet",IF(S650&lt;R650,"MRP is below the Purchase Rate","OK")))))))))</f>
        <v/>
      </c>
      <c r="B650" s="29"/>
      <c r="C650" s="22"/>
      <c r="D650" s="22"/>
      <c r="E650" s="24"/>
      <c r="F650" s="22"/>
      <c r="G650" s="22"/>
      <c r="H650" s="22"/>
      <c r="I650" s="30" t="str">
        <f>IF(H650="","",IFERROR(INDEX(Codes!$B$2:$B$13,MATCH(H650,Codes!$A$2:$A$13,0)),""))</f>
        <v/>
      </c>
      <c r="J650" s="23"/>
      <c r="K650" s="23"/>
      <c r="L650" s="23"/>
      <c r="M650" s="23"/>
      <c r="N650" s="23"/>
      <c r="O650" s="23"/>
      <c r="P650" s="23"/>
      <c r="Q650" s="31"/>
      <c r="R650" s="32"/>
      <c r="S650" s="32"/>
      <c r="T650" s="33" t="str">
        <f t="shared" si="20"/>
        <v/>
      </c>
      <c r="U650" s="34"/>
      <c r="V650" s="35"/>
      <c r="W650" s="33" t="str">
        <f t="shared" si="21"/>
        <v/>
      </c>
    </row>
    <row r="651" spans="1:23" x14ac:dyDescent="0.35">
      <c r="A651" s="21" t="str">
        <f>IF(COUNTA(B651:H651,J651:S651,U651:V651)=0,"",IF((IF(B651="","PO Ref, ","")&amp;IF(C651="","Vendor, ","")&amp;IF(D651="","Store, ","")&amp;IF(F651="","Product Type, ","")&amp;IF(G651="","Category, ","")&amp;IF(H651="","HSN Code, ","")&amp;IF(Q651="","Qty, ","")&amp;IF(R651="","Purchase Rate, ","")&amp;IF(S651="","MRP, ",""))&lt;&gt;"","Missing: "&amp;LEFT(IF(B651="","PO Ref, ","")&amp;IF(C651="","Vendor, ","")&amp;IF(D651="","Store, ","")&amp;IF(F651="","Product Type, ","")&amp;IF(G651="","Category, ","")&amp;IF(H651="","HSN Code, ","")&amp;IF(Q651="","Qty, ","")&amp;IF(R651="","Purchase Rate, ","")&amp;IF(S651="","MRP, ",""),LEN(IF(B651="","PO Ref, ","")&amp;IF(C651="","Vendor, ","")&amp;IF(D651="","Store, ","")&amp;IF(F651="","Product Type, ","")&amp;IF(G651="","Category, ","")&amp;IF(H651="","HSN Code, ","")&amp;IF(Q651="","Qty, ","")&amp;IF(R651="","Purchase Rate, ","")&amp;IF(S651="","MRP, ",""))-2),IF(COUNTIF(Vendors!$B$3:$B$202,C651)=0,"Add vendor "&amp;C651&amp;" on the Vendors sheet",IF(ISNA(MATCH(H651,Codes!$A$2:$A$13,0)),"Pick the HSN Code from the list",IF(AND(E651&lt;&gt;"",COUNTIFS($C$3:$C$1002,C651,$E$3:$E$1002,E651,$F$3:$F$1002,"&lt;&gt;"&amp;F651)+COUNTIFS($C$3:$C$1002,C651,$E$3:$E$1002,E651,$G$3:$G$1002,"&lt;&gt;"&amp;G651)&gt;0),"Design "&amp;E651&amp;" has another Product Type or Category on another row",IF(COUNTIFS($F$3:$F$1002,F651,$G$3:$G$1002,G651,$H$3:$H$1002,"&lt;&gt;"&amp;H651)&gt;0,F651&amp;" + "&amp;G651&amp;" has another HSN Code on another row",IF(AND(V651&lt;&gt;"",U651=""),"Received Qty needs the Vendor Invoice No",IF(AND(U651&lt;&gt;"",COUNTIFS(Bills!$B$3:$B$302,U651,Bills!$C$3:$C$302,C651)=0),"Add bill "&amp;U651&amp;" of "&amp;C651&amp;" on the Bills sheet",IF(S651&lt;R651,"MRP is below the Purchase Rate","OK")))))))))</f>
        <v/>
      </c>
      <c r="B651" s="29"/>
      <c r="C651" s="22"/>
      <c r="D651" s="22"/>
      <c r="E651" s="24"/>
      <c r="F651" s="22"/>
      <c r="G651" s="22"/>
      <c r="H651" s="22"/>
      <c r="I651" s="30" t="str">
        <f>IF(H651="","",IFERROR(INDEX(Codes!$B$2:$B$13,MATCH(H651,Codes!$A$2:$A$13,0)),""))</f>
        <v/>
      </c>
      <c r="J651" s="23"/>
      <c r="K651" s="23"/>
      <c r="L651" s="23"/>
      <c r="M651" s="23"/>
      <c r="N651" s="23"/>
      <c r="O651" s="23"/>
      <c r="P651" s="23"/>
      <c r="Q651" s="31"/>
      <c r="R651" s="32"/>
      <c r="S651" s="32"/>
      <c r="T651" s="33" t="str">
        <f t="shared" si="20"/>
        <v/>
      </c>
      <c r="U651" s="34"/>
      <c r="V651" s="35"/>
      <c r="W651" s="33" t="str">
        <f t="shared" si="21"/>
        <v/>
      </c>
    </row>
    <row r="652" spans="1:23" x14ac:dyDescent="0.35">
      <c r="A652" s="21" t="str">
        <f>IF(COUNTA(B652:H652,J652:S652,U652:V652)=0,"",IF((IF(B652="","PO Ref, ","")&amp;IF(C652="","Vendor, ","")&amp;IF(D652="","Store, ","")&amp;IF(F652="","Product Type, ","")&amp;IF(G652="","Category, ","")&amp;IF(H652="","HSN Code, ","")&amp;IF(Q652="","Qty, ","")&amp;IF(R652="","Purchase Rate, ","")&amp;IF(S652="","MRP, ",""))&lt;&gt;"","Missing: "&amp;LEFT(IF(B652="","PO Ref, ","")&amp;IF(C652="","Vendor, ","")&amp;IF(D652="","Store, ","")&amp;IF(F652="","Product Type, ","")&amp;IF(G652="","Category, ","")&amp;IF(H652="","HSN Code, ","")&amp;IF(Q652="","Qty, ","")&amp;IF(R652="","Purchase Rate, ","")&amp;IF(S652="","MRP, ",""),LEN(IF(B652="","PO Ref, ","")&amp;IF(C652="","Vendor, ","")&amp;IF(D652="","Store, ","")&amp;IF(F652="","Product Type, ","")&amp;IF(G652="","Category, ","")&amp;IF(H652="","HSN Code, ","")&amp;IF(Q652="","Qty, ","")&amp;IF(R652="","Purchase Rate, ","")&amp;IF(S652="","MRP, ",""))-2),IF(COUNTIF(Vendors!$B$3:$B$202,C652)=0,"Add vendor "&amp;C652&amp;" on the Vendors sheet",IF(ISNA(MATCH(H652,Codes!$A$2:$A$13,0)),"Pick the HSN Code from the list",IF(AND(E652&lt;&gt;"",COUNTIFS($C$3:$C$1002,C652,$E$3:$E$1002,E652,$F$3:$F$1002,"&lt;&gt;"&amp;F652)+COUNTIFS($C$3:$C$1002,C652,$E$3:$E$1002,E652,$G$3:$G$1002,"&lt;&gt;"&amp;G652)&gt;0),"Design "&amp;E652&amp;" has another Product Type or Category on another row",IF(COUNTIFS($F$3:$F$1002,F652,$G$3:$G$1002,G652,$H$3:$H$1002,"&lt;&gt;"&amp;H652)&gt;0,F652&amp;" + "&amp;G652&amp;" has another HSN Code on another row",IF(AND(V652&lt;&gt;"",U652=""),"Received Qty needs the Vendor Invoice No",IF(AND(U652&lt;&gt;"",COUNTIFS(Bills!$B$3:$B$302,U652,Bills!$C$3:$C$302,C652)=0),"Add bill "&amp;U652&amp;" of "&amp;C652&amp;" on the Bills sheet",IF(S652&lt;R652,"MRP is below the Purchase Rate","OK")))))))))</f>
        <v/>
      </c>
      <c r="B652" s="29"/>
      <c r="C652" s="22"/>
      <c r="D652" s="22"/>
      <c r="E652" s="24"/>
      <c r="F652" s="22"/>
      <c r="G652" s="22"/>
      <c r="H652" s="22"/>
      <c r="I652" s="30" t="str">
        <f>IF(H652="","",IFERROR(INDEX(Codes!$B$2:$B$13,MATCH(H652,Codes!$A$2:$A$13,0)),""))</f>
        <v/>
      </c>
      <c r="J652" s="23"/>
      <c r="K652" s="23"/>
      <c r="L652" s="23"/>
      <c r="M652" s="23"/>
      <c r="N652" s="23"/>
      <c r="O652" s="23"/>
      <c r="P652" s="23"/>
      <c r="Q652" s="31"/>
      <c r="R652" s="32"/>
      <c r="S652" s="32"/>
      <c r="T652" s="33" t="str">
        <f t="shared" si="20"/>
        <v/>
      </c>
      <c r="U652" s="34"/>
      <c r="V652" s="35"/>
      <c r="W652" s="33" t="str">
        <f t="shared" si="21"/>
        <v/>
      </c>
    </row>
    <row r="653" spans="1:23" x14ac:dyDescent="0.35">
      <c r="A653" s="21" t="str">
        <f>IF(COUNTA(B653:H653,J653:S653,U653:V653)=0,"",IF((IF(B653="","PO Ref, ","")&amp;IF(C653="","Vendor, ","")&amp;IF(D653="","Store, ","")&amp;IF(F653="","Product Type, ","")&amp;IF(G653="","Category, ","")&amp;IF(H653="","HSN Code, ","")&amp;IF(Q653="","Qty, ","")&amp;IF(R653="","Purchase Rate, ","")&amp;IF(S653="","MRP, ",""))&lt;&gt;"","Missing: "&amp;LEFT(IF(B653="","PO Ref, ","")&amp;IF(C653="","Vendor, ","")&amp;IF(D653="","Store, ","")&amp;IF(F653="","Product Type, ","")&amp;IF(G653="","Category, ","")&amp;IF(H653="","HSN Code, ","")&amp;IF(Q653="","Qty, ","")&amp;IF(R653="","Purchase Rate, ","")&amp;IF(S653="","MRP, ",""),LEN(IF(B653="","PO Ref, ","")&amp;IF(C653="","Vendor, ","")&amp;IF(D653="","Store, ","")&amp;IF(F653="","Product Type, ","")&amp;IF(G653="","Category, ","")&amp;IF(H653="","HSN Code, ","")&amp;IF(Q653="","Qty, ","")&amp;IF(R653="","Purchase Rate, ","")&amp;IF(S653="","MRP, ",""))-2),IF(COUNTIF(Vendors!$B$3:$B$202,C653)=0,"Add vendor "&amp;C653&amp;" on the Vendors sheet",IF(ISNA(MATCH(H653,Codes!$A$2:$A$13,0)),"Pick the HSN Code from the list",IF(AND(E653&lt;&gt;"",COUNTIFS($C$3:$C$1002,C653,$E$3:$E$1002,E653,$F$3:$F$1002,"&lt;&gt;"&amp;F653)+COUNTIFS($C$3:$C$1002,C653,$E$3:$E$1002,E653,$G$3:$G$1002,"&lt;&gt;"&amp;G653)&gt;0),"Design "&amp;E653&amp;" has another Product Type or Category on another row",IF(COUNTIFS($F$3:$F$1002,F653,$G$3:$G$1002,G653,$H$3:$H$1002,"&lt;&gt;"&amp;H653)&gt;0,F653&amp;" + "&amp;G653&amp;" has another HSN Code on another row",IF(AND(V653&lt;&gt;"",U653=""),"Received Qty needs the Vendor Invoice No",IF(AND(U653&lt;&gt;"",COUNTIFS(Bills!$B$3:$B$302,U653,Bills!$C$3:$C$302,C653)=0),"Add bill "&amp;U653&amp;" of "&amp;C653&amp;" on the Bills sheet",IF(S653&lt;R653,"MRP is below the Purchase Rate","OK")))))))))</f>
        <v/>
      </c>
      <c r="B653" s="29"/>
      <c r="C653" s="22"/>
      <c r="D653" s="22"/>
      <c r="E653" s="24"/>
      <c r="F653" s="22"/>
      <c r="G653" s="22"/>
      <c r="H653" s="22"/>
      <c r="I653" s="30" t="str">
        <f>IF(H653="","",IFERROR(INDEX(Codes!$B$2:$B$13,MATCH(H653,Codes!$A$2:$A$13,0)),""))</f>
        <v/>
      </c>
      <c r="J653" s="23"/>
      <c r="K653" s="23"/>
      <c r="L653" s="23"/>
      <c r="M653" s="23"/>
      <c r="N653" s="23"/>
      <c r="O653" s="23"/>
      <c r="P653" s="23"/>
      <c r="Q653" s="31"/>
      <c r="R653" s="32"/>
      <c r="S653" s="32"/>
      <c r="T653" s="33" t="str">
        <f t="shared" si="20"/>
        <v/>
      </c>
      <c r="U653" s="34"/>
      <c r="V653" s="35"/>
      <c r="W653" s="33" t="str">
        <f t="shared" si="21"/>
        <v/>
      </c>
    </row>
    <row r="654" spans="1:23" x14ac:dyDescent="0.35">
      <c r="A654" s="21" t="str">
        <f>IF(COUNTA(B654:H654,J654:S654,U654:V654)=0,"",IF((IF(B654="","PO Ref, ","")&amp;IF(C654="","Vendor, ","")&amp;IF(D654="","Store, ","")&amp;IF(F654="","Product Type, ","")&amp;IF(G654="","Category, ","")&amp;IF(H654="","HSN Code, ","")&amp;IF(Q654="","Qty, ","")&amp;IF(R654="","Purchase Rate, ","")&amp;IF(S654="","MRP, ",""))&lt;&gt;"","Missing: "&amp;LEFT(IF(B654="","PO Ref, ","")&amp;IF(C654="","Vendor, ","")&amp;IF(D654="","Store, ","")&amp;IF(F654="","Product Type, ","")&amp;IF(G654="","Category, ","")&amp;IF(H654="","HSN Code, ","")&amp;IF(Q654="","Qty, ","")&amp;IF(R654="","Purchase Rate, ","")&amp;IF(S654="","MRP, ",""),LEN(IF(B654="","PO Ref, ","")&amp;IF(C654="","Vendor, ","")&amp;IF(D654="","Store, ","")&amp;IF(F654="","Product Type, ","")&amp;IF(G654="","Category, ","")&amp;IF(H654="","HSN Code, ","")&amp;IF(Q654="","Qty, ","")&amp;IF(R654="","Purchase Rate, ","")&amp;IF(S654="","MRP, ",""))-2),IF(COUNTIF(Vendors!$B$3:$B$202,C654)=0,"Add vendor "&amp;C654&amp;" on the Vendors sheet",IF(ISNA(MATCH(H654,Codes!$A$2:$A$13,0)),"Pick the HSN Code from the list",IF(AND(E654&lt;&gt;"",COUNTIFS($C$3:$C$1002,C654,$E$3:$E$1002,E654,$F$3:$F$1002,"&lt;&gt;"&amp;F654)+COUNTIFS($C$3:$C$1002,C654,$E$3:$E$1002,E654,$G$3:$G$1002,"&lt;&gt;"&amp;G654)&gt;0),"Design "&amp;E654&amp;" has another Product Type or Category on another row",IF(COUNTIFS($F$3:$F$1002,F654,$G$3:$G$1002,G654,$H$3:$H$1002,"&lt;&gt;"&amp;H654)&gt;0,F654&amp;" + "&amp;G654&amp;" has another HSN Code on another row",IF(AND(V654&lt;&gt;"",U654=""),"Received Qty needs the Vendor Invoice No",IF(AND(U654&lt;&gt;"",COUNTIFS(Bills!$B$3:$B$302,U654,Bills!$C$3:$C$302,C654)=0),"Add bill "&amp;U654&amp;" of "&amp;C654&amp;" on the Bills sheet",IF(S654&lt;R654,"MRP is below the Purchase Rate","OK")))))))))</f>
        <v/>
      </c>
      <c r="B654" s="29"/>
      <c r="C654" s="22"/>
      <c r="D654" s="22"/>
      <c r="E654" s="24"/>
      <c r="F654" s="22"/>
      <c r="G654" s="22"/>
      <c r="H654" s="22"/>
      <c r="I654" s="30" t="str">
        <f>IF(H654="","",IFERROR(INDEX(Codes!$B$2:$B$13,MATCH(H654,Codes!$A$2:$A$13,0)),""))</f>
        <v/>
      </c>
      <c r="J654" s="23"/>
      <c r="K654" s="23"/>
      <c r="L654" s="23"/>
      <c r="M654" s="23"/>
      <c r="N654" s="23"/>
      <c r="O654" s="23"/>
      <c r="P654" s="23"/>
      <c r="Q654" s="31"/>
      <c r="R654" s="32"/>
      <c r="S654" s="32"/>
      <c r="T654" s="33" t="str">
        <f t="shared" si="20"/>
        <v/>
      </c>
      <c r="U654" s="34"/>
      <c r="V654" s="35"/>
      <c r="W654" s="33" t="str">
        <f t="shared" si="21"/>
        <v/>
      </c>
    </row>
    <row r="655" spans="1:23" x14ac:dyDescent="0.35">
      <c r="A655" s="21" t="str">
        <f>IF(COUNTA(B655:H655,J655:S655,U655:V655)=0,"",IF((IF(B655="","PO Ref, ","")&amp;IF(C655="","Vendor, ","")&amp;IF(D655="","Store, ","")&amp;IF(F655="","Product Type, ","")&amp;IF(G655="","Category, ","")&amp;IF(H655="","HSN Code, ","")&amp;IF(Q655="","Qty, ","")&amp;IF(R655="","Purchase Rate, ","")&amp;IF(S655="","MRP, ",""))&lt;&gt;"","Missing: "&amp;LEFT(IF(B655="","PO Ref, ","")&amp;IF(C655="","Vendor, ","")&amp;IF(D655="","Store, ","")&amp;IF(F655="","Product Type, ","")&amp;IF(G655="","Category, ","")&amp;IF(H655="","HSN Code, ","")&amp;IF(Q655="","Qty, ","")&amp;IF(R655="","Purchase Rate, ","")&amp;IF(S655="","MRP, ",""),LEN(IF(B655="","PO Ref, ","")&amp;IF(C655="","Vendor, ","")&amp;IF(D655="","Store, ","")&amp;IF(F655="","Product Type, ","")&amp;IF(G655="","Category, ","")&amp;IF(H655="","HSN Code, ","")&amp;IF(Q655="","Qty, ","")&amp;IF(R655="","Purchase Rate, ","")&amp;IF(S655="","MRP, ",""))-2),IF(COUNTIF(Vendors!$B$3:$B$202,C655)=0,"Add vendor "&amp;C655&amp;" on the Vendors sheet",IF(ISNA(MATCH(H655,Codes!$A$2:$A$13,0)),"Pick the HSN Code from the list",IF(AND(E655&lt;&gt;"",COUNTIFS($C$3:$C$1002,C655,$E$3:$E$1002,E655,$F$3:$F$1002,"&lt;&gt;"&amp;F655)+COUNTIFS($C$3:$C$1002,C655,$E$3:$E$1002,E655,$G$3:$G$1002,"&lt;&gt;"&amp;G655)&gt;0),"Design "&amp;E655&amp;" has another Product Type or Category on another row",IF(COUNTIFS($F$3:$F$1002,F655,$G$3:$G$1002,G655,$H$3:$H$1002,"&lt;&gt;"&amp;H655)&gt;0,F655&amp;" + "&amp;G655&amp;" has another HSN Code on another row",IF(AND(V655&lt;&gt;"",U655=""),"Received Qty needs the Vendor Invoice No",IF(AND(U655&lt;&gt;"",COUNTIFS(Bills!$B$3:$B$302,U655,Bills!$C$3:$C$302,C655)=0),"Add bill "&amp;U655&amp;" of "&amp;C655&amp;" on the Bills sheet",IF(S655&lt;R655,"MRP is below the Purchase Rate","OK")))))))))</f>
        <v/>
      </c>
      <c r="B655" s="29"/>
      <c r="C655" s="22"/>
      <c r="D655" s="22"/>
      <c r="E655" s="24"/>
      <c r="F655" s="22"/>
      <c r="G655" s="22"/>
      <c r="H655" s="22"/>
      <c r="I655" s="30" t="str">
        <f>IF(H655="","",IFERROR(INDEX(Codes!$B$2:$B$13,MATCH(H655,Codes!$A$2:$A$13,0)),""))</f>
        <v/>
      </c>
      <c r="J655" s="23"/>
      <c r="K655" s="23"/>
      <c r="L655" s="23"/>
      <c r="M655" s="23"/>
      <c r="N655" s="23"/>
      <c r="O655" s="23"/>
      <c r="P655" s="23"/>
      <c r="Q655" s="31"/>
      <c r="R655" s="32"/>
      <c r="S655" s="32"/>
      <c r="T655" s="33" t="str">
        <f t="shared" si="20"/>
        <v/>
      </c>
      <c r="U655" s="34"/>
      <c r="V655" s="35"/>
      <c r="W655" s="33" t="str">
        <f t="shared" si="21"/>
        <v/>
      </c>
    </row>
    <row r="656" spans="1:23" x14ac:dyDescent="0.35">
      <c r="A656" s="21" t="str">
        <f>IF(COUNTA(B656:H656,J656:S656,U656:V656)=0,"",IF((IF(B656="","PO Ref, ","")&amp;IF(C656="","Vendor, ","")&amp;IF(D656="","Store, ","")&amp;IF(F656="","Product Type, ","")&amp;IF(G656="","Category, ","")&amp;IF(H656="","HSN Code, ","")&amp;IF(Q656="","Qty, ","")&amp;IF(R656="","Purchase Rate, ","")&amp;IF(S656="","MRP, ",""))&lt;&gt;"","Missing: "&amp;LEFT(IF(B656="","PO Ref, ","")&amp;IF(C656="","Vendor, ","")&amp;IF(D656="","Store, ","")&amp;IF(F656="","Product Type, ","")&amp;IF(G656="","Category, ","")&amp;IF(H656="","HSN Code, ","")&amp;IF(Q656="","Qty, ","")&amp;IF(R656="","Purchase Rate, ","")&amp;IF(S656="","MRP, ",""),LEN(IF(B656="","PO Ref, ","")&amp;IF(C656="","Vendor, ","")&amp;IF(D656="","Store, ","")&amp;IF(F656="","Product Type, ","")&amp;IF(G656="","Category, ","")&amp;IF(H656="","HSN Code, ","")&amp;IF(Q656="","Qty, ","")&amp;IF(R656="","Purchase Rate, ","")&amp;IF(S656="","MRP, ",""))-2),IF(COUNTIF(Vendors!$B$3:$B$202,C656)=0,"Add vendor "&amp;C656&amp;" on the Vendors sheet",IF(ISNA(MATCH(H656,Codes!$A$2:$A$13,0)),"Pick the HSN Code from the list",IF(AND(E656&lt;&gt;"",COUNTIFS($C$3:$C$1002,C656,$E$3:$E$1002,E656,$F$3:$F$1002,"&lt;&gt;"&amp;F656)+COUNTIFS($C$3:$C$1002,C656,$E$3:$E$1002,E656,$G$3:$G$1002,"&lt;&gt;"&amp;G656)&gt;0),"Design "&amp;E656&amp;" has another Product Type or Category on another row",IF(COUNTIFS($F$3:$F$1002,F656,$G$3:$G$1002,G656,$H$3:$H$1002,"&lt;&gt;"&amp;H656)&gt;0,F656&amp;" + "&amp;G656&amp;" has another HSN Code on another row",IF(AND(V656&lt;&gt;"",U656=""),"Received Qty needs the Vendor Invoice No",IF(AND(U656&lt;&gt;"",COUNTIFS(Bills!$B$3:$B$302,U656,Bills!$C$3:$C$302,C656)=0),"Add bill "&amp;U656&amp;" of "&amp;C656&amp;" on the Bills sheet",IF(S656&lt;R656,"MRP is below the Purchase Rate","OK")))))))))</f>
        <v/>
      </c>
      <c r="B656" s="29"/>
      <c r="C656" s="22"/>
      <c r="D656" s="22"/>
      <c r="E656" s="24"/>
      <c r="F656" s="22"/>
      <c r="G656" s="22"/>
      <c r="H656" s="22"/>
      <c r="I656" s="30" t="str">
        <f>IF(H656="","",IFERROR(INDEX(Codes!$B$2:$B$13,MATCH(H656,Codes!$A$2:$A$13,0)),""))</f>
        <v/>
      </c>
      <c r="J656" s="23"/>
      <c r="K656" s="23"/>
      <c r="L656" s="23"/>
      <c r="M656" s="23"/>
      <c r="N656" s="23"/>
      <c r="O656" s="23"/>
      <c r="P656" s="23"/>
      <c r="Q656" s="31"/>
      <c r="R656" s="32"/>
      <c r="S656" s="32"/>
      <c r="T656" s="33" t="str">
        <f t="shared" si="20"/>
        <v/>
      </c>
      <c r="U656" s="34"/>
      <c r="V656" s="35"/>
      <c r="W656" s="33" t="str">
        <f t="shared" si="21"/>
        <v/>
      </c>
    </row>
    <row r="657" spans="1:23" x14ac:dyDescent="0.35">
      <c r="A657" s="21" t="str">
        <f>IF(COUNTA(B657:H657,J657:S657,U657:V657)=0,"",IF((IF(B657="","PO Ref, ","")&amp;IF(C657="","Vendor, ","")&amp;IF(D657="","Store, ","")&amp;IF(F657="","Product Type, ","")&amp;IF(G657="","Category, ","")&amp;IF(H657="","HSN Code, ","")&amp;IF(Q657="","Qty, ","")&amp;IF(R657="","Purchase Rate, ","")&amp;IF(S657="","MRP, ",""))&lt;&gt;"","Missing: "&amp;LEFT(IF(B657="","PO Ref, ","")&amp;IF(C657="","Vendor, ","")&amp;IF(D657="","Store, ","")&amp;IF(F657="","Product Type, ","")&amp;IF(G657="","Category, ","")&amp;IF(H657="","HSN Code, ","")&amp;IF(Q657="","Qty, ","")&amp;IF(R657="","Purchase Rate, ","")&amp;IF(S657="","MRP, ",""),LEN(IF(B657="","PO Ref, ","")&amp;IF(C657="","Vendor, ","")&amp;IF(D657="","Store, ","")&amp;IF(F657="","Product Type, ","")&amp;IF(G657="","Category, ","")&amp;IF(H657="","HSN Code, ","")&amp;IF(Q657="","Qty, ","")&amp;IF(R657="","Purchase Rate, ","")&amp;IF(S657="","MRP, ",""))-2),IF(COUNTIF(Vendors!$B$3:$B$202,C657)=0,"Add vendor "&amp;C657&amp;" on the Vendors sheet",IF(ISNA(MATCH(H657,Codes!$A$2:$A$13,0)),"Pick the HSN Code from the list",IF(AND(E657&lt;&gt;"",COUNTIFS($C$3:$C$1002,C657,$E$3:$E$1002,E657,$F$3:$F$1002,"&lt;&gt;"&amp;F657)+COUNTIFS($C$3:$C$1002,C657,$E$3:$E$1002,E657,$G$3:$G$1002,"&lt;&gt;"&amp;G657)&gt;0),"Design "&amp;E657&amp;" has another Product Type or Category on another row",IF(COUNTIFS($F$3:$F$1002,F657,$G$3:$G$1002,G657,$H$3:$H$1002,"&lt;&gt;"&amp;H657)&gt;0,F657&amp;" + "&amp;G657&amp;" has another HSN Code on another row",IF(AND(V657&lt;&gt;"",U657=""),"Received Qty needs the Vendor Invoice No",IF(AND(U657&lt;&gt;"",COUNTIFS(Bills!$B$3:$B$302,U657,Bills!$C$3:$C$302,C657)=0),"Add bill "&amp;U657&amp;" of "&amp;C657&amp;" on the Bills sheet",IF(S657&lt;R657,"MRP is below the Purchase Rate","OK")))))))))</f>
        <v/>
      </c>
      <c r="B657" s="29"/>
      <c r="C657" s="22"/>
      <c r="D657" s="22"/>
      <c r="E657" s="24"/>
      <c r="F657" s="22"/>
      <c r="G657" s="22"/>
      <c r="H657" s="22"/>
      <c r="I657" s="30" t="str">
        <f>IF(H657="","",IFERROR(INDEX(Codes!$B$2:$B$13,MATCH(H657,Codes!$A$2:$A$13,0)),""))</f>
        <v/>
      </c>
      <c r="J657" s="23"/>
      <c r="K657" s="23"/>
      <c r="L657" s="23"/>
      <c r="M657" s="23"/>
      <c r="N657" s="23"/>
      <c r="O657" s="23"/>
      <c r="P657" s="23"/>
      <c r="Q657" s="31"/>
      <c r="R657" s="32"/>
      <c r="S657" s="32"/>
      <c r="T657" s="33" t="str">
        <f t="shared" si="20"/>
        <v/>
      </c>
      <c r="U657" s="34"/>
      <c r="V657" s="35"/>
      <c r="W657" s="33" t="str">
        <f t="shared" si="21"/>
        <v/>
      </c>
    </row>
    <row r="658" spans="1:23" x14ac:dyDescent="0.35">
      <c r="A658" s="21" t="str">
        <f>IF(COUNTA(B658:H658,J658:S658,U658:V658)=0,"",IF((IF(B658="","PO Ref, ","")&amp;IF(C658="","Vendor, ","")&amp;IF(D658="","Store, ","")&amp;IF(F658="","Product Type, ","")&amp;IF(G658="","Category, ","")&amp;IF(H658="","HSN Code, ","")&amp;IF(Q658="","Qty, ","")&amp;IF(R658="","Purchase Rate, ","")&amp;IF(S658="","MRP, ",""))&lt;&gt;"","Missing: "&amp;LEFT(IF(B658="","PO Ref, ","")&amp;IF(C658="","Vendor, ","")&amp;IF(D658="","Store, ","")&amp;IF(F658="","Product Type, ","")&amp;IF(G658="","Category, ","")&amp;IF(H658="","HSN Code, ","")&amp;IF(Q658="","Qty, ","")&amp;IF(R658="","Purchase Rate, ","")&amp;IF(S658="","MRP, ",""),LEN(IF(B658="","PO Ref, ","")&amp;IF(C658="","Vendor, ","")&amp;IF(D658="","Store, ","")&amp;IF(F658="","Product Type, ","")&amp;IF(G658="","Category, ","")&amp;IF(H658="","HSN Code, ","")&amp;IF(Q658="","Qty, ","")&amp;IF(R658="","Purchase Rate, ","")&amp;IF(S658="","MRP, ",""))-2),IF(COUNTIF(Vendors!$B$3:$B$202,C658)=0,"Add vendor "&amp;C658&amp;" on the Vendors sheet",IF(ISNA(MATCH(H658,Codes!$A$2:$A$13,0)),"Pick the HSN Code from the list",IF(AND(E658&lt;&gt;"",COUNTIFS($C$3:$C$1002,C658,$E$3:$E$1002,E658,$F$3:$F$1002,"&lt;&gt;"&amp;F658)+COUNTIFS($C$3:$C$1002,C658,$E$3:$E$1002,E658,$G$3:$G$1002,"&lt;&gt;"&amp;G658)&gt;0),"Design "&amp;E658&amp;" has another Product Type or Category on another row",IF(COUNTIFS($F$3:$F$1002,F658,$G$3:$G$1002,G658,$H$3:$H$1002,"&lt;&gt;"&amp;H658)&gt;0,F658&amp;" + "&amp;G658&amp;" has another HSN Code on another row",IF(AND(V658&lt;&gt;"",U658=""),"Received Qty needs the Vendor Invoice No",IF(AND(U658&lt;&gt;"",COUNTIFS(Bills!$B$3:$B$302,U658,Bills!$C$3:$C$302,C658)=0),"Add bill "&amp;U658&amp;" of "&amp;C658&amp;" on the Bills sheet",IF(S658&lt;R658,"MRP is below the Purchase Rate","OK")))))))))</f>
        <v/>
      </c>
      <c r="B658" s="29"/>
      <c r="C658" s="22"/>
      <c r="D658" s="22"/>
      <c r="E658" s="24"/>
      <c r="F658" s="22"/>
      <c r="G658" s="22"/>
      <c r="H658" s="22"/>
      <c r="I658" s="30" t="str">
        <f>IF(H658="","",IFERROR(INDEX(Codes!$B$2:$B$13,MATCH(H658,Codes!$A$2:$A$13,0)),""))</f>
        <v/>
      </c>
      <c r="J658" s="23"/>
      <c r="K658" s="23"/>
      <c r="L658" s="23"/>
      <c r="M658" s="23"/>
      <c r="N658" s="23"/>
      <c r="O658" s="23"/>
      <c r="P658" s="23"/>
      <c r="Q658" s="31"/>
      <c r="R658" s="32"/>
      <c r="S658" s="32"/>
      <c r="T658" s="33" t="str">
        <f t="shared" si="20"/>
        <v/>
      </c>
      <c r="U658" s="34"/>
      <c r="V658" s="35"/>
      <c r="W658" s="33" t="str">
        <f t="shared" si="21"/>
        <v/>
      </c>
    </row>
    <row r="659" spans="1:23" x14ac:dyDescent="0.35">
      <c r="A659" s="21" t="str">
        <f>IF(COUNTA(B659:H659,J659:S659,U659:V659)=0,"",IF((IF(B659="","PO Ref, ","")&amp;IF(C659="","Vendor, ","")&amp;IF(D659="","Store, ","")&amp;IF(F659="","Product Type, ","")&amp;IF(G659="","Category, ","")&amp;IF(H659="","HSN Code, ","")&amp;IF(Q659="","Qty, ","")&amp;IF(R659="","Purchase Rate, ","")&amp;IF(S659="","MRP, ",""))&lt;&gt;"","Missing: "&amp;LEFT(IF(B659="","PO Ref, ","")&amp;IF(C659="","Vendor, ","")&amp;IF(D659="","Store, ","")&amp;IF(F659="","Product Type, ","")&amp;IF(G659="","Category, ","")&amp;IF(H659="","HSN Code, ","")&amp;IF(Q659="","Qty, ","")&amp;IF(R659="","Purchase Rate, ","")&amp;IF(S659="","MRP, ",""),LEN(IF(B659="","PO Ref, ","")&amp;IF(C659="","Vendor, ","")&amp;IF(D659="","Store, ","")&amp;IF(F659="","Product Type, ","")&amp;IF(G659="","Category, ","")&amp;IF(H659="","HSN Code, ","")&amp;IF(Q659="","Qty, ","")&amp;IF(R659="","Purchase Rate, ","")&amp;IF(S659="","MRP, ",""))-2),IF(COUNTIF(Vendors!$B$3:$B$202,C659)=0,"Add vendor "&amp;C659&amp;" on the Vendors sheet",IF(ISNA(MATCH(H659,Codes!$A$2:$A$13,0)),"Pick the HSN Code from the list",IF(AND(E659&lt;&gt;"",COUNTIFS($C$3:$C$1002,C659,$E$3:$E$1002,E659,$F$3:$F$1002,"&lt;&gt;"&amp;F659)+COUNTIFS($C$3:$C$1002,C659,$E$3:$E$1002,E659,$G$3:$G$1002,"&lt;&gt;"&amp;G659)&gt;0),"Design "&amp;E659&amp;" has another Product Type or Category on another row",IF(COUNTIFS($F$3:$F$1002,F659,$G$3:$G$1002,G659,$H$3:$H$1002,"&lt;&gt;"&amp;H659)&gt;0,F659&amp;" + "&amp;G659&amp;" has another HSN Code on another row",IF(AND(V659&lt;&gt;"",U659=""),"Received Qty needs the Vendor Invoice No",IF(AND(U659&lt;&gt;"",COUNTIFS(Bills!$B$3:$B$302,U659,Bills!$C$3:$C$302,C659)=0),"Add bill "&amp;U659&amp;" of "&amp;C659&amp;" on the Bills sheet",IF(S659&lt;R659,"MRP is below the Purchase Rate","OK")))))))))</f>
        <v/>
      </c>
      <c r="B659" s="29"/>
      <c r="C659" s="22"/>
      <c r="D659" s="22"/>
      <c r="E659" s="24"/>
      <c r="F659" s="22"/>
      <c r="G659" s="22"/>
      <c r="H659" s="22"/>
      <c r="I659" s="30" t="str">
        <f>IF(H659="","",IFERROR(INDEX(Codes!$B$2:$B$13,MATCH(H659,Codes!$A$2:$A$13,0)),""))</f>
        <v/>
      </c>
      <c r="J659" s="23"/>
      <c r="K659" s="23"/>
      <c r="L659" s="23"/>
      <c r="M659" s="23"/>
      <c r="N659" s="23"/>
      <c r="O659" s="23"/>
      <c r="P659" s="23"/>
      <c r="Q659" s="31"/>
      <c r="R659" s="32"/>
      <c r="S659" s="32"/>
      <c r="T659" s="33" t="str">
        <f t="shared" si="20"/>
        <v/>
      </c>
      <c r="U659" s="34"/>
      <c r="V659" s="35"/>
      <c r="W659" s="33" t="str">
        <f t="shared" si="21"/>
        <v/>
      </c>
    </row>
    <row r="660" spans="1:23" x14ac:dyDescent="0.35">
      <c r="A660" s="21" t="str">
        <f>IF(COUNTA(B660:H660,J660:S660,U660:V660)=0,"",IF((IF(B660="","PO Ref, ","")&amp;IF(C660="","Vendor, ","")&amp;IF(D660="","Store, ","")&amp;IF(F660="","Product Type, ","")&amp;IF(G660="","Category, ","")&amp;IF(H660="","HSN Code, ","")&amp;IF(Q660="","Qty, ","")&amp;IF(R660="","Purchase Rate, ","")&amp;IF(S660="","MRP, ",""))&lt;&gt;"","Missing: "&amp;LEFT(IF(B660="","PO Ref, ","")&amp;IF(C660="","Vendor, ","")&amp;IF(D660="","Store, ","")&amp;IF(F660="","Product Type, ","")&amp;IF(G660="","Category, ","")&amp;IF(H660="","HSN Code, ","")&amp;IF(Q660="","Qty, ","")&amp;IF(R660="","Purchase Rate, ","")&amp;IF(S660="","MRP, ",""),LEN(IF(B660="","PO Ref, ","")&amp;IF(C660="","Vendor, ","")&amp;IF(D660="","Store, ","")&amp;IF(F660="","Product Type, ","")&amp;IF(G660="","Category, ","")&amp;IF(H660="","HSN Code, ","")&amp;IF(Q660="","Qty, ","")&amp;IF(R660="","Purchase Rate, ","")&amp;IF(S660="","MRP, ",""))-2),IF(COUNTIF(Vendors!$B$3:$B$202,C660)=0,"Add vendor "&amp;C660&amp;" on the Vendors sheet",IF(ISNA(MATCH(H660,Codes!$A$2:$A$13,0)),"Pick the HSN Code from the list",IF(AND(E660&lt;&gt;"",COUNTIFS($C$3:$C$1002,C660,$E$3:$E$1002,E660,$F$3:$F$1002,"&lt;&gt;"&amp;F660)+COUNTIFS($C$3:$C$1002,C660,$E$3:$E$1002,E660,$G$3:$G$1002,"&lt;&gt;"&amp;G660)&gt;0),"Design "&amp;E660&amp;" has another Product Type or Category on another row",IF(COUNTIFS($F$3:$F$1002,F660,$G$3:$G$1002,G660,$H$3:$H$1002,"&lt;&gt;"&amp;H660)&gt;0,F660&amp;" + "&amp;G660&amp;" has another HSN Code on another row",IF(AND(V660&lt;&gt;"",U660=""),"Received Qty needs the Vendor Invoice No",IF(AND(U660&lt;&gt;"",COUNTIFS(Bills!$B$3:$B$302,U660,Bills!$C$3:$C$302,C660)=0),"Add bill "&amp;U660&amp;" of "&amp;C660&amp;" on the Bills sheet",IF(S660&lt;R660,"MRP is below the Purchase Rate","OK")))))))))</f>
        <v/>
      </c>
      <c r="B660" s="29"/>
      <c r="C660" s="22"/>
      <c r="D660" s="22"/>
      <c r="E660" s="24"/>
      <c r="F660" s="22"/>
      <c r="G660" s="22"/>
      <c r="H660" s="22"/>
      <c r="I660" s="30" t="str">
        <f>IF(H660="","",IFERROR(INDEX(Codes!$B$2:$B$13,MATCH(H660,Codes!$A$2:$A$13,0)),""))</f>
        <v/>
      </c>
      <c r="J660" s="23"/>
      <c r="K660" s="23"/>
      <c r="L660" s="23"/>
      <c r="M660" s="23"/>
      <c r="N660" s="23"/>
      <c r="O660" s="23"/>
      <c r="P660" s="23"/>
      <c r="Q660" s="31"/>
      <c r="R660" s="32"/>
      <c r="S660" s="32"/>
      <c r="T660" s="33" t="str">
        <f t="shared" si="20"/>
        <v/>
      </c>
      <c r="U660" s="34"/>
      <c r="V660" s="35"/>
      <c r="W660" s="33" t="str">
        <f t="shared" si="21"/>
        <v/>
      </c>
    </row>
    <row r="661" spans="1:23" x14ac:dyDescent="0.35">
      <c r="A661" s="21" t="str">
        <f>IF(COUNTA(B661:H661,J661:S661,U661:V661)=0,"",IF((IF(B661="","PO Ref, ","")&amp;IF(C661="","Vendor, ","")&amp;IF(D661="","Store, ","")&amp;IF(F661="","Product Type, ","")&amp;IF(G661="","Category, ","")&amp;IF(H661="","HSN Code, ","")&amp;IF(Q661="","Qty, ","")&amp;IF(R661="","Purchase Rate, ","")&amp;IF(S661="","MRP, ",""))&lt;&gt;"","Missing: "&amp;LEFT(IF(B661="","PO Ref, ","")&amp;IF(C661="","Vendor, ","")&amp;IF(D661="","Store, ","")&amp;IF(F661="","Product Type, ","")&amp;IF(G661="","Category, ","")&amp;IF(H661="","HSN Code, ","")&amp;IF(Q661="","Qty, ","")&amp;IF(R661="","Purchase Rate, ","")&amp;IF(S661="","MRP, ",""),LEN(IF(B661="","PO Ref, ","")&amp;IF(C661="","Vendor, ","")&amp;IF(D661="","Store, ","")&amp;IF(F661="","Product Type, ","")&amp;IF(G661="","Category, ","")&amp;IF(H661="","HSN Code, ","")&amp;IF(Q661="","Qty, ","")&amp;IF(R661="","Purchase Rate, ","")&amp;IF(S661="","MRP, ",""))-2),IF(COUNTIF(Vendors!$B$3:$B$202,C661)=0,"Add vendor "&amp;C661&amp;" on the Vendors sheet",IF(ISNA(MATCH(H661,Codes!$A$2:$A$13,0)),"Pick the HSN Code from the list",IF(AND(E661&lt;&gt;"",COUNTIFS($C$3:$C$1002,C661,$E$3:$E$1002,E661,$F$3:$F$1002,"&lt;&gt;"&amp;F661)+COUNTIFS($C$3:$C$1002,C661,$E$3:$E$1002,E661,$G$3:$G$1002,"&lt;&gt;"&amp;G661)&gt;0),"Design "&amp;E661&amp;" has another Product Type or Category on another row",IF(COUNTIFS($F$3:$F$1002,F661,$G$3:$G$1002,G661,$H$3:$H$1002,"&lt;&gt;"&amp;H661)&gt;0,F661&amp;" + "&amp;G661&amp;" has another HSN Code on another row",IF(AND(V661&lt;&gt;"",U661=""),"Received Qty needs the Vendor Invoice No",IF(AND(U661&lt;&gt;"",COUNTIFS(Bills!$B$3:$B$302,U661,Bills!$C$3:$C$302,C661)=0),"Add bill "&amp;U661&amp;" of "&amp;C661&amp;" on the Bills sheet",IF(S661&lt;R661,"MRP is below the Purchase Rate","OK")))))))))</f>
        <v/>
      </c>
      <c r="B661" s="29"/>
      <c r="C661" s="22"/>
      <c r="D661" s="22"/>
      <c r="E661" s="24"/>
      <c r="F661" s="22"/>
      <c r="G661" s="22"/>
      <c r="H661" s="22"/>
      <c r="I661" s="30" t="str">
        <f>IF(H661="","",IFERROR(INDEX(Codes!$B$2:$B$13,MATCH(H661,Codes!$A$2:$A$13,0)),""))</f>
        <v/>
      </c>
      <c r="J661" s="23"/>
      <c r="K661" s="23"/>
      <c r="L661" s="23"/>
      <c r="M661" s="23"/>
      <c r="N661" s="23"/>
      <c r="O661" s="23"/>
      <c r="P661" s="23"/>
      <c r="Q661" s="31"/>
      <c r="R661" s="32"/>
      <c r="S661" s="32"/>
      <c r="T661" s="33" t="str">
        <f t="shared" si="20"/>
        <v/>
      </c>
      <c r="U661" s="34"/>
      <c r="V661" s="35"/>
      <c r="W661" s="33" t="str">
        <f t="shared" si="21"/>
        <v/>
      </c>
    </row>
    <row r="662" spans="1:23" x14ac:dyDescent="0.35">
      <c r="A662" s="21" t="str">
        <f>IF(COUNTA(B662:H662,J662:S662,U662:V662)=0,"",IF((IF(B662="","PO Ref, ","")&amp;IF(C662="","Vendor, ","")&amp;IF(D662="","Store, ","")&amp;IF(F662="","Product Type, ","")&amp;IF(G662="","Category, ","")&amp;IF(H662="","HSN Code, ","")&amp;IF(Q662="","Qty, ","")&amp;IF(R662="","Purchase Rate, ","")&amp;IF(S662="","MRP, ",""))&lt;&gt;"","Missing: "&amp;LEFT(IF(B662="","PO Ref, ","")&amp;IF(C662="","Vendor, ","")&amp;IF(D662="","Store, ","")&amp;IF(F662="","Product Type, ","")&amp;IF(G662="","Category, ","")&amp;IF(H662="","HSN Code, ","")&amp;IF(Q662="","Qty, ","")&amp;IF(R662="","Purchase Rate, ","")&amp;IF(S662="","MRP, ",""),LEN(IF(B662="","PO Ref, ","")&amp;IF(C662="","Vendor, ","")&amp;IF(D662="","Store, ","")&amp;IF(F662="","Product Type, ","")&amp;IF(G662="","Category, ","")&amp;IF(H662="","HSN Code, ","")&amp;IF(Q662="","Qty, ","")&amp;IF(R662="","Purchase Rate, ","")&amp;IF(S662="","MRP, ",""))-2),IF(COUNTIF(Vendors!$B$3:$B$202,C662)=0,"Add vendor "&amp;C662&amp;" on the Vendors sheet",IF(ISNA(MATCH(H662,Codes!$A$2:$A$13,0)),"Pick the HSN Code from the list",IF(AND(E662&lt;&gt;"",COUNTIFS($C$3:$C$1002,C662,$E$3:$E$1002,E662,$F$3:$F$1002,"&lt;&gt;"&amp;F662)+COUNTIFS($C$3:$C$1002,C662,$E$3:$E$1002,E662,$G$3:$G$1002,"&lt;&gt;"&amp;G662)&gt;0),"Design "&amp;E662&amp;" has another Product Type or Category on another row",IF(COUNTIFS($F$3:$F$1002,F662,$G$3:$G$1002,G662,$H$3:$H$1002,"&lt;&gt;"&amp;H662)&gt;0,F662&amp;" + "&amp;G662&amp;" has another HSN Code on another row",IF(AND(V662&lt;&gt;"",U662=""),"Received Qty needs the Vendor Invoice No",IF(AND(U662&lt;&gt;"",COUNTIFS(Bills!$B$3:$B$302,U662,Bills!$C$3:$C$302,C662)=0),"Add bill "&amp;U662&amp;" of "&amp;C662&amp;" on the Bills sheet",IF(S662&lt;R662,"MRP is below the Purchase Rate","OK")))))))))</f>
        <v/>
      </c>
      <c r="B662" s="29"/>
      <c r="C662" s="22"/>
      <c r="D662" s="22"/>
      <c r="E662" s="24"/>
      <c r="F662" s="22"/>
      <c r="G662" s="22"/>
      <c r="H662" s="22"/>
      <c r="I662" s="30" t="str">
        <f>IF(H662="","",IFERROR(INDEX(Codes!$B$2:$B$13,MATCH(H662,Codes!$A$2:$A$13,0)),""))</f>
        <v/>
      </c>
      <c r="J662" s="23"/>
      <c r="K662" s="23"/>
      <c r="L662" s="23"/>
      <c r="M662" s="23"/>
      <c r="N662" s="23"/>
      <c r="O662" s="23"/>
      <c r="P662" s="23"/>
      <c r="Q662" s="31"/>
      <c r="R662" s="32"/>
      <c r="S662" s="32"/>
      <c r="T662" s="33" t="str">
        <f t="shared" si="20"/>
        <v/>
      </c>
      <c r="U662" s="34"/>
      <c r="V662" s="35"/>
      <c r="W662" s="33" t="str">
        <f t="shared" si="21"/>
        <v/>
      </c>
    </row>
    <row r="663" spans="1:23" x14ac:dyDescent="0.35">
      <c r="A663" s="21" t="str">
        <f>IF(COUNTA(B663:H663,J663:S663,U663:V663)=0,"",IF((IF(B663="","PO Ref, ","")&amp;IF(C663="","Vendor, ","")&amp;IF(D663="","Store, ","")&amp;IF(F663="","Product Type, ","")&amp;IF(G663="","Category, ","")&amp;IF(H663="","HSN Code, ","")&amp;IF(Q663="","Qty, ","")&amp;IF(R663="","Purchase Rate, ","")&amp;IF(S663="","MRP, ",""))&lt;&gt;"","Missing: "&amp;LEFT(IF(B663="","PO Ref, ","")&amp;IF(C663="","Vendor, ","")&amp;IF(D663="","Store, ","")&amp;IF(F663="","Product Type, ","")&amp;IF(G663="","Category, ","")&amp;IF(H663="","HSN Code, ","")&amp;IF(Q663="","Qty, ","")&amp;IF(R663="","Purchase Rate, ","")&amp;IF(S663="","MRP, ",""),LEN(IF(B663="","PO Ref, ","")&amp;IF(C663="","Vendor, ","")&amp;IF(D663="","Store, ","")&amp;IF(F663="","Product Type, ","")&amp;IF(G663="","Category, ","")&amp;IF(H663="","HSN Code, ","")&amp;IF(Q663="","Qty, ","")&amp;IF(R663="","Purchase Rate, ","")&amp;IF(S663="","MRP, ",""))-2),IF(COUNTIF(Vendors!$B$3:$B$202,C663)=0,"Add vendor "&amp;C663&amp;" on the Vendors sheet",IF(ISNA(MATCH(H663,Codes!$A$2:$A$13,0)),"Pick the HSN Code from the list",IF(AND(E663&lt;&gt;"",COUNTIFS($C$3:$C$1002,C663,$E$3:$E$1002,E663,$F$3:$F$1002,"&lt;&gt;"&amp;F663)+COUNTIFS($C$3:$C$1002,C663,$E$3:$E$1002,E663,$G$3:$G$1002,"&lt;&gt;"&amp;G663)&gt;0),"Design "&amp;E663&amp;" has another Product Type or Category on another row",IF(COUNTIFS($F$3:$F$1002,F663,$G$3:$G$1002,G663,$H$3:$H$1002,"&lt;&gt;"&amp;H663)&gt;0,F663&amp;" + "&amp;G663&amp;" has another HSN Code on another row",IF(AND(V663&lt;&gt;"",U663=""),"Received Qty needs the Vendor Invoice No",IF(AND(U663&lt;&gt;"",COUNTIFS(Bills!$B$3:$B$302,U663,Bills!$C$3:$C$302,C663)=0),"Add bill "&amp;U663&amp;" of "&amp;C663&amp;" on the Bills sheet",IF(S663&lt;R663,"MRP is below the Purchase Rate","OK")))))))))</f>
        <v/>
      </c>
      <c r="B663" s="29"/>
      <c r="C663" s="22"/>
      <c r="D663" s="22"/>
      <c r="E663" s="24"/>
      <c r="F663" s="22"/>
      <c r="G663" s="22"/>
      <c r="H663" s="22"/>
      <c r="I663" s="30" t="str">
        <f>IF(H663="","",IFERROR(INDEX(Codes!$B$2:$B$13,MATCH(H663,Codes!$A$2:$A$13,0)),""))</f>
        <v/>
      </c>
      <c r="J663" s="23"/>
      <c r="K663" s="23"/>
      <c r="L663" s="23"/>
      <c r="M663" s="23"/>
      <c r="N663" s="23"/>
      <c r="O663" s="23"/>
      <c r="P663" s="23"/>
      <c r="Q663" s="31"/>
      <c r="R663" s="32"/>
      <c r="S663" s="32"/>
      <c r="T663" s="33" t="str">
        <f t="shared" si="20"/>
        <v/>
      </c>
      <c r="U663" s="34"/>
      <c r="V663" s="35"/>
      <c r="W663" s="33" t="str">
        <f t="shared" si="21"/>
        <v/>
      </c>
    </row>
    <row r="664" spans="1:23" x14ac:dyDescent="0.35">
      <c r="A664" s="21" t="str">
        <f>IF(COUNTA(B664:H664,J664:S664,U664:V664)=0,"",IF((IF(B664="","PO Ref, ","")&amp;IF(C664="","Vendor, ","")&amp;IF(D664="","Store, ","")&amp;IF(F664="","Product Type, ","")&amp;IF(G664="","Category, ","")&amp;IF(H664="","HSN Code, ","")&amp;IF(Q664="","Qty, ","")&amp;IF(R664="","Purchase Rate, ","")&amp;IF(S664="","MRP, ",""))&lt;&gt;"","Missing: "&amp;LEFT(IF(B664="","PO Ref, ","")&amp;IF(C664="","Vendor, ","")&amp;IF(D664="","Store, ","")&amp;IF(F664="","Product Type, ","")&amp;IF(G664="","Category, ","")&amp;IF(H664="","HSN Code, ","")&amp;IF(Q664="","Qty, ","")&amp;IF(R664="","Purchase Rate, ","")&amp;IF(S664="","MRP, ",""),LEN(IF(B664="","PO Ref, ","")&amp;IF(C664="","Vendor, ","")&amp;IF(D664="","Store, ","")&amp;IF(F664="","Product Type, ","")&amp;IF(G664="","Category, ","")&amp;IF(H664="","HSN Code, ","")&amp;IF(Q664="","Qty, ","")&amp;IF(R664="","Purchase Rate, ","")&amp;IF(S664="","MRP, ",""))-2),IF(COUNTIF(Vendors!$B$3:$B$202,C664)=0,"Add vendor "&amp;C664&amp;" on the Vendors sheet",IF(ISNA(MATCH(H664,Codes!$A$2:$A$13,0)),"Pick the HSN Code from the list",IF(AND(E664&lt;&gt;"",COUNTIFS($C$3:$C$1002,C664,$E$3:$E$1002,E664,$F$3:$F$1002,"&lt;&gt;"&amp;F664)+COUNTIFS($C$3:$C$1002,C664,$E$3:$E$1002,E664,$G$3:$G$1002,"&lt;&gt;"&amp;G664)&gt;0),"Design "&amp;E664&amp;" has another Product Type or Category on another row",IF(COUNTIFS($F$3:$F$1002,F664,$G$3:$G$1002,G664,$H$3:$H$1002,"&lt;&gt;"&amp;H664)&gt;0,F664&amp;" + "&amp;G664&amp;" has another HSN Code on another row",IF(AND(V664&lt;&gt;"",U664=""),"Received Qty needs the Vendor Invoice No",IF(AND(U664&lt;&gt;"",COUNTIFS(Bills!$B$3:$B$302,U664,Bills!$C$3:$C$302,C664)=0),"Add bill "&amp;U664&amp;" of "&amp;C664&amp;" on the Bills sheet",IF(S664&lt;R664,"MRP is below the Purchase Rate","OK")))))))))</f>
        <v/>
      </c>
      <c r="B664" s="29"/>
      <c r="C664" s="22"/>
      <c r="D664" s="22"/>
      <c r="E664" s="24"/>
      <c r="F664" s="22"/>
      <c r="G664" s="22"/>
      <c r="H664" s="22"/>
      <c r="I664" s="30" t="str">
        <f>IF(H664="","",IFERROR(INDEX(Codes!$B$2:$B$13,MATCH(H664,Codes!$A$2:$A$13,0)),""))</f>
        <v/>
      </c>
      <c r="J664" s="23"/>
      <c r="K664" s="23"/>
      <c r="L664" s="23"/>
      <c r="M664" s="23"/>
      <c r="N664" s="23"/>
      <c r="O664" s="23"/>
      <c r="P664" s="23"/>
      <c r="Q664" s="31"/>
      <c r="R664" s="32"/>
      <c r="S664" s="32"/>
      <c r="T664" s="33" t="str">
        <f t="shared" si="20"/>
        <v/>
      </c>
      <c r="U664" s="34"/>
      <c r="V664" s="35"/>
      <c r="W664" s="33" t="str">
        <f t="shared" si="21"/>
        <v/>
      </c>
    </row>
    <row r="665" spans="1:23" x14ac:dyDescent="0.35">
      <c r="A665" s="21" t="str">
        <f>IF(COUNTA(B665:H665,J665:S665,U665:V665)=0,"",IF((IF(B665="","PO Ref, ","")&amp;IF(C665="","Vendor, ","")&amp;IF(D665="","Store, ","")&amp;IF(F665="","Product Type, ","")&amp;IF(G665="","Category, ","")&amp;IF(H665="","HSN Code, ","")&amp;IF(Q665="","Qty, ","")&amp;IF(R665="","Purchase Rate, ","")&amp;IF(S665="","MRP, ",""))&lt;&gt;"","Missing: "&amp;LEFT(IF(B665="","PO Ref, ","")&amp;IF(C665="","Vendor, ","")&amp;IF(D665="","Store, ","")&amp;IF(F665="","Product Type, ","")&amp;IF(G665="","Category, ","")&amp;IF(H665="","HSN Code, ","")&amp;IF(Q665="","Qty, ","")&amp;IF(R665="","Purchase Rate, ","")&amp;IF(S665="","MRP, ",""),LEN(IF(B665="","PO Ref, ","")&amp;IF(C665="","Vendor, ","")&amp;IF(D665="","Store, ","")&amp;IF(F665="","Product Type, ","")&amp;IF(G665="","Category, ","")&amp;IF(H665="","HSN Code, ","")&amp;IF(Q665="","Qty, ","")&amp;IF(R665="","Purchase Rate, ","")&amp;IF(S665="","MRP, ",""))-2),IF(COUNTIF(Vendors!$B$3:$B$202,C665)=0,"Add vendor "&amp;C665&amp;" on the Vendors sheet",IF(ISNA(MATCH(H665,Codes!$A$2:$A$13,0)),"Pick the HSN Code from the list",IF(AND(E665&lt;&gt;"",COUNTIFS($C$3:$C$1002,C665,$E$3:$E$1002,E665,$F$3:$F$1002,"&lt;&gt;"&amp;F665)+COUNTIFS($C$3:$C$1002,C665,$E$3:$E$1002,E665,$G$3:$G$1002,"&lt;&gt;"&amp;G665)&gt;0),"Design "&amp;E665&amp;" has another Product Type or Category on another row",IF(COUNTIFS($F$3:$F$1002,F665,$G$3:$G$1002,G665,$H$3:$H$1002,"&lt;&gt;"&amp;H665)&gt;0,F665&amp;" + "&amp;G665&amp;" has another HSN Code on another row",IF(AND(V665&lt;&gt;"",U665=""),"Received Qty needs the Vendor Invoice No",IF(AND(U665&lt;&gt;"",COUNTIFS(Bills!$B$3:$B$302,U665,Bills!$C$3:$C$302,C665)=0),"Add bill "&amp;U665&amp;" of "&amp;C665&amp;" on the Bills sheet",IF(S665&lt;R665,"MRP is below the Purchase Rate","OK")))))))))</f>
        <v/>
      </c>
      <c r="B665" s="29"/>
      <c r="C665" s="22"/>
      <c r="D665" s="22"/>
      <c r="E665" s="24"/>
      <c r="F665" s="22"/>
      <c r="G665" s="22"/>
      <c r="H665" s="22"/>
      <c r="I665" s="30" t="str">
        <f>IF(H665="","",IFERROR(INDEX(Codes!$B$2:$B$13,MATCH(H665,Codes!$A$2:$A$13,0)),""))</f>
        <v/>
      </c>
      <c r="J665" s="23"/>
      <c r="K665" s="23"/>
      <c r="L665" s="23"/>
      <c r="M665" s="23"/>
      <c r="N665" s="23"/>
      <c r="O665" s="23"/>
      <c r="P665" s="23"/>
      <c r="Q665" s="31"/>
      <c r="R665" s="32"/>
      <c r="S665" s="32"/>
      <c r="T665" s="33" t="str">
        <f t="shared" si="20"/>
        <v/>
      </c>
      <c r="U665" s="34"/>
      <c r="V665" s="35"/>
      <c r="W665" s="33" t="str">
        <f t="shared" si="21"/>
        <v/>
      </c>
    </row>
    <row r="666" spans="1:23" x14ac:dyDescent="0.35">
      <c r="A666" s="21" t="str">
        <f>IF(COUNTA(B666:H666,J666:S666,U666:V666)=0,"",IF((IF(B666="","PO Ref, ","")&amp;IF(C666="","Vendor, ","")&amp;IF(D666="","Store, ","")&amp;IF(F666="","Product Type, ","")&amp;IF(G666="","Category, ","")&amp;IF(H666="","HSN Code, ","")&amp;IF(Q666="","Qty, ","")&amp;IF(R666="","Purchase Rate, ","")&amp;IF(S666="","MRP, ",""))&lt;&gt;"","Missing: "&amp;LEFT(IF(B666="","PO Ref, ","")&amp;IF(C666="","Vendor, ","")&amp;IF(D666="","Store, ","")&amp;IF(F666="","Product Type, ","")&amp;IF(G666="","Category, ","")&amp;IF(H666="","HSN Code, ","")&amp;IF(Q666="","Qty, ","")&amp;IF(R666="","Purchase Rate, ","")&amp;IF(S666="","MRP, ",""),LEN(IF(B666="","PO Ref, ","")&amp;IF(C666="","Vendor, ","")&amp;IF(D666="","Store, ","")&amp;IF(F666="","Product Type, ","")&amp;IF(G666="","Category, ","")&amp;IF(H666="","HSN Code, ","")&amp;IF(Q666="","Qty, ","")&amp;IF(R666="","Purchase Rate, ","")&amp;IF(S666="","MRP, ",""))-2),IF(COUNTIF(Vendors!$B$3:$B$202,C666)=0,"Add vendor "&amp;C666&amp;" on the Vendors sheet",IF(ISNA(MATCH(H666,Codes!$A$2:$A$13,0)),"Pick the HSN Code from the list",IF(AND(E666&lt;&gt;"",COUNTIFS($C$3:$C$1002,C666,$E$3:$E$1002,E666,$F$3:$F$1002,"&lt;&gt;"&amp;F666)+COUNTIFS($C$3:$C$1002,C666,$E$3:$E$1002,E666,$G$3:$G$1002,"&lt;&gt;"&amp;G666)&gt;0),"Design "&amp;E666&amp;" has another Product Type or Category on another row",IF(COUNTIFS($F$3:$F$1002,F666,$G$3:$G$1002,G666,$H$3:$H$1002,"&lt;&gt;"&amp;H666)&gt;0,F666&amp;" + "&amp;G666&amp;" has another HSN Code on another row",IF(AND(V666&lt;&gt;"",U666=""),"Received Qty needs the Vendor Invoice No",IF(AND(U666&lt;&gt;"",COUNTIFS(Bills!$B$3:$B$302,U666,Bills!$C$3:$C$302,C666)=0),"Add bill "&amp;U666&amp;" of "&amp;C666&amp;" on the Bills sheet",IF(S666&lt;R666,"MRP is below the Purchase Rate","OK")))))))))</f>
        <v/>
      </c>
      <c r="B666" s="29"/>
      <c r="C666" s="22"/>
      <c r="D666" s="22"/>
      <c r="E666" s="24"/>
      <c r="F666" s="22"/>
      <c r="G666" s="22"/>
      <c r="H666" s="22"/>
      <c r="I666" s="30" t="str">
        <f>IF(H666="","",IFERROR(INDEX(Codes!$B$2:$B$13,MATCH(H666,Codes!$A$2:$A$13,0)),""))</f>
        <v/>
      </c>
      <c r="J666" s="23"/>
      <c r="K666" s="23"/>
      <c r="L666" s="23"/>
      <c r="M666" s="23"/>
      <c r="N666" s="23"/>
      <c r="O666" s="23"/>
      <c r="P666" s="23"/>
      <c r="Q666" s="31"/>
      <c r="R666" s="32"/>
      <c r="S666" s="32"/>
      <c r="T666" s="33" t="str">
        <f t="shared" si="20"/>
        <v/>
      </c>
      <c r="U666" s="34"/>
      <c r="V666" s="35"/>
      <c r="W666" s="33" t="str">
        <f t="shared" si="21"/>
        <v/>
      </c>
    </row>
    <row r="667" spans="1:23" x14ac:dyDescent="0.35">
      <c r="A667" s="21" t="str">
        <f>IF(COUNTA(B667:H667,J667:S667,U667:V667)=0,"",IF((IF(B667="","PO Ref, ","")&amp;IF(C667="","Vendor, ","")&amp;IF(D667="","Store, ","")&amp;IF(F667="","Product Type, ","")&amp;IF(G667="","Category, ","")&amp;IF(H667="","HSN Code, ","")&amp;IF(Q667="","Qty, ","")&amp;IF(R667="","Purchase Rate, ","")&amp;IF(S667="","MRP, ",""))&lt;&gt;"","Missing: "&amp;LEFT(IF(B667="","PO Ref, ","")&amp;IF(C667="","Vendor, ","")&amp;IF(D667="","Store, ","")&amp;IF(F667="","Product Type, ","")&amp;IF(G667="","Category, ","")&amp;IF(H667="","HSN Code, ","")&amp;IF(Q667="","Qty, ","")&amp;IF(R667="","Purchase Rate, ","")&amp;IF(S667="","MRP, ",""),LEN(IF(B667="","PO Ref, ","")&amp;IF(C667="","Vendor, ","")&amp;IF(D667="","Store, ","")&amp;IF(F667="","Product Type, ","")&amp;IF(G667="","Category, ","")&amp;IF(H667="","HSN Code, ","")&amp;IF(Q667="","Qty, ","")&amp;IF(R667="","Purchase Rate, ","")&amp;IF(S667="","MRP, ",""))-2),IF(COUNTIF(Vendors!$B$3:$B$202,C667)=0,"Add vendor "&amp;C667&amp;" on the Vendors sheet",IF(ISNA(MATCH(H667,Codes!$A$2:$A$13,0)),"Pick the HSN Code from the list",IF(AND(E667&lt;&gt;"",COUNTIFS($C$3:$C$1002,C667,$E$3:$E$1002,E667,$F$3:$F$1002,"&lt;&gt;"&amp;F667)+COUNTIFS($C$3:$C$1002,C667,$E$3:$E$1002,E667,$G$3:$G$1002,"&lt;&gt;"&amp;G667)&gt;0),"Design "&amp;E667&amp;" has another Product Type or Category on another row",IF(COUNTIFS($F$3:$F$1002,F667,$G$3:$G$1002,G667,$H$3:$H$1002,"&lt;&gt;"&amp;H667)&gt;0,F667&amp;" + "&amp;G667&amp;" has another HSN Code on another row",IF(AND(V667&lt;&gt;"",U667=""),"Received Qty needs the Vendor Invoice No",IF(AND(U667&lt;&gt;"",COUNTIFS(Bills!$B$3:$B$302,U667,Bills!$C$3:$C$302,C667)=0),"Add bill "&amp;U667&amp;" of "&amp;C667&amp;" on the Bills sheet",IF(S667&lt;R667,"MRP is below the Purchase Rate","OK")))))))))</f>
        <v/>
      </c>
      <c r="B667" s="29"/>
      <c r="C667" s="22"/>
      <c r="D667" s="22"/>
      <c r="E667" s="24"/>
      <c r="F667" s="22"/>
      <c r="G667" s="22"/>
      <c r="H667" s="22"/>
      <c r="I667" s="30" t="str">
        <f>IF(H667="","",IFERROR(INDEX(Codes!$B$2:$B$13,MATCH(H667,Codes!$A$2:$A$13,0)),""))</f>
        <v/>
      </c>
      <c r="J667" s="23"/>
      <c r="K667" s="23"/>
      <c r="L667" s="23"/>
      <c r="M667" s="23"/>
      <c r="N667" s="23"/>
      <c r="O667" s="23"/>
      <c r="P667" s="23"/>
      <c r="Q667" s="31"/>
      <c r="R667" s="32"/>
      <c r="S667" s="32"/>
      <c r="T667" s="33" t="str">
        <f t="shared" si="20"/>
        <v/>
      </c>
      <c r="U667" s="34"/>
      <c r="V667" s="35"/>
      <c r="W667" s="33" t="str">
        <f t="shared" si="21"/>
        <v/>
      </c>
    </row>
    <row r="668" spans="1:23" x14ac:dyDescent="0.35">
      <c r="A668" s="21" t="str">
        <f>IF(COUNTA(B668:H668,J668:S668,U668:V668)=0,"",IF((IF(B668="","PO Ref, ","")&amp;IF(C668="","Vendor, ","")&amp;IF(D668="","Store, ","")&amp;IF(F668="","Product Type, ","")&amp;IF(G668="","Category, ","")&amp;IF(H668="","HSN Code, ","")&amp;IF(Q668="","Qty, ","")&amp;IF(R668="","Purchase Rate, ","")&amp;IF(S668="","MRP, ",""))&lt;&gt;"","Missing: "&amp;LEFT(IF(B668="","PO Ref, ","")&amp;IF(C668="","Vendor, ","")&amp;IF(D668="","Store, ","")&amp;IF(F668="","Product Type, ","")&amp;IF(G668="","Category, ","")&amp;IF(H668="","HSN Code, ","")&amp;IF(Q668="","Qty, ","")&amp;IF(R668="","Purchase Rate, ","")&amp;IF(S668="","MRP, ",""),LEN(IF(B668="","PO Ref, ","")&amp;IF(C668="","Vendor, ","")&amp;IF(D668="","Store, ","")&amp;IF(F668="","Product Type, ","")&amp;IF(G668="","Category, ","")&amp;IF(H668="","HSN Code, ","")&amp;IF(Q668="","Qty, ","")&amp;IF(R668="","Purchase Rate, ","")&amp;IF(S668="","MRP, ",""))-2),IF(COUNTIF(Vendors!$B$3:$B$202,C668)=0,"Add vendor "&amp;C668&amp;" on the Vendors sheet",IF(ISNA(MATCH(H668,Codes!$A$2:$A$13,0)),"Pick the HSN Code from the list",IF(AND(E668&lt;&gt;"",COUNTIFS($C$3:$C$1002,C668,$E$3:$E$1002,E668,$F$3:$F$1002,"&lt;&gt;"&amp;F668)+COUNTIFS($C$3:$C$1002,C668,$E$3:$E$1002,E668,$G$3:$G$1002,"&lt;&gt;"&amp;G668)&gt;0),"Design "&amp;E668&amp;" has another Product Type or Category on another row",IF(COUNTIFS($F$3:$F$1002,F668,$G$3:$G$1002,G668,$H$3:$H$1002,"&lt;&gt;"&amp;H668)&gt;0,F668&amp;" + "&amp;G668&amp;" has another HSN Code on another row",IF(AND(V668&lt;&gt;"",U668=""),"Received Qty needs the Vendor Invoice No",IF(AND(U668&lt;&gt;"",COUNTIFS(Bills!$B$3:$B$302,U668,Bills!$C$3:$C$302,C668)=0),"Add bill "&amp;U668&amp;" of "&amp;C668&amp;" on the Bills sheet",IF(S668&lt;R668,"MRP is below the Purchase Rate","OK")))))))))</f>
        <v/>
      </c>
      <c r="B668" s="29"/>
      <c r="C668" s="22"/>
      <c r="D668" s="22"/>
      <c r="E668" s="24"/>
      <c r="F668" s="22"/>
      <c r="G668" s="22"/>
      <c r="H668" s="22"/>
      <c r="I668" s="30" t="str">
        <f>IF(H668="","",IFERROR(INDEX(Codes!$B$2:$B$13,MATCH(H668,Codes!$A$2:$A$13,0)),""))</f>
        <v/>
      </c>
      <c r="J668" s="23"/>
      <c r="K668" s="23"/>
      <c r="L668" s="23"/>
      <c r="M668" s="23"/>
      <c r="N668" s="23"/>
      <c r="O668" s="23"/>
      <c r="P668" s="23"/>
      <c r="Q668" s="31"/>
      <c r="R668" s="32"/>
      <c r="S668" s="32"/>
      <c r="T668" s="33" t="str">
        <f t="shared" si="20"/>
        <v/>
      </c>
      <c r="U668" s="34"/>
      <c r="V668" s="35"/>
      <c r="W668" s="33" t="str">
        <f t="shared" si="21"/>
        <v/>
      </c>
    </row>
    <row r="669" spans="1:23" x14ac:dyDescent="0.35">
      <c r="A669" s="21" t="str">
        <f>IF(COUNTA(B669:H669,J669:S669,U669:V669)=0,"",IF((IF(B669="","PO Ref, ","")&amp;IF(C669="","Vendor, ","")&amp;IF(D669="","Store, ","")&amp;IF(F669="","Product Type, ","")&amp;IF(G669="","Category, ","")&amp;IF(H669="","HSN Code, ","")&amp;IF(Q669="","Qty, ","")&amp;IF(R669="","Purchase Rate, ","")&amp;IF(S669="","MRP, ",""))&lt;&gt;"","Missing: "&amp;LEFT(IF(B669="","PO Ref, ","")&amp;IF(C669="","Vendor, ","")&amp;IF(D669="","Store, ","")&amp;IF(F669="","Product Type, ","")&amp;IF(G669="","Category, ","")&amp;IF(H669="","HSN Code, ","")&amp;IF(Q669="","Qty, ","")&amp;IF(R669="","Purchase Rate, ","")&amp;IF(S669="","MRP, ",""),LEN(IF(B669="","PO Ref, ","")&amp;IF(C669="","Vendor, ","")&amp;IF(D669="","Store, ","")&amp;IF(F669="","Product Type, ","")&amp;IF(G669="","Category, ","")&amp;IF(H669="","HSN Code, ","")&amp;IF(Q669="","Qty, ","")&amp;IF(R669="","Purchase Rate, ","")&amp;IF(S669="","MRP, ",""))-2),IF(COUNTIF(Vendors!$B$3:$B$202,C669)=0,"Add vendor "&amp;C669&amp;" on the Vendors sheet",IF(ISNA(MATCH(H669,Codes!$A$2:$A$13,0)),"Pick the HSN Code from the list",IF(AND(E669&lt;&gt;"",COUNTIFS($C$3:$C$1002,C669,$E$3:$E$1002,E669,$F$3:$F$1002,"&lt;&gt;"&amp;F669)+COUNTIFS($C$3:$C$1002,C669,$E$3:$E$1002,E669,$G$3:$G$1002,"&lt;&gt;"&amp;G669)&gt;0),"Design "&amp;E669&amp;" has another Product Type or Category on another row",IF(COUNTIFS($F$3:$F$1002,F669,$G$3:$G$1002,G669,$H$3:$H$1002,"&lt;&gt;"&amp;H669)&gt;0,F669&amp;" + "&amp;G669&amp;" has another HSN Code on another row",IF(AND(V669&lt;&gt;"",U669=""),"Received Qty needs the Vendor Invoice No",IF(AND(U669&lt;&gt;"",COUNTIFS(Bills!$B$3:$B$302,U669,Bills!$C$3:$C$302,C669)=0),"Add bill "&amp;U669&amp;" of "&amp;C669&amp;" on the Bills sheet",IF(S669&lt;R669,"MRP is below the Purchase Rate","OK")))))))))</f>
        <v/>
      </c>
      <c r="B669" s="29"/>
      <c r="C669" s="22"/>
      <c r="D669" s="22"/>
      <c r="E669" s="24"/>
      <c r="F669" s="22"/>
      <c r="G669" s="22"/>
      <c r="H669" s="22"/>
      <c r="I669" s="30" t="str">
        <f>IF(H669="","",IFERROR(INDEX(Codes!$B$2:$B$13,MATCH(H669,Codes!$A$2:$A$13,0)),""))</f>
        <v/>
      </c>
      <c r="J669" s="23"/>
      <c r="K669" s="23"/>
      <c r="L669" s="23"/>
      <c r="M669" s="23"/>
      <c r="N669" s="23"/>
      <c r="O669" s="23"/>
      <c r="P669" s="23"/>
      <c r="Q669" s="31"/>
      <c r="R669" s="32"/>
      <c r="S669" s="32"/>
      <c r="T669" s="33" t="str">
        <f t="shared" si="20"/>
        <v/>
      </c>
      <c r="U669" s="34"/>
      <c r="V669" s="35"/>
      <c r="W669" s="33" t="str">
        <f t="shared" si="21"/>
        <v/>
      </c>
    </row>
    <row r="670" spans="1:23" x14ac:dyDescent="0.35">
      <c r="A670" s="21" t="str">
        <f>IF(COUNTA(B670:H670,J670:S670,U670:V670)=0,"",IF((IF(B670="","PO Ref, ","")&amp;IF(C670="","Vendor, ","")&amp;IF(D670="","Store, ","")&amp;IF(F670="","Product Type, ","")&amp;IF(G670="","Category, ","")&amp;IF(H670="","HSN Code, ","")&amp;IF(Q670="","Qty, ","")&amp;IF(R670="","Purchase Rate, ","")&amp;IF(S670="","MRP, ",""))&lt;&gt;"","Missing: "&amp;LEFT(IF(B670="","PO Ref, ","")&amp;IF(C670="","Vendor, ","")&amp;IF(D670="","Store, ","")&amp;IF(F670="","Product Type, ","")&amp;IF(G670="","Category, ","")&amp;IF(H670="","HSN Code, ","")&amp;IF(Q670="","Qty, ","")&amp;IF(R670="","Purchase Rate, ","")&amp;IF(S670="","MRP, ",""),LEN(IF(B670="","PO Ref, ","")&amp;IF(C670="","Vendor, ","")&amp;IF(D670="","Store, ","")&amp;IF(F670="","Product Type, ","")&amp;IF(G670="","Category, ","")&amp;IF(H670="","HSN Code, ","")&amp;IF(Q670="","Qty, ","")&amp;IF(R670="","Purchase Rate, ","")&amp;IF(S670="","MRP, ",""))-2),IF(COUNTIF(Vendors!$B$3:$B$202,C670)=0,"Add vendor "&amp;C670&amp;" on the Vendors sheet",IF(ISNA(MATCH(H670,Codes!$A$2:$A$13,0)),"Pick the HSN Code from the list",IF(AND(E670&lt;&gt;"",COUNTIFS($C$3:$C$1002,C670,$E$3:$E$1002,E670,$F$3:$F$1002,"&lt;&gt;"&amp;F670)+COUNTIFS($C$3:$C$1002,C670,$E$3:$E$1002,E670,$G$3:$G$1002,"&lt;&gt;"&amp;G670)&gt;0),"Design "&amp;E670&amp;" has another Product Type or Category on another row",IF(COUNTIFS($F$3:$F$1002,F670,$G$3:$G$1002,G670,$H$3:$H$1002,"&lt;&gt;"&amp;H670)&gt;0,F670&amp;" + "&amp;G670&amp;" has another HSN Code on another row",IF(AND(V670&lt;&gt;"",U670=""),"Received Qty needs the Vendor Invoice No",IF(AND(U670&lt;&gt;"",COUNTIFS(Bills!$B$3:$B$302,U670,Bills!$C$3:$C$302,C670)=0),"Add bill "&amp;U670&amp;" of "&amp;C670&amp;" on the Bills sheet",IF(S670&lt;R670,"MRP is below the Purchase Rate","OK")))))))))</f>
        <v/>
      </c>
      <c r="B670" s="29"/>
      <c r="C670" s="22"/>
      <c r="D670" s="22"/>
      <c r="E670" s="24"/>
      <c r="F670" s="22"/>
      <c r="G670" s="22"/>
      <c r="H670" s="22"/>
      <c r="I670" s="30" t="str">
        <f>IF(H670="","",IFERROR(INDEX(Codes!$B$2:$B$13,MATCH(H670,Codes!$A$2:$A$13,0)),""))</f>
        <v/>
      </c>
      <c r="J670" s="23"/>
      <c r="K670" s="23"/>
      <c r="L670" s="23"/>
      <c r="M670" s="23"/>
      <c r="N670" s="23"/>
      <c r="O670" s="23"/>
      <c r="P670" s="23"/>
      <c r="Q670" s="31"/>
      <c r="R670" s="32"/>
      <c r="S670" s="32"/>
      <c r="T670" s="33" t="str">
        <f t="shared" si="20"/>
        <v/>
      </c>
      <c r="U670" s="34"/>
      <c r="V670" s="35"/>
      <c r="W670" s="33" t="str">
        <f t="shared" si="21"/>
        <v/>
      </c>
    </row>
    <row r="671" spans="1:23" x14ac:dyDescent="0.35">
      <c r="A671" s="21" t="str">
        <f>IF(COUNTA(B671:H671,J671:S671,U671:V671)=0,"",IF((IF(B671="","PO Ref, ","")&amp;IF(C671="","Vendor, ","")&amp;IF(D671="","Store, ","")&amp;IF(F671="","Product Type, ","")&amp;IF(G671="","Category, ","")&amp;IF(H671="","HSN Code, ","")&amp;IF(Q671="","Qty, ","")&amp;IF(R671="","Purchase Rate, ","")&amp;IF(S671="","MRP, ",""))&lt;&gt;"","Missing: "&amp;LEFT(IF(B671="","PO Ref, ","")&amp;IF(C671="","Vendor, ","")&amp;IF(D671="","Store, ","")&amp;IF(F671="","Product Type, ","")&amp;IF(G671="","Category, ","")&amp;IF(H671="","HSN Code, ","")&amp;IF(Q671="","Qty, ","")&amp;IF(R671="","Purchase Rate, ","")&amp;IF(S671="","MRP, ",""),LEN(IF(B671="","PO Ref, ","")&amp;IF(C671="","Vendor, ","")&amp;IF(D671="","Store, ","")&amp;IF(F671="","Product Type, ","")&amp;IF(G671="","Category, ","")&amp;IF(H671="","HSN Code, ","")&amp;IF(Q671="","Qty, ","")&amp;IF(R671="","Purchase Rate, ","")&amp;IF(S671="","MRP, ",""))-2),IF(COUNTIF(Vendors!$B$3:$B$202,C671)=0,"Add vendor "&amp;C671&amp;" on the Vendors sheet",IF(ISNA(MATCH(H671,Codes!$A$2:$A$13,0)),"Pick the HSN Code from the list",IF(AND(E671&lt;&gt;"",COUNTIFS($C$3:$C$1002,C671,$E$3:$E$1002,E671,$F$3:$F$1002,"&lt;&gt;"&amp;F671)+COUNTIFS($C$3:$C$1002,C671,$E$3:$E$1002,E671,$G$3:$G$1002,"&lt;&gt;"&amp;G671)&gt;0),"Design "&amp;E671&amp;" has another Product Type or Category on another row",IF(COUNTIFS($F$3:$F$1002,F671,$G$3:$G$1002,G671,$H$3:$H$1002,"&lt;&gt;"&amp;H671)&gt;0,F671&amp;" + "&amp;G671&amp;" has another HSN Code on another row",IF(AND(V671&lt;&gt;"",U671=""),"Received Qty needs the Vendor Invoice No",IF(AND(U671&lt;&gt;"",COUNTIFS(Bills!$B$3:$B$302,U671,Bills!$C$3:$C$302,C671)=0),"Add bill "&amp;U671&amp;" of "&amp;C671&amp;" on the Bills sheet",IF(S671&lt;R671,"MRP is below the Purchase Rate","OK")))))))))</f>
        <v/>
      </c>
      <c r="B671" s="29"/>
      <c r="C671" s="22"/>
      <c r="D671" s="22"/>
      <c r="E671" s="24"/>
      <c r="F671" s="22"/>
      <c r="G671" s="22"/>
      <c r="H671" s="22"/>
      <c r="I671" s="30" t="str">
        <f>IF(H671="","",IFERROR(INDEX(Codes!$B$2:$B$13,MATCH(H671,Codes!$A$2:$A$13,0)),""))</f>
        <v/>
      </c>
      <c r="J671" s="23"/>
      <c r="K671" s="23"/>
      <c r="L671" s="23"/>
      <c r="M671" s="23"/>
      <c r="N671" s="23"/>
      <c r="O671" s="23"/>
      <c r="P671" s="23"/>
      <c r="Q671" s="31"/>
      <c r="R671" s="32"/>
      <c r="S671" s="32"/>
      <c r="T671" s="33" t="str">
        <f t="shared" si="20"/>
        <v/>
      </c>
      <c r="U671" s="34"/>
      <c r="V671" s="35"/>
      <c r="W671" s="33" t="str">
        <f t="shared" si="21"/>
        <v/>
      </c>
    </row>
    <row r="672" spans="1:23" x14ac:dyDescent="0.35">
      <c r="A672" s="21" t="str">
        <f>IF(COUNTA(B672:H672,J672:S672,U672:V672)=0,"",IF((IF(B672="","PO Ref, ","")&amp;IF(C672="","Vendor, ","")&amp;IF(D672="","Store, ","")&amp;IF(F672="","Product Type, ","")&amp;IF(G672="","Category, ","")&amp;IF(H672="","HSN Code, ","")&amp;IF(Q672="","Qty, ","")&amp;IF(R672="","Purchase Rate, ","")&amp;IF(S672="","MRP, ",""))&lt;&gt;"","Missing: "&amp;LEFT(IF(B672="","PO Ref, ","")&amp;IF(C672="","Vendor, ","")&amp;IF(D672="","Store, ","")&amp;IF(F672="","Product Type, ","")&amp;IF(G672="","Category, ","")&amp;IF(H672="","HSN Code, ","")&amp;IF(Q672="","Qty, ","")&amp;IF(R672="","Purchase Rate, ","")&amp;IF(S672="","MRP, ",""),LEN(IF(B672="","PO Ref, ","")&amp;IF(C672="","Vendor, ","")&amp;IF(D672="","Store, ","")&amp;IF(F672="","Product Type, ","")&amp;IF(G672="","Category, ","")&amp;IF(H672="","HSN Code, ","")&amp;IF(Q672="","Qty, ","")&amp;IF(R672="","Purchase Rate, ","")&amp;IF(S672="","MRP, ",""))-2),IF(COUNTIF(Vendors!$B$3:$B$202,C672)=0,"Add vendor "&amp;C672&amp;" on the Vendors sheet",IF(ISNA(MATCH(H672,Codes!$A$2:$A$13,0)),"Pick the HSN Code from the list",IF(AND(E672&lt;&gt;"",COUNTIFS($C$3:$C$1002,C672,$E$3:$E$1002,E672,$F$3:$F$1002,"&lt;&gt;"&amp;F672)+COUNTIFS($C$3:$C$1002,C672,$E$3:$E$1002,E672,$G$3:$G$1002,"&lt;&gt;"&amp;G672)&gt;0),"Design "&amp;E672&amp;" has another Product Type or Category on another row",IF(COUNTIFS($F$3:$F$1002,F672,$G$3:$G$1002,G672,$H$3:$H$1002,"&lt;&gt;"&amp;H672)&gt;0,F672&amp;" + "&amp;G672&amp;" has another HSN Code on another row",IF(AND(V672&lt;&gt;"",U672=""),"Received Qty needs the Vendor Invoice No",IF(AND(U672&lt;&gt;"",COUNTIFS(Bills!$B$3:$B$302,U672,Bills!$C$3:$C$302,C672)=0),"Add bill "&amp;U672&amp;" of "&amp;C672&amp;" on the Bills sheet",IF(S672&lt;R672,"MRP is below the Purchase Rate","OK")))))))))</f>
        <v/>
      </c>
      <c r="B672" s="29"/>
      <c r="C672" s="22"/>
      <c r="D672" s="22"/>
      <c r="E672" s="24"/>
      <c r="F672" s="22"/>
      <c r="G672" s="22"/>
      <c r="H672" s="22"/>
      <c r="I672" s="30" t="str">
        <f>IF(H672="","",IFERROR(INDEX(Codes!$B$2:$B$13,MATCH(H672,Codes!$A$2:$A$13,0)),""))</f>
        <v/>
      </c>
      <c r="J672" s="23"/>
      <c r="K672" s="23"/>
      <c r="L672" s="23"/>
      <c r="M672" s="23"/>
      <c r="N672" s="23"/>
      <c r="O672" s="23"/>
      <c r="P672" s="23"/>
      <c r="Q672" s="31"/>
      <c r="R672" s="32"/>
      <c r="S672" s="32"/>
      <c r="T672" s="33" t="str">
        <f t="shared" si="20"/>
        <v/>
      </c>
      <c r="U672" s="34"/>
      <c r="V672" s="35"/>
      <c r="W672" s="33" t="str">
        <f t="shared" si="21"/>
        <v/>
      </c>
    </row>
    <row r="673" spans="1:23" x14ac:dyDescent="0.35">
      <c r="A673" s="21" t="str">
        <f>IF(COUNTA(B673:H673,J673:S673,U673:V673)=0,"",IF((IF(B673="","PO Ref, ","")&amp;IF(C673="","Vendor, ","")&amp;IF(D673="","Store, ","")&amp;IF(F673="","Product Type, ","")&amp;IF(G673="","Category, ","")&amp;IF(H673="","HSN Code, ","")&amp;IF(Q673="","Qty, ","")&amp;IF(R673="","Purchase Rate, ","")&amp;IF(S673="","MRP, ",""))&lt;&gt;"","Missing: "&amp;LEFT(IF(B673="","PO Ref, ","")&amp;IF(C673="","Vendor, ","")&amp;IF(D673="","Store, ","")&amp;IF(F673="","Product Type, ","")&amp;IF(G673="","Category, ","")&amp;IF(H673="","HSN Code, ","")&amp;IF(Q673="","Qty, ","")&amp;IF(R673="","Purchase Rate, ","")&amp;IF(S673="","MRP, ",""),LEN(IF(B673="","PO Ref, ","")&amp;IF(C673="","Vendor, ","")&amp;IF(D673="","Store, ","")&amp;IF(F673="","Product Type, ","")&amp;IF(G673="","Category, ","")&amp;IF(H673="","HSN Code, ","")&amp;IF(Q673="","Qty, ","")&amp;IF(R673="","Purchase Rate, ","")&amp;IF(S673="","MRP, ",""))-2),IF(COUNTIF(Vendors!$B$3:$B$202,C673)=0,"Add vendor "&amp;C673&amp;" on the Vendors sheet",IF(ISNA(MATCH(H673,Codes!$A$2:$A$13,0)),"Pick the HSN Code from the list",IF(AND(E673&lt;&gt;"",COUNTIFS($C$3:$C$1002,C673,$E$3:$E$1002,E673,$F$3:$F$1002,"&lt;&gt;"&amp;F673)+COUNTIFS($C$3:$C$1002,C673,$E$3:$E$1002,E673,$G$3:$G$1002,"&lt;&gt;"&amp;G673)&gt;0),"Design "&amp;E673&amp;" has another Product Type or Category on another row",IF(COUNTIFS($F$3:$F$1002,F673,$G$3:$G$1002,G673,$H$3:$H$1002,"&lt;&gt;"&amp;H673)&gt;0,F673&amp;" + "&amp;G673&amp;" has another HSN Code on another row",IF(AND(V673&lt;&gt;"",U673=""),"Received Qty needs the Vendor Invoice No",IF(AND(U673&lt;&gt;"",COUNTIFS(Bills!$B$3:$B$302,U673,Bills!$C$3:$C$302,C673)=0),"Add bill "&amp;U673&amp;" of "&amp;C673&amp;" on the Bills sheet",IF(S673&lt;R673,"MRP is below the Purchase Rate","OK")))))))))</f>
        <v/>
      </c>
      <c r="B673" s="29"/>
      <c r="C673" s="22"/>
      <c r="D673" s="22"/>
      <c r="E673" s="24"/>
      <c r="F673" s="22"/>
      <c r="G673" s="22"/>
      <c r="H673" s="22"/>
      <c r="I673" s="30" t="str">
        <f>IF(H673="","",IFERROR(INDEX(Codes!$B$2:$B$13,MATCH(H673,Codes!$A$2:$A$13,0)),""))</f>
        <v/>
      </c>
      <c r="J673" s="23"/>
      <c r="K673" s="23"/>
      <c r="L673" s="23"/>
      <c r="M673" s="23"/>
      <c r="N673" s="23"/>
      <c r="O673" s="23"/>
      <c r="P673" s="23"/>
      <c r="Q673" s="31"/>
      <c r="R673" s="32"/>
      <c r="S673" s="32"/>
      <c r="T673" s="33" t="str">
        <f t="shared" si="20"/>
        <v/>
      </c>
      <c r="U673" s="34"/>
      <c r="V673" s="35"/>
      <c r="W673" s="33" t="str">
        <f t="shared" si="21"/>
        <v/>
      </c>
    </row>
    <row r="674" spans="1:23" x14ac:dyDescent="0.35">
      <c r="A674" s="21" t="str">
        <f>IF(COUNTA(B674:H674,J674:S674,U674:V674)=0,"",IF((IF(B674="","PO Ref, ","")&amp;IF(C674="","Vendor, ","")&amp;IF(D674="","Store, ","")&amp;IF(F674="","Product Type, ","")&amp;IF(G674="","Category, ","")&amp;IF(H674="","HSN Code, ","")&amp;IF(Q674="","Qty, ","")&amp;IF(R674="","Purchase Rate, ","")&amp;IF(S674="","MRP, ",""))&lt;&gt;"","Missing: "&amp;LEFT(IF(B674="","PO Ref, ","")&amp;IF(C674="","Vendor, ","")&amp;IF(D674="","Store, ","")&amp;IF(F674="","Product Type, ","")&amp;IF(G674="","Category, ","")&amp;IF(H674="","HSN Code, ","")&amp;IF(Q674="","Qty, ","")&amp;IF(R674="","Purchase Rate, ","")&amp;IF(S674="","MRP, ",""),LEN(IF(B674="","PO Ref, ","")&amp;IF(C674="","Vendor, ","")&amp;IF(D674="","Store, ","")&amp;IF(F674="","Product Type, ","")&amp;IF(G674="","Category, ","")&amp;IF(H674="","HSN Code, ","")&amp;IF(Q674="","Qty, ","")&amp;IF(R674="","Purchase Rate, ","")&amp;IF(S674="","MRP, ",""))-2),IF(COUNTIF(Vendors!$B$3:$B$202,C674)=0,"Add vendor "&amp;C674&amp;" on the Vendors sheet",IF(ISNA(MATCH(H674,Codes!$A$2:$A$13,0)),"Pick the HSN Code from the list",IF(AND(E674&lt;&gt;"",COUNTIFS($C$3:$C$1002,C674,$E$3:$E$1002,E674,$F$3:$F$1002,"&lt;&gt;"&amp;F674)+COUNTIFS($C$3:$C$1002,C674,$E$3:$E$1002,E674,$G$3:$G$1002,"&lt;&gt;"&amp;G674)&gt;0),"Design "&amp;E674&amp;" has another Product Type or Category on another row",IF(COUNTIFS($F$3:$F$1002,F674,$G$3:$G$1002,G674,$H$3:$H$1002,"&lt;&gt;"&amp;H674)&gt;0,F674&amp;" + "&amp;G674&amp;" has another HSN Code on another row",IF(AND(V674&lt;&gt;"",U674=""),"Received Qty needs the Vendor Invoice No",IF(AND(U674&lt;&gt;"",COUNTIFS(Bills!$B$3:$B$302,U674,Bills!$C$3:$C$302,C674)=0),"Add bill "&amp;U674&amp;" of "&amp;C674&amp;" on the Bills sheet",IF(S674&lt;R674,"MRP is below the Purchase Rate","OK")))))))))</f>
        <v/>
      </c>
      <c r="B674" s="29"/>
      <c r="C674" s="22"/>
      <c r="D674" s="22"/>
      <c r="E674" s="24"/>
      <c r="F674" s="22"/>
      <c r="G674" s="22"/>
      <c r="H674" s="22"/>
      <c r="I674" s="30" t="str">
        <f>IF(H674="","",IFERROR(INDEX(Codes!$B$2:$B$13,MATCH(H674,Codes!$A$2:$A$13,0)),""))</f>
        <v/>
      </c>
      <c r="J674" s="23"/>
      <c r="K674" s="23"/>
      <c r="L674" s="23"/>
      <c r="M674" s="23"/>
      <c r="N674" s="23"/>
      <c r="O674" s="23"/>
      <c r="P674" s="23"/>
      <c r="Q674" s="31"/>
      <c r="R674" s="32"/>
      <c r="S674" s="32"/>
      <c r="T674" s="33" t="str">
        <f t="shared" si="20"/>
        <v/>
      </c>
      <c r="U674" s="34"/>
      <c r="V674" s="35"/>
      <c r="W674" s="33" t="str">
        <f t="shared" si="21"/>
        <v/>
      </c>
    </row>
    <row r="675" spans="1:23" x14ac:dyDescent="0.35">
      <c r="A675" s="21" t="str">
        <f>IF(COUNTA(B675:H675,J675:S675,U675:V675)=0,"",IF((IF(B675="","PO Ref, ","")&amp;IF(C675="","Vendor, ","")&amp;IF(D675="","Store, ","")&amp;IF(F675="","Product Type, ","")&amp;IF(G675="","Category, ","")&amp;IF(H675="","HSN Code, ","")&amp;IF(Q675="","Qty, ","")&amp;IF(R675="","Purchase Rate, ","")&amp;IF(S675="","MRP, ",""))&lt;&gt;"","Missing: "&amp;LEFT(IF(B675="","PO Ref, ","")&amp;IF(C675="","Vendor, ","")&amp;IF(D675="","Store, ","")&amp;IF(F675="","Product Type, ","")&amp;IF(G675="","Category, ","")&amp;IF(H675="","HSN Code, ","")&amp;IF(Q675="","Qty, ","")&amp;IF(R675="","Purchase Rate, ","")&amp;IF(S675="","MRP, ",""),LEN(IF(B675="","PO Ref, ","")&amp;IF(C675="","Vendor, ","")&amp;IF(D675="","Store, ","")&amp;IF(F675="","Product Type, ","")&amp;IF(G675="","Category, ","")&amp;IF(H675="","HSN Code, ","")&amp;IF(Q675="","Qty, ","")&amp;IF(R675="","Purchase Rate, ","")&amp;IF(S675="","MRP, ",""))-2),IF(COUNTIF(Vendors!$B$3:$B$202,C675)=0,"Add vendor "&amp;C675&amp;" on the Vendors sheet",IF(ISNA(MATCH(H675,Codes!$A$2:$A$13,0)),"Pick the HSN Code from the list",IF(AND(E675&lt;&gt;"",COUNTIFS($C$3:$C$1002,C675,$E$3:$E$1002,E675,$F$3:$F$1002,"&lt;&gt;"&amp;F675)+COUNTIFS($C$3:$C$1002,C675,$E$3:$E$1002,E675,$G$3:$G$1002,"&lt;&gt;"&amp;G675)&gt;0),"Design "&amp;E675&amp;" has another Product Type or Category on another row",IF(COUNTIFS($F$3:$F$1002,F675,$G$3:$G$1002,G675,$H$3:$H$1002,"&lt;&gt;"&amp;H675)&gt;0,F675&amp;" + "&amp;G675&amp;" has another HSN Code on another row",IF(AND(V675&lt;&gt;"",U675=""),"Received Qty needs the Vendor Invoice No",IF(AND(U675&lt;&gt;"",COUNTIFS(Bills!$B$3:$B$302,U675,Bills!$C$3:$C$302,C675)=0),"Add bill "&amp;U675&amp;" of "&amp;C675&amp;" on the Bills sheet",IF(S675&lt;R675,"MRP is below the Purchase Rate","OK")))))))))</f>
        <v/>
      </c>
      <c r="B675" s="29"/>
      <c r="C675" s="22"/>
      <c r="D675" s="22"/>
      <c r="E675" s="24"/>
      <c r="F675" s="22"/>
      <c r="G675" s="22"/>
      <c r="H675" s="22"/>
      <c r="I675" s="30" t="str">
        <f>IF(H675="","",IFERROR(INDEX(Codes!$B$2:$B$13,MATCH(H675,Codes!$A$2:$A$13,0)),""))</f>
        <v/>
      </c>
      <c r="J675" s="23"/>
      <c r="K675" s="23"/>
      <c r="L675" s="23"/>
      <c r="M675" s="23"/>
      <c r="N675" s="23"/>
      <c r="O675" s="23"/>
      <c r="P675" s="23"/>
      <c r="Q675" s="31"/>
      <c r="R675" s="32"/>
      <c r="S675" s="32"/>
      <c r="T675" s="33" t="str">
        <f t="shared" si="20"/>
        <v/>
      </c>
      <c r="U675" s="34"/>
      <c r="V675" s="35"/>
      <c r="W675" s="33" t="str">
        <f t="shared" si="21"/>
        <v/>
      </c>
    </row>
    <row r="676" spans="1:23" x14ac:dyDescent="0.35">
      <c r="A676" s="21" t="str">
        <f>IF(COUNTA(B676:H676,J676:S676,U676:V676)=0,"",IF((IF(B676="","PO Ref, ","")&amp;IF(C676="","Vendor, ","")&amp;IF(D676="","Store, ","")&amp;IF(F676="","Product Type, ","")&amp;IF(G676="","Category, ","")&amp;IF(H676="","HSN Code, ","")&amp;IF(Q676="","Qty, ","")&amp;IF(R676="","Purchase Rate, ","")&amp;IF(S676="","MRP, ",""))&lt;&gt;"","Missing: "&amp;LEFT(IF(B676="","PO Ref, ","")&amp;IF(C676="","Vendor, ","")&amp;IF(D676="","Store, ","")&amp;IF(F676="","Product Type, ","")&amp;IF(G676="","Category, ","")&amp;IF(H676="","HSN Code, ","")&amp;IF(Q676="","Qty, ","")&amp;IF(R676="","Purchase Rate, ","")&amp;IF(S676="","MRP, ",""),LEN(IF(B676="","PO Ref, ","")&amp;IF(C676="","Vendor, ","")&amp;IF(D676="","Store, ","")&amp;IF(F676="","Product Type, ","")&amp;IF(G676="","Category, ","")&amp;IF(H676="","HSN Code, ","")&amp;IF(Q676="","Qty, ","")&amp;IF(R676="","Purchase Rate, ","")&amp;IF(S676="","MRP, ",""))-2),IF(COUNTIF(Vendors!$B$3:$B$202,C676)=0,"Add vendor "&amp;C676&amp;" on the Vendors sheet",IF(ISNA(MATCH(H676,Codes!$A$2:$A$13,0)),"Pick the HSN Code from the list",IF(AND(E676&lt;&gt;"",COUNTIFS($C$3:$C$1002,C676,$E$3:$E$1002,E676,$F$3:$F$1002,"&lt;&gt;"&amp;F676)+COUNTIFS($C$3:$C$1002,C676,$E$3:$E$1002,E676,$G$3:$G$1002,"&lt;&gt;"&amp;G676)&gt;0),"Design "&amp;E676&amp;" has another Product Type or Category on another row",IF(COUNTIFS($F$3:$F$1002,F676,$G$3:$G$1002,G676,$H$3:$H$1002,"&lt;&gt;"&amp;H676)&gt;0,F676&amp;" + "&amp;G676&amp;" has another HSN Code on another row",IF(AND(V676&lt;&gt;"",U676=""),"Received Qty needs the Vendor Invoice No",IF(AND(U676&lt;&gt;"",COUNTIFS(Bills!$B$3:$B$302,U676,Bills!$C$3:$C$302,C676)=0),"Add bill "&amp;U676&amp;" of "&amp;C676&amp;" on the Bills sheet",IF(S676&lt;R676,"MRP is below the Purchase Rate","OK")))))))))</f>
        <v/>
      </c>
      <c r="B676" s="29"/>
      <c r="C676" s="22"/>
      <c r="D676" s="22"/>
      <c r="E676" s="24"/>
      <c r="F676" s="22"/>
      <c r="G676" s="22"/>
      <c r="H676" s="22"/>
      <c r="I676" s="30" t="str">
        <f>IF(H676="","",IFERROR(INDEX(Codes!$B$2:$B$13,MATCH(H676,Codes!$A$2:$A$13,0)),""))</f>
        <v/>
      </c>
      <c r="J676" s="23"/>
      <c r="K676" s="23"/>
      <c r="L676" s="23"/>
      <c r="M676" s="23"/>
      <c r="N676" s="23"/>
      <c r="O676" s="23"/>
      <c r="P676" s="23"/>
      <c r="Q676" s="31"/>
      <c r="R676" s="32"/>
      <c r="S676" s="32"/>
      <c r="T676" s="33" t="str">
        <f t="shared" si="20"/>
        <v/>
      </c>
      <c r="U676" s="34"/>
      <c r="V676" s="35"/>
      <c r="W676" s="33" t="str">
        <f t="shared" si="21"/>
        <v/>
      </c>
    </row>
    <row r="677" spans="1:23" x14ac:dyDescent="0.35">
      <c r="A677" s="21" t="str">
        <f>IF(COUNTA(B677:H677,J677:S677,U677:V677)=0,"",IF((IF(B677="","PO Ref, ","")&amp;IF(C677="","Vendor, ","")&amp;IF(D677="","Store, ","")&amp;IF(F677="","Product Type, ","")&amp;IF(G677="","Category, ","")&amp;IF(H677="","HSN Code, ","")&amp;IF(Q677="","Qty, ","")&amp;IF(R677="","Purchase Rate, ","")&amp;IF(S677="","MRP, ",""))&lt;&gt;"","Missing: "&amp;LEFT(IF(B677="","PO Ref, ","")&amp;IF(C677="","Vendor, ","")&amp;IF(D677="","Store, ","")&amp;IF(F677="","Product Type, ","")&amp;IF(G677="","Category, ","")&amp;IF(H677="","HSN Code, ","")&amp;IF(Q677="","Qty, ","")&amp;IF(R677="","Purchase Rate, ","")&amp;IF(S677="","MRP, ",""),LEN(IF(B677="","PO Ref, ","")&amp;IF(C677="","Vendor, ","")&amp;IF(D677="","Store, ","")&amp;IF(F677="","Product Type, ","")&amp;IF(G677="","Category, ","")&amp;IF(H677="","HSN Code, ","")&amp;IF(Q677="","Qty, ","")&amp;IF(R677="","Purchase Rate, ","")&amp;IF(S677="","MRP, ",""))-2),IF(COUNTIF(Vendors!$B$3:$B$202,C677)=0,"Add vendor "&amp;C677&amp;" on the Vendors sheet",IF(ISNA(MATCH(H677,Codes!$A$2:$A$13,0)),"Pick the HSN Code from the list",IF(AND(E677&lt;&gt;"",COUNTIFS($C$3:$C$1002,C677,$E$3:$E$1002,E677,$F$3:$F$1002,"&lt;&gt;"&amp;F677)+COUNTIFS($C$3:$C$1002,C677,$E$3:$E$1002,E677,$G$3:$G$1002,"&lt;&gt;"&amp;G677)&gt;0),"Design "&amp;E677&amp;" has another Product Type or Category on another row",IF(COUNTIFS($F$3:$F$1002,F677,$G$3:$G$1002,G677,$H$3:$H$1002,"&lt;&gt;"&amp;H677)&gt;0,F677&amp;" + "&amp;G677&amp;" has another HSN Code on another row",IF(AND(V677&lt;&gt;"",U677=""),"Received Qty needs the Vendor Invoice No",IF(AND(U677&lt;&gt;"",COUNTIFS(Bills!$B$3:$B$302,U677,Bills!$C$3:$C$302,C677)=0),"Add bill "&amp;U677&amp;" of "&amp;C677&amp;" on the Bills sheet",IF(S677&lt;R677,"MRP is below the Purchase Rate","OK")))))))))</f>
        <v/>
      </c>
      <c r="B677" s="29"/>
      <c r="C677" s="22"/>
      <c r="D677" s="22"/>
      <c r="E677" s="24"/>
      <c r="F677" s="22"/>
      <c r="G677" s="22"/>
      <c r="H677" s="22"/>
      <c r="I677" s="30" t="str">
        <f>IF(H677="","",IFERROR(INDEX(Codes!$B$2:$B$13,MATCH(H677,Codes!$A$2:$A$13,0)),""))</f>
        <v/>
      </c>
      <c r="J677" s="23"/>
      <c r="K677" s="23"/>
      <c r="L677" s="23"/>
      <c r="M677" s="23"/>
      <c r="N677" s="23"/>
      <c r="O677" s="23"/>
      <c r="P677" s="23"/>
      <c r="Q677" s="31"/>
      <c r="R677" s="32"/>
      <c r="S677" s="32"/>
      <c r="T677" s="33" t="str">
        <f t="shared" si="20"/>
        <v/>
      </c>
      <c r="U677" s="34"/>
      <c r="V677" s="35"/>
      <c r="W677" s="33" t="str">
        <f t="shared" si="21"/>
        <v/>
      </c>
    </row>
    <row r="678" spans="1:23" x14ac:dyDescent="0.35">
      <c r="A678" s="21" t="str">
        <f>IF(COUNTA(B678:H678,J678:S678,U678:V678)=0,"",IF((IF(B678="","PO Ref, ","")&amp;IF(C678="","Vendor, ","")&amp;IF(D678="","Store, ","")&amp;IF(F678="","Product Type, ","")&amp;IF(G678="","Category, ","")&amp;IF(H678="","HSN Code, ","")&amp;IF(Q678="","Qty, ","")&amp;IF(R678="","Purchase Rate, ","")&amp;IF(S678="","MRP, ",""))&lt;&gt;"","Missing: "&amp;LEFT(IF(B678="","PO Ref, ","")&amp;IF(C678="","Vendor, ","")&amp;IF(D678="","Store, ","")&amp;IF(F678="","Product Type, ","")&amp;IF(G678="","Category, ","")&amp;IF(H678="","HSN Code, ","")&amp;IF(Q678="","Qty, ","")&amp;IF(R678="","Purchase Rate, ","")&amp;IF(S678="","MRP, ",""),LEN(IF(B678="","PO Ref, ","")&amp;IF(C678="","Vendor, ","")&amp;IF(D678="","Store, ","")&amp;IF(F678="","Product Type, ","")&amp;IF(G678="","Category, ","")&amp;IF(H678="","HSN Code, ","")&amp;IF(Q678="","Qty, ","")&amp;IF(R678="","Purchase Rate, ","")&amp;IF(S678="","MRP, ",""))-2),IF(COUNTIF(Vendors!$B$3:$B$202,C678)=0,"Add vendor "&amp;C678&amp;" on the Vendors sheet",IF(ISNA(MATCH(H678,Codes!$A$2:$A$13,0)),"Pick the HSN Code from the list",IF(AND(E678&lt;&gt;"",COUNTIFS($C$3:$C$1002,C678,$E$3:$E$1002,E678,$F$3:$F$1002,"&lt;&gt;"&amp;F678)+COUNTIFS($C$3:$C$1002,C678,$E$3:$E$1002,E678,$G$3:$G$1002,"&lt;&gt;"&amp;G678)&gt;0),"Design "&amp;E678&amp;" has another Product Type or Category on another row",IF(COUNTIFS($F$3:$F$1002,F678,$G$3:$G$1002,G678,$H$3:$H$1002,"&lt;&gt;"&amp;H678)&gt;0,F678&amp;" + "&amp;G678&amp;" has another HSN Code on another row",IF(AND(V678&lt;&gt;"",U678=""),"Received Qty needs the Vendor Invoice No",IF(AND(U678&lt;&gt;"",COUNTIFS(Bills!$B$3:$B$302,U678,Bills!$C$3:$C$302,C678)=0),"Add bill "&amp;U678&amp;" of "&amp;C678&amp;" on the Bills sheet",IF(S678&lt;R678,"MRP is below the Purchase Rate","OK")))))))))</f>
        <v/>
      </c>
      <c r="B678" s="29"/>
      <c r="C678" s="22"/>
      <c r="D678" s="22"/>
      <c r="E678" s="24"/>
      <c r="F678" s="22"/>
      <c r="G678" s="22"/>
      <c r="H678" s="22"/>
      <c r="I678" s="30" t="str">
        <f>IF(H678="","",IFERROR(INDEX(Codes!$B$2:$B$13,MATCH(H678,Codes!$A$2:$A$13,0)),""))</f>
        <v/>
      </c>
      <c r="J678" s="23"/>
      <c r="K678" s="23"/>
      <c r="L678" s="23"/>
      <c r="M678" s="23"/>
      <c r="N678" s="23"/>
      <c r="O678" s="23"/>
      <c r="P678" s="23"/>
      <c r="Q678" s="31"/>
      <c r="R678" s="32"/>
      <c r="S678" s="32"/>
      <c r="T678" s="33" t="str">
        <f t="shared" si="20"/>
        <v/>
      </c>
      <c r="U678" s="34"/>
      <c r="V678" s="35"/>
      <c r="W678" s="33" t="str">
        <f t="shared" si="21"/>
        <v/>
      </c>
    </row>
    <row r="679" spans="1:23" x14ac:dyDescent="0.35">
      <c r="A679" s="21" t="str">
        <f>IF(COUNTA(B679:H679,J679:S679,U679:V679)=0,"",IF((IF(B679="","PO Ref, ","")&amp;IF(C679="","Vendor, ","")&amp;IF(D679="","Store, ","")&amp;IF(F679="","Product Type, ","")&amp;IF(G679="","Category, ","")&amp;IF(H679="","HSN Code, ","")&amp;IF(Q679="","Qty, ","")&amp;IF(R679="","Purchase Rate, ","")&amp;IF(S679="","MRP, ",""))&lt;&gt;"","Missing: "&amp;LEFT(IF(B679="","PO Ref, ","")&amp;IF(C679="","Vendor, ","")&amp;IF(D679="","Store, ","")&amp;IF(F679="","Product Type, ","")&amp;IF(G679="","Category, ","")&amp;IF(H679="","HSN Code, ","")&amp;IF(Q679="","Qty, ","")&amp;IF(R679="","Purchase Rate, ","")&amp;IF(S679="","MRP, ",""),LEN(IF(B679="","PO Ref, ","")&amp;IF(C679="","Vendor, ","")&amp;IF(D679="","Store, ","")&amp;IF(F679="","Product Type, ","")&amp;IF(G679="","Category, ","")&amp;IF(H679="","HSN Code, ","")&amp;IF(Q679="","Qty, ","")&amp;IF(R679="","Purchase Rate, ","")&amp;IF(S679="","MRP, ",""))-2),IF(COUNTIF(Vendors!$B$3:$B$202,C679)=0,"Add vendor "&amp;C679&amp;" on the Vendors sheet",IF(ISNA(MATCH(H679,Codes!$A$2:$A$13,0)),"Pick the HSN Code from the list",IF(AND(E679&lt;&gt;"",COUNTIFS($C$3:$C$1002,C679,$E$3:$E$1002,E679,$F$3:$F$1002,"&lt;&gt;"&amp;F679)+COUNTIFS($C$3:$C$1002,C679,$E$3:$E$1002,E679,$G$3:$G$1002,"&lt;&gt;"&amp;G679)&gt;0),"Design "&amp;E679&amp;" has another Product Type or Category on another row",IF(COUNTIFS($F$3:$F$1002,F679,$G$3:$G$1002,G679,$H$3:$H$1002,"&lt;&gt;"&amp;H679)&gt;0,F679&amp;" + "&amp;G679&amp;" has another HSN Code on another row",IF(AND(V679&lt;&gt;"",U679=""),"Received Qty needs the Vendor Invoice No",IF(AND(U679&lt;&gt;"",COUNTIFS(Bills!$B$3:$B$302,U679,Bills!$C$3:$C$302,C679)=0),"Add bill "&amp;U679&amp;" of "&amp;C679&amp;" on the Bills sheet",IF(S679&lt;R679,"MRP is below the Purchase Rate","OK")))))))))</f>
        <v/>
      </c>
      <c r="B679" s="29"/>
      <c r="C679" s="22"/>
      <c r="D679" s="22"/>
      <c r="E679" s="24"/>
      <c r="F679" s="22"/>
      <c r="G679" s="22"/>
      <c r="H679" s="22"/>
      <c r="I679" s="30" t="str">
        <f>IF(H679="","",IFERROR(INDEX(Codes!$B$2:$B$13,MATCH(H679,Codes!$A$2:$A$13,0)),""))</f>
        <v/>
      </c>
      <c r="J679" s="23"/>
      <c r="K679" s="23"/>
      <c r="L679" s="23"/>
      <c r="M679" s="23"/>
      <c r="N679" s="23"/>
      <c r="O679" s="23"/>
      <c r="P679" s="23"/>
      <c r="Q679" s="31"/>
      <c r="R679" s="32"/>
      <c r="S679" s="32"/>
      <c r="T679" s="33" t="str">
        <f t="shared" si="20"/>
        <v/>
      </c>
      <c r="U679" s="34"/>
      <c r="V679" s="35"/>
      <c r="W679" s="33" t="str">
        <f t="shared" si="21"/>
        <v/>
      </c>
    </row>
    <row r="680" spans="1:23" x14ac:dyDescent="0.35">
      <c r="A680" s="21" t="str">
        <f>IF(COUNTA(B680:H680,J680:S680,U680:V680)=0,"",IF((IF(B680="","PO Ref, ","")&amp;IF(C680="","Vendor, ","")&amp;IF(D680="","Store, ","")&amp;IF(F680="","Product Type, ","")&amp;IF(G680="","Category, ","")&amp;IF(H680="","HSN Code, ","")&amp;IF(Q680="","Qty, ","")&amp;IF(R680="","Purchase Rate, ","")&amp;IF(S680="","MRP, ",""))&lt;&gt;"","Missing: "&amp;LEFT(IF(B680="","PO Ref, ","")&amp;IF(C680="","Vendor, ","")&amp;IF(D680="","Store, ","")&amp;IF(F680="","Product Type, ","")&amp;IF(G680="","Category, ","")&amp;IF(H680="","HSN Code, ","")&amp;IF(Q680="","Qty, ","")&amp;IF(R680="","Purchase Rate, ","")&amp;IF(S680="","MRP, ",""),LEN(IF(B680="","PO Ref, ","")&amp;IF(C680="","Vendor, ","")&amp;IF(D680="","Store, ","")&amp;IF(F680="","Product Type, ","")&amp;IF(G680="","Category, ","")&amp;IF(H680="","HSN Code, ","")&amp;IF(Q680="","Qty, ","")&amp;IF(R680="","Purchase Rate, ","")&amp;IF(S680="","MRP, ",""))-2),IF(COUNTIF(Vendors!$B$3:$B$202,C680)=0,"Add vendor "&amp;C680&amp;" on the Vendors sheet",IF(ISNA(MATCH(H680,Codes!$A$2:$A$13,0)),"Pick the HSN Code from the list",IF(AND(E680&lt;&gt;"",COUNTIFS($C$3:$C$1002,C680,$E$3:$E$1002,E680,$F$3:$F$1002,"&lt;&gt;"&amp;F680)+COUNTIFS($C$3:$C$1002,C680,$E$3:$E$1002,E680,$G$3:$G$1002,"&lt;&gt;"&amp;G680)&gt;0),"Design "&amp;E680&amp;" has another Product Type or Category on another row",IF(COUNTIFS($F$3:$F$1002,F680,$G$3:$G$1002,G680,$H$3:$H$1002,"&lt;&gt;"&amp;H680)&gt;0,F680&amp;" + "&amp;G680&amp;" has another HSN Code on another row",IF(AND(V680&lt;&gt;"",U680=""),"Received Qty needs the Vendor Invoice No",IF(AND(U680&lt;&gt;"",COUNTIFS(Bills!$B$3:$B$302,U680,Bills!$C$3:$C$302,C680)=0),"Add bill "&amp;U680&amp;" of "&amp;C680&amp;" on the Bills sheet",IF(S680&lt;R680,"MRP is below the Purchase Rate","OK")))))))))</f>
        <v/>
      </c>
      <c r="B680" s="29"/>
      <c r="C680" s="22"/>
      <c r="D680" s="22"/>
      <c r="E680" s="24"/>
      <c r="F680" s="22"/>
      <c r="G680" s="22"/>
      <c r="H680" s="22"/>
      <c r="I680" s="30" t="str">
        <f>IF(H680="","",IFERROR(INDEX(Codes!$B$2:$B$13,MATCH(H680,Codes!$A$2:$A$13,0)),""))</f>
        <v/>
      </c>
      <c r="J680" s="23"/>
      <c r="K680" s="23"/>
      <c r="L680" s="23"/>
      <c r="M680" s="23"/>
      <c r="N680" s="23"/>
      <c r="O680" s="23"/>
      <c r="P680" s="23"/>
      <c r="Q680" s="31"/>
      <c r="R680" s="32"/>
      <c r="S680" s="32"/>
      <c r="T680" s="33" t="str">
        <f t="shared" si="20"/>
        <v/>
      </c>
      <c r="U680" s="34"/>
      <c r="V680" s="35"/>
      <c r="W680" s="33" t="str">
        <f t="shared" si="21"/>
        <v/>
      </c>
    </row>
    <row r="681" spans="1:23" x14ac:dyDescent="0.35">
      <c r="A681" s="21" t="str">
        <f>IF(COUNTA(B681:H681,J681:S681,U681:V681)=0,"",IF((IF(B681="","PO Ref, ","")&amp;IF(C681="","Vendor, ","")&amp;IF(D681="","Store, ","")&amp;IF(F681="","Product Type, ","")&amp;IF(G681="","Category, ","")&amp;IF(H681="","HSN Code, ","")&amp;IF(Q681="","Qty, ","")&amp;IF(R681="","Purchase Rate, ","")&amp;IF(S681="","MRP, ",""))&lt;&gt;"","Missing: "&amp;LEFT(IF(B681="","PO Ref, ","")&amp;IF(C681="","Vendor, ","")&amp;IF(D681="","Store, ","")&amp;IF(F681="","Product Type, ","")&amp;IF(G681="","Category, ","")&amp;IF(H681="","HSN Code, ","")&amp;IF(Q681="","Qty, ","")&amp;IF(R681="","Purchase Rate, ","")&amp;IF(S681="","MRP, ",""),LEN(IF(B681="","PO Ref, ","")&amp;IF(C681="","Vendor, ","")&amp;IF(D681="","Store, ","")&amp;IF(F681="","Product Type, ","")&amp;IF(G681="","Category, ","")&amp;IF(H681="","HSN Code, ","")&amp;IF(Q681="","Qty, ","")&amp;IF(R681="","Purchase Rate, ","")&amp;IF(S681="","MRP, ",""))-2),IF(COUNTIF(Vendors!$B$3:$B$202,C681)=0,"Add vendor "&amp;C681&amp;" on the Vendors sheet",IF(ISNA(MATCH(H681,Codes!$A$2:$A$13,0)),"Pick the HSN Code from the list",IF(AND(E681&lt;&gt;"",COUNTIFS($C$3:$C$1002,C681,$E$3:$E$1002,E681,$F$3:$F$1002,"&lt;&gt;"&amp;F681)+COUNTIFS($C$3:$C$1002,C681,$E$3:$E$1002,E681,$G$3:$G$1002,"&lt;&gt;"&amp;G681)&gt;0),"Design "&amp;E681&amp;" has another Product Type or Category on another row",IF(COUNTIFS($F$3:$F$1002,F681,$G$3:$G$1002,G681,$H$3:$H$1002,"&lt;&gt;"&amp;H681)&gt;0,F681&amp;" + "&amp;G681&amp;" has another HSN Code on another row",IF(AND(V681&lt;&gt;"",U681=""),"Received Qty needs the Vendor Invoice No",IF(AND(U681&lt;&gt;"",COUNTIFS(Bills!$B$3:$B$302,U681,Bills!$C$3:$C$302,C681)=0),"Add bill "&amp;U681&amp;" of "&amp;C681&amp;" on the Bills sheet",IF(S681&lt;R681,"MRP is below the Purchase Rate","OK")))))))))</f>
        <v/>
      </c>
      <c r="B681" s="29"/>
      <c r="C681" s="22"/>
      <c r="D681" s="22"/>
      <c r="E681" s="24"/>
      <c r="F681" s="22"/>
      <c r="G681" s="22"/>
      <c r="H681" s="22"/>
      <c r="I681" s="30" t="str">
        <f>IF(H681="","",IFERROR(INDEX(Codes!$B$2:$B$13,MATCH(H681,Codes!$A$2:$A$13,0)),""))</f>
        <v/>
      </c>
      <c r="J681" s="23"/>
      <c r="K681" s="23"/>
      <c r="L681" s="23"/>
      <c r="M681" s="23"/>
      <c r="N681" s="23"/>
      <c r="O681" s="23"/>
      <c r="P681" s="23"/>
      <c r="Q681" s="31"/>
      <c r="R681" s="32"/>
      <c r="S681" s="32"/>
      <c r="T681" s="33" t="str">
        <f t="shared" si="20"/>
        <v/>
      </c>
      <c r="U681" s="34"/>
      <c r="V681" s="35"/>
      <c r="W681" s="33" t="str">
        <f t="shared" si="21"/>
        <v/>
      </c>
    </row>
    <row r="682" spans="1:23" x14ac:dyDescent="0.35">
      <c r="A682" s="21" t="str">
        <f>IF(COUNTA(B682:H682,J682:S682,U682:V682)=0,"",IF((IF(B682="","PO Ref, ","")&amp;IF(C682="","Vendor, ","")&amp;IF(D682="","Store, ","")&amp;IF(F682="","Product Type, ","")&amp;IF(G682="","Category, ","")&amp;IF(H682="","HSN Code, ","")&amp;IF(Q682="","Qty, ","")&amp;IF(R682="","Purchase Rate, ","")&amp;IF(S682="","MRP, ",""))&lt;&gt;"","Missing: "&amp;LEFT(IF(B682="","PO Ref, ","")&amp;IF(C682="","Vendor, ","")&amp;IF(D682="","Store, ","")&amp;IF(F682="","Product Type, ","")&amp;IF(G682="","Category, ","")&amp;IF(H682="","HSN Code, ","")&amp;IF(Q682="","Qty, ","")&amp;IF(R682="","Purchase Rate, ","")&amp;IF(S682="","MRP, ",""),LEN(IF(B682="","PO Ref, ","")&amp;IF(C682="","Vendor, ","")&amp;IF(D682="","Store, ","")&amp;IF(F682="","Product Type, ","")&amp;IF(G682="","Category, ","")&amp;IF(H682="","HSN Code, ","")&amp;IF(Q682="","Qty, ","")&amp;IF(R682="","Purchase Rate, ","")&amp;IF(S682="","MRP, ",""))-2),IF(COUNTIF(Vendors!$B$3:$B$202,C682)=0,"Add vendor "&amp;C682&amp;" on the Vendors sheet",IF(ISNA(MATCH(H682,Codes!$A$2:$A$13,0)),"Pick the HSN Code from the list",IF(AND(E682&lt;&gt;"",COUNTIFS($C$3:$C$1002,C682,$E$3:$E$1002,E682,$F$3:$F$1002,"&lt;&gt;"&amp;F682)+COUNTIFS($C$3:$C$1002,C682,$E$3:$E$1002,E682,$G$3:$G$1002,"&lt;&gt;"&amp;G682)&gt;0),"Design "&amp;E682&amp;" has another Product Type or Category on another row",IF(COUNTIFS($F$3:$F$1002,F682,$G$3:$G$1002,G682,$H$3:$H$1002,"&lt;&gt;"&amp;H682)&gt;0,F682&amp;" + "&amp;G682&amp;" has another HSN Code on another row",IF(AND(V682&lt;&gt;"",U682=""),"Received Qty needs the Vendor Invoice No",IF(AND(U682&lt;&gt;"",COUNTIFS(Bills!$B$3:$B$302,U682,Bills!$C$3:$C$302,C682)=0),"Add bill "&amp;U682&amp;" of "&amp;C682&amp;" on the Bills sheet",IF(S682&lt;R682,"MRP is below the Purchase Rate","OK")))))))))</f>
        <v/>
      </c>
      <c r="B682" s="29"/>
      <c r="C682" s="22"/>
      <c r="D682" s="22"/>
      <c r="E682" s="24"/>
      <c r="F682" s="22"/>
      <c r="G682" s="22"/>
      <c r="H682" s="22"/>
      <c r="I682" s="30" t="str">
        <f>IF(H682="","",IFERROR(INDEX(Codes!$B$2:$B$13,MATCH(H682,Codes!$A$2:$A$13,0)),""))</f>
        <v/>
      </c>
      <c r="J682" s="23"/>
      <c r="K682" s="23"/>
      <c r="L682" s="23"/>
      <c r="M682" s="23"/>
      <c r="N682" s="23"/>
      <c r="O682" s="23"/>
      <c r="P682" s="23"/>
      <c r="Q682" s="31"/>
      <c r="R682" s="32"/>
      <c r="S682" s="32"/>
      <c r="T682" s="33" t="str">
        <f t="shared" si="20"/>
        <v/>
      </c>
      <c r="U682" s="34"/>
      <c r="V682" s="35"/>
      <c r="W682" s="33" t="str">
        <f t="shared" si="21"/>
        <v/>
      </c>
    </row>
    <row r="683" spans="1:23" x14ac:dyDescent="0.35">
      <c r="A683" s="21" t="str">
        <f>IF(COUNTA(B683:H683,J683:S683,U683:V683)=0,"",IF((IF(B683="","PO Ref, ","")&amp;IF(C683="","Vendor, ","")&amp;IF(D683="","Store, ","")&amp;IF(F683="","Product Type, ","")&amp;IF(G683="","Category, ","")&amp;IF(H683="","HSN Code, ","")&amp;IF(Q683="","Qty, ","")&amp;IF(R683="","Purchase Rate, ","")&amp;IF(S683="","MRP, ",""))&lt;&gt;"","Missing: "&amp;LEFT(IF(B683="","PO Ref, ","")&amp;IF(C683="","Vendor, ","")&amp;IF(D683="","Store, ","")&amp;IF(F683="","Product Type, ","")&amp;IF(G683="","Category, ","")&amp;IF(H683="","HSN Code, ","")&amp;IF(Q683="","Qty, ","")&amp;IF(R683="","Purchase Rate, ","")&amp;IF(S683="","MRP, ",""),LEN(IF(B683="","PO Ref, ","")&amp;IF(C683="","Vendor, ","")&amp;IF(D683="","Store, ","")&amp;IF(F683="","Product Type, ","")&amp;IF(G683="","Category, ","")&amp;IF(H683="","HSN Code, ","")&amp;IF(Q683="","Qty, ","")&amp;IF(R683="","Purchase Rate, ","")&amp;IF(S683="","MRP, ",""))-2),IF(COUNTIF(Vendors!$B$3:$B$202,C683)=0,"Add vendor "&amp;C683&amp;" on the Vendors sheet",IF(ISNA(MATCH(H683,Codes!$A$2:$A$13,0)),"Pick the HSN Code from the list",IF(AND(E683&lt;&gt;"",COUNTIFS($C$3:$C$1002,C683,$E$3:$E$1002,E683,$F$3:$F$1002,"&lt;&gt;"&amp;F683)+COUNTIFS($C$3:$C$1002,C683,$E$3:$E$1002,E683,$G$3:$G$1002,"&lt;&gt;"&amp;G683)&gt;0),"Design "&amp;E683&amp;" has another Product Type or Category on another row",IF(COUNTIFS($F$3:$F$1002,F683,$G$3:$G$1002,G683,$H$3:$H$1002,"&lt;&gt;"&amp;H683)&gt;0,F683&amp;" + "&amp;G683&amp;" has another HSN Code on another row",IF(AND(V683&lt;&gt;"",U683=""),"Received Qty needs the Vendor Invoice No",IF(AND(U683&lt;&gt;"",COUNTIFS(Bills!$B$3:$B$302,U683,Bills!$C$3:$C$302,C683)=0),"Add bill "&amp;U683&amp;" of "&amp;C683&amp;" on the Bills sheet",IF(S683&lt;R683,"MRP is below the Purchase Rate","OK")))))))))</f>
        <v/>
      </c>
      <c r="B683" s="29"/>
      <c r="C683" s="22"/>
      <c r="D683" s="22"/>
      <c r="E683" s="24"/>
      <c r="F683" s="22"/>
      <c r="G683" s="22"/>
      <c r="H683" s="22"/>
      <c r="I683" s="30" t="str">
        <f>IF(H683="","",IFERROR(INDEX(Codes!$B$2:$B$13,MATCH(H683,Codes!$A$2:$A$13,0)),""))</f>
        <v/>
      </c>
      <c r="J683" s="23"/>
      <c r="K683" s="23"/>
      <c r="L683" s="23"/>
      <c r="M683" s="23"/>
      <c r="N683" s="23"/>
      <c r="O683" s="23"/>
      <c r="P683" s="23"/>
      <c r="Q683" s="31"/>
      <c r="R683" s="32"/>
      <c r="S683" s="32"/>
      <c r="T683" s="33" t="str">
        <f t="shared" si="20"/>
        <v/>
      </c>
      <c r="U683" s="34"/>
      <c r="V683" s="35"/>
      <c r="W683" s="33" t="str">
        <f t="shared" si="21"/>
        <v/>
      </c>
    </row>
    <row r="684" spans="1:23" x14ac:dyDescent="0.35">
      <c r="A684" s="21" t="str">
        <f>IF(COUNTA(B684:H684,J684:S684,U684:V684)=0,"",IF((IF(B684="","PO Ref, ","")&amp;IF(C684="","Vendor, ","")&amp;IF(D684="","Store, ","")&amp;IF(F684="","Product Type, ","")&amp;IF(G684="","Category, ","")&amp;IF(H684="","HSN Code, ","")&amp;IF(Q684="","Qty, ","")&amp;IF(R684="","Purchase Rate, ","")&amp;IF(S684="","MRP, ",""))&lt;&gt;"","Missing: "&amp;LEFT(IF(B684="","PO Ref, ","")&amp;IF(C684="","Vendor, ","")&amp;IF(D684="","Store, ","")&amp;IF(F684="","Product Type, ","")&amp;IF(G684="","Category, ","")&amp;IF(H684="","HSN Code, ","")&amp;IF(Q684="","Qty, ","")&amp;IF(R684="","Purchase Rate, ","")&amp;IF(S684="","MRP, ",""),LEN(IF(B684="","PO Ref, ","")&amp;IF(C684="","Vendor, ","")&amp;IF(D684="","Store, ","")&amp;IF(F684="","Product Type, ","")&amp;IF(G684="","Category, ","")&amp;IF(H684="","HSN Code, ","")&amp;IF(Q684="","Qty, ","")&amp;IF(R684="","Purchase Rate, ","")&amp;IF(S684="","MRP, ",""))-2),IF(COUNTIF(Vendors!$B$3:$B$202,C684)=0,"Add vendor "&amp;C684&amp;" on the Vendors sheet",IF(ISNA(MATCH(H684,Codes!$A$2:$A$13,0)),"Pick the HSN Code from the list",IF(AND(E684&lt;&gt;"",COUNTIFS($C$3:$C$1002,C684,$E$3:$E$1002,E684,$F$3:$F$1002,"&lt;&gt;"&amp;F684)+COUNTIFS($C$3:$C$1002,C684,$E$3:$E$1002,E684,$G$3:$G$1002,"&lt;&gt;"&amp;G684)&gt;0),"Design "&amp;E684&amp;" has another Product Type or Category on another row",IF(COUNTIFS($F$3:$F$1002,F684,$G$3:$G$1002,G684,$H$3:$H$1002,"&lt;&gt;"&amp;H684)&gt;0,F684&amp;" + "&amp;G684&amp;" has another HSN Code on another row",IF(AND(V684&lt;&gt;"",U684=""),"Received Qty needs the Vendor Invoice No",IF(AND(U684&lt;&gt;"",COUNTIFS(Bills!$B$3:$B$302,U684,Bills!$C$3:$C$302,C684)=0),"Add bill "&amp;U684&amp;" of "&amp;C684&amp;" on the Bills sheet",IF(S684&lt;R684,"MRP is below the Purchase Rate","OK")))))))))</f>
        <v/>
      </c>
      <c r="B684" s="29"/>
      <c r="C684" s="22"/>
      <c r="D684" s="22"/>
      <c r="E684" s="24"/>
      <c r="F684" s="22"/>
      <c r="G684" s="22"/>
      <c r="H684" s="22"/>
      <c r="I684" s="30" t="str">
        <f>IF(H684="","",IFERROR(INDEX(Codes!$B$2:$B$13,MATCH(H684,Codes!$A$2:$A$13,0)),""))</f>
        <v/>
      </c>
      <c r="J684" s="23"/>
      <c r="K684" s="23"/>
      <c r="L684" s="23"/>
      <c r="M684" s="23"/>
      <c r="N684" s="23"/>
      <c r="O684" s="23"/>
      <c r="P684" s="23"/>
      <c r="Q684" s="31"/>
      <c r="R684" s="32"/>
      <c r="S684" s="32"/>
      <c r="T684" s="33" t="str">
        <f t="shared" si="20"/>
        <v/>
      </c>
      <c r="U684" s="34"/>
      <c r="V684" s="35"/>
      <c r="W684" s="33" t="str">
        <f t="shared" si="21"/>
        <v/>
      </c>
    </row>
    <row r="685" spans="1:23" x14ac:dyDescent="0.35">
      <c r="A685" s="21" t="str">
        <f>IF(COUNTA(B685:H685,J685:S685,U685:V685)=0,"",IF((IF(B685="","PO Ref, ","")&amp;IF(C685="","Vendor, ","")&amp;IF(D685="","Store, ","")&amp;IF(F685="","Product Type, ","")&amp;IF(G685="","Category, ","")&amp;IF(H685="","HSN Code, ","")&amp;IF(Q685="","Qty, ","")&amp;IF(R685="","Purchase Rate, ","")&amp;IF(S685="","MRP, ",""))&lt;&gt;"","Missing: "&amp;LEFT(IF(B685="","PO Ref, ","")&amp;IF(C685="","Vendor, ","")&amp;IF(D685="","Store, ","")&amp;IF(F685="","Product Type, ","")&amp;IF(G685="","Category, ","")&amp;IF(H685="","HSN Code, ","")&amp;IF(Q685="","Qty, ","")&amp;IF(R685="","Purchase Rate, ","")&amp;IF(S685="","MRP, ",""),LEN(IF(B685="","PO Ref, ","")&amp;IF(C685="","Vendor, ","")&amp;IF(D685="","Store, ","")&amp;IF(F685="","Product Type, ","")&amp;IF(G685="","Category, ","")&amp;IF(H685="","HSN Code, ","")&amp;IF(Q685="","Qty, ","")&amp;IF(R685="","Purchase Rate, ","")&amp;IF(S685="","MRP, ",""))-2),IF(COUNTIF(Vendors!$B$3:$B$202,C685)=0,"Add vendor "&amp;C685&amp;" on the Vendors sheet",IF(ISNA(MATCH(H685,Codes!$A$2:$A$13,0)),"Pick the HSN Code from the list",IF(AND(E685&lt;&gt;"",COUNTIFS($C$3:$C$1002,C685,$E$3:$E$1002,E685,$F$3:$F$1002,"&lt;&gt;"&amp;F685)+COUNTIFS($C$3:$C$1002,C685,$E$3:$E$1002,E685,$G$3:$G$1002,"&lt;&gt;"&amp;G685)&gt;0),"Design "&amp;E685&amp;" has another Product Type or Category on another row",IF(COUNTIFS($F$3:$F$1002,F685,$G$3:$G$1002,G685,$H$3:$H$1002,"&lt;&gt;"&amp;H685)&gt;0,F685&amp;" + "&amp;G685&amp;" has another HSN Code on another row",IF(AND(V685&lt;&gt;"",U685=""),"Received Qty needs the Vendor Invoice No",IF(AND(U685&lt;&gt;"",COUNTIFS(Bills!$B$3:$B$302,U685,Bills!$C$3:$C$302,C685)=0),"Add bill "&amp;U685&amp;" of "&amp;C685&amp;" on the Bills sheet",IF(S685&lt;R685,"MRP is below the Purchase Rate","OK")))))))))</f>
        <v/>
      </c>
      <c r="B685" s="29"/>
      <c r="C685" s="22"/>
      <c r="D685" s="22"/>
      <c r="E685" s="24"/>
      <c r="F685" s="22"/>
      <c r="G685" s="22"/>
      <c r="H685" s="22"/>
      <c r="I685" s="30" t="str">
        <f>IF(H685="","",IFERROR(INDEX(Codes!$B$2:$B$13,MATCH(H685,Codes!$A$2:$A$13,0)),""))</f>
        <v/>
      </c>
      <c r="J685" s="23"/>
      <c r="K685" s="23"/>
      <c r="L685" s="23"/>
      <c r="M685" s="23"/>
      <c r="N685" s="23"/>
      <c r="O685" s="23"/>
      <c r="P685" s="23"/>
      <c r="Q685" s="31"/>
      <c r="R685" s="32"/>
      <c r="S685" s="32"/>
      <c r="T685" s="33" t="str">
        <f t="shared" si="20"/>
        <v/>
      </c>
      <c r="U685" s="34"/>
      <c r="V685" s="35"/>
      <c r="W685" s="33" t="str">
        <f t="shared" si="21"/>
        <v/>
      </c>
    </row>
    <row r="686" spans="1:23" x14ac:dyDescent="0.35">
      <c r="A686" s="21" t="str">
        <f>IF(COUNTA(B686:H686,J686:S686,U686:V686)=0,"",IF((IF(B686="","PO Ref, ","")&amp;IF(C686="","Vendor, ","")&amp;IF(D686="","Store, ","")&amp;IF(F686="","Product Type, ","")&amp;IF(G686="","Category, ","")&amp;IF(H686="","HSN Code, ","")&amp;IF(Q686="","Qty, ","")&amp;IF(R686="","Purchase Rate, ","")&amp;IF(S686="","MRP, ",""))&lt;&gt;"","Missing: "&amp;LEFT(IF(B686="","PO Ref, ","")&amp;IF(C686="","Vendor, ","")&amp;IF(D686="","Store, ","")&amp;IF(F686="","Product Type, ","")&amp;IF(G686="","Category, ","")&amp;IF(H686="","HSN Code, ","")&amp;IF(Q686="","Qty, ","")&amp;IF(R686="","Purchase Rate, ","")&amp;IF(S686="","MRP, ",""),LEN(IF(B686="","PO Ref, ","")&amp;IF(C686="","Vendor, ","")&amp;IF(D686="","Store, ","")&amp;IF(F686="","Product Type, ","")&amp;IF(G686="","Category, ","")&amp;IF(H686="","HSN Code, ","")&amp;IF(Q686="","Qty, ","")&amp;IF(R686="","Purchase Rate, ","")&amp;IF(S686="","MRP, ",""))-2),IF(COUNTIF(Vendors!$B$3:$B$202,C686)=0,"Add vendor "&amp;C686&amp;" on the Vendors sheet",IF(ISNA(MATCH(H686,Codes!$A$2:$A$13,0)),"Pick the HSN Code from the list",IF(AND(E686&lt;&gt;"",COUNTIFS($C$3:$C$1002,C686,$E$3:$E$1002,E686,$F$3:$F$1002,"&lt;&gt;"&amp;F686)+COUNTIFS($C$3:$C$1002,C686,$E$3:$E$1002,E686,$G$3:$G$1002,"&lt;&gt;"&amp;G686)&gt;0),"Design "&amp;E686&amp;" has another Product Type or Category on another row",IF(COUNTIFS($F$3:$F$1002,F686,$G$3:$G$1002,G686,$H$3:$H$1002,"&lt;&gt;"&amp;H686)&gt;0,F686&amp;" + "&amp;G686&amp;" has another HSN Code on another row",IF(AND(V686&lt;&gt;"",U686=""),"Received Qty needs the Vendor Invoice No",IF(AND(U686&lt;&gt;"",COUNTIFS(Bills!$B$3:$B$302,U686,Bills!$C$3:$C$302,C686)=0),"Add bill "&amp;U686&amp;" of "&amp;C686&amp;" on the Bills sheet",IF(S686&lt;R686,"MRP is below the Purchase Rate","OK")))))))))</f>
        <v/>
      </c>
      <c r="B686" s="29"/>
      <c r="C686" s="22"/>
      <c r="D686" s="22"/>
      <c r="E686" s="24"/>
      <c r="F686" s="22"/>
      <c r="G686" s="22"/>
      <c r="H686" s="22"/>
      <c r="I686" s="30" t="str">
        <f>IF(H686="","",IFERROR(INDEX(Codes!$B$2:$B$13,MATCH(H686,Codes!$A$2:$A$13,0)),""))</f>
        <v/>
      </c>
      <c r="J686" s="23"/>
      <c r="K686" s="23"/>
      <c r="L686" s="23"/>
      <c r="M686" s="23"/>
      <c r="N686" s="23"/>
      <c r="O686" s="23"/>
      <c r="P686" s="23"/>
      <c r="Q686" s="31"/>
      <c r="R686" s="32"/>
      <c r="S686" s="32"/>
      <c r="T686" s="33" t="str">
        <f t="shared" si="20"/>
        <v/>
      </c>
      <c r="U686" s="34"/>
      <c r="V686" s="35"/>
      <c r="W686" s="33" t="str">
        <f t="shared" si="21"/>
        <v/>
      </c>
    </row>
    <row r="687" spans="1:23" x14ac:dyDescent="0.35">
      <c r="A687" s="21" t="str">
        <f>IF(COUNTA(B687:H687,J687:S687,U687:V687)=0,"",IF((IF(B687="","PO Ref, ","")&amp;IF(C687="","Vendor, ","")&amp;IF(D687="","Store, ","")&amp;IF(F687="","Product Type, ","")&amp;IF(G687="","Category, ","")&amp;IF(H687="","HSN Code, ","")&amp;IF(Q687="","Qty, ","")&amp;IF(R687="","Purchase Rate, ","")&amp;IF(S687="","MRP, ",""))&lt;&gt;"","Missing: "&amp;LEFT(IF(B687="","PO Ref, ","")&amp;IF(C687="","Vendor, ","")&amp;IF(D687="","Store, ","")&amp;IF(F687="","Product Type, ","")&amp;IF(G687="","Category, ","")&amp;IF(H687="","HSN Code, ","")&amp;IF(Q687="","Qty, ","")&amp;IF(R687="","Purchase Rate, ","")&amp;IF(S687="","MRP, ",""),LEN(IF(B687="","PO Ref, ","")&amp;IF(C687="","Vendor, ","")&amp;IF(D687="","Store, ","")&amp;IF(F687="","Product Type, ","")&amp;IF(G687="","Category, ","")&amp;IF(H687="","HSN Code, ","")&amp;IF(Q687="","Qty, ","")&amp;IF(R687="","Purchase Rate, ","")&amp;IF(S687="","MRP, ",""))-2),IF(COUNTIF(Vendors!$B$3:$B$202,C687)=0,"Add vendor "&amp;C687&amp;" on the Vendors sheet",IF(ISNA(MATCH(H687,Codes!$A$2:$A$13,0)),"Pick the HSN Code from the list",IF(AND(E687&lt;&gt;"",COUNTIFS($C$3:$C$1002,C687,$E$3:$E$1002,E687,$F$3:$F$1002,"&lt;&gt;"&amp;F687)+COUNTIFS($C$3:$C$1002,C687,$E$3:$E$1002,E687,$G$3:$G$1002,"&lt;&gt;"&amp;G687)&gt;0),"Design "&amp;E687&amp;" has another Product Type or Category on another row",IF(COUNTIFS($F$3:$F$1002,F687,$G$3:$G$1002,G687,$H$3:$H$1002,"&lt;&gt;"&amp;H687)&gt;0,F687&amp;" + "&amp;G687&amp;" has another HSN Code on another row",IF(AND(V687&lt;&gt;"",U687=""),"Received Qty needs the Vendor Invoice No",IF(AND(U687&lt;&gt;"",COUNTIFS(Bills!$B$3:$B$302,U687,Bills!$C$3:$C$302,C687)=0),"Add bill "&amp;U687&amp;" of "&amp;C687&amp;" on the Bills sheet",IF(S687&lt;R687,"MRP is below the Purchase Rate","OK")))))))))</f>
        <v/>
      </c>
      <c r="B687" s="29"/>
      <c r="C687" s="22"/>
      <c r="D687" s="22"/>
      <c r="E687" s="24"/>
      <c r="F687" s="22"/>
      <c r="G687" s="22"/>
      <c r="H687" s="22"/>
      <c r="I687" s="30" t="str">
        <f>IF(H687="","",IFERROR(INDEX(Codes!$B$2:$B$13,MATCH(H687,Codes!$A$2:$A$13,0)),""))</f>
        <v/>
      </c>
      <c r="J687" s="23"/>
      <c r="K687" s="23"/>
      <c r="L687" s="23"/>
      <c r="M687" s="23"/>
      <c r="N687" s="23"/>
      <c r="O687" s="23"/>
      <c r="P687" s="23"/>
      <c r="Q687" s="31"/>
      <c r="R687" s="32"/>
      <c r="S687" s="32"/>
      <c r="T687" s="33" t="str">
        <f t="shared" si="20"/>
        <v/>
      </c>
      <c r="U687" s="34"/>
      <c r="V687" s="35"/>
      <c r="W687" s="33" t="str">
        <f t="shared" si="21"/>
        <v/>
      </c>
    </row>
    <row r="688" spans="1:23" x14ac:dyDescent="0.35">
      <c r="A688" s="21" t="str">
        <f>IF(COUNTA(B688:H688,J688:S688,U688:V688)=0,"",IF((IF(B688="","PO Ref, ","")&amp;IF(C688="","Vendor, ","")&amp;IF(D688="","Store, ","")&amp;IF(F688="","Product Type, ","")&amp;IF(G688="","Category, ","")&amp;IF(H688="","HSN Code, ","")&amp;IF(Q688="","Qty, ","")&amp;IF(R688="","Purchase Rate, ","")&amp;IF(S688="","MRP, ",""))&lt;&gt;"","Missing: "&amp;LEFT(IF(B688="","PO Ref, ","")&amp;IF(C688="","Vendor, ","")&amp;IF(D688="","Store, ","")&amp;IF(F688="","Product Type, ","")&amp;IF(G688="","Category, ","")&amp;IF(H688="","HSN Code, ","")&amp;IF(Q688="","Qty, ","")&amp;IF(R688="","Purchase Rate, ","")&amp;IF(S688="","MRP, ",""),LEN(IF(B688="","PO Ref, ","")&amp;IF(C688="","Vendor, ","")&amp;IF(D688="","Store, ","")&amp;IF(F688="","Product Type, ","")&amp;IF(G688="","Category, ","")&amp;IF(H688="","HSN Code, ","")&amp;IF(Q688="","Qty, ","")&amp;IF(R688="","Purchase Rate, ","")&amp;IF(S688="","MRP, ",""))-2),IF(COUNTIF(Vendors!$B$3:$B$202,C688)=0,"Add vendor "&amp;C688&amp;" on the Vendors sheet",IF(ISNA(MATCH(H688,Codes!$A$2:$A$13,0)),"Pick the HSN Code from the list",IF(AND(E688&lt;&gt;"",COUNTIFS($C$3:$C$1002,C688,$E$3:$E$1002,E688,$F$3:$F$1002,"&lt;&gt;"&amp;F688)+COUNTIFS($C$3:$C$1002,C688,$E$3:$E$1002,E688,$G$3:$G$1002,"&lt;&gt;"&amp;G688)&gt;0),"Design "&amp;E688&amp;" has another Product Type or Category on another row",IF(COUNTIFS($F$3:$F$1002,F688,$G$3:$G$1002,G688,$H$3:$H$1002,"&lt;&gt;"&amp;H688)&gt;0,F688&amp;" + "&amp;G688&amp;" has another HSN Code on another row",IF(AND(V688&lt;&gt;"",U688=""),"Received Qty needs the Vendor Invoice No",IF(AND(U688&lt;&gt;"",COUNTIFS(Bills!$B$3:$B$302,U688,Bills!$C$3:$C$302,C688)=0),"Add bill "&amp;U688&amp;" of "&amp;C688&amp;" on the Bills sheet",IF(S688&lt;R688,"MRP is below the Purchase Rate","OK")))))))))</f>
        <v/>
      </c>
      <c r="B688" s="29"/>
      <c r="C688" s="22"/>
      <c r="D688" s="22"/>
      <c r="E688" s="24"/>
      <c r="F688" s="22"/>
      <c r="G688" s="22"/>
      <c r="H688" s="22"/>
      <c r="I688" s="30" t="str">
        <f>IF(H688="","",IFERROR(INDEX(Codes!$B$2:$B$13,MATCH(H688,Codes!$A$2:$A$13,0)),""))</f>
        <v/>
      </c>
      <c r="J688" s="23"/>
      <c r="K688" s="23"/>
      <c r="L688" s="23"/>
      <c r="M688" s="23"/>
      <c r="N688" s="23"/>
      <c r="O688" s="23"/>
      <c r="P688" s="23"/>
      <c r="Q688" s="31"/>
      <c r="R688" s="32"/>
      <c r="S688" s="32"/>
      <c r="T688" s="33" t="str">
        <f t="shared" si="20"/>
        <v/>
      </c>
      <c r="U688" s="34"/>
      <c r="V688" s="35"/>
      <c r="W688" s="33" t="str">
        <f t="shared" si="21"/>
        <v/>
      </c>
    </row>
    <row r="689" spans="1:23" x14ac:dyDescent="0.35">
      <c r="A689" s="21" t="str">
        <f>IF(COUNTA(B689:H689,J689:S689,U689:V689)=0,"",IF((IF(B689="","PO Ref, ","")&amp;IF(C689="","Vendor, ","")&amp;IF(D689="","Store, ","")&amp;IF(F689="","Product Type, ","")&amp;IF(G689="","Category, ","")&amp;IF(H689="","HSN Code, ","")&amp;IF(Q689="","Qty, ","")&amp;IF(R689="","Purchase Rate, ","")&amp;IF(S689="","MRP, ",""))&lt;&gt;"","Missing: "&amp;LEFT(IF(B689="","PO Ref, ","")&amp;IF(C689="","Vendor, ","")&amp;IF(D689="","Store, ","")&amp;IF(F689="","Product Type, ","")&amp;IF(G689="","Category, ","")&amp;IF(H689="","HSN Code, ","")&amp;IF(Q689="","Qty, ","")&amp;IF(R689="","Purchase Rate, ","")&amp;IF(S689="","MRP, ",""),LEN(IF(B689="","PO Ref, ","")&amp;IF(C689="","Vendor, ","")&amp;IF(D689="","Store, ","")&amp;IF(F689="","Product Type, ","")&amp;IF(G689="","Category, ","")&amp;IF(H689="","HSN Code, ","")&amp;IF(Q689="","Qty, ","")&amp;IF(R689="","Purchase Rate, ","")&amp;IF(S689="","MRP, ",""))-2),IF(COUNTIF(Vendors!$B$3:$B$202,C689)=0,"Add vendor "&amp;C689&amp;" on the Vendors sheet",IF(ISNA(MATCH(H689,Codes!$A$2:$A$13,0)),"Pick the HSN Code from the list",IF(AND(E689&lt;&gt;"",COUNTIFS($C$3:$C$1002,C689,$E$3:$E$1002,E689,$F$3:$F$1002,"&lt;&gt;"&amp;F689)+COUNTIFS($C$3:$C$1002,C689,$E$3:$E$1002,E689,$G$3:$G$1002,"&lt;&gt;"&amp;G689)&gt;0),"Design "&amp;E689&amp;" has another Product Type or Category on another row",IF(COUNTIFS($F$3:$F$1002,F689,$G$3:$G$1002,G689,$H$3:$H$1002,"&lt;&gt;"&amp;H689)&gt;0,F689&amp;" + "&amp;G689&amp;" has another HSN Code on another row",IF(AND(V689&lt;&gt;"",U689=""),"Received Qty needs the Vendor Invoice No",IF(AND(U689&lt;&gt;"",COUNTIFS(Bills!$B$3:$B$302,U689,Bills!$C$3:$C$302,C689)=0),"Add bill "&amp;U689&amp;" of "&amp;C689&amp;" on the Bills sheet",IF(S689&lt;R689,"MRP is below the Purchase Rate","OK")))))))))</f>
        <v/>
      </c>
      <c r="B689" s="29"/>
      <c r="C689" s="22"/>
      <c r="D689" s="22"/>
      <c r="E689" s="24"/>
      <c r="F689" s="22"/>
      <c r="G689" s="22"/>
      <c r="H689" s="22"/>
      <c r="I689" s="30" t="str">
        <f>IF(H689="","",IFERROR(INDEX(Codes!$B$2:$B$13,MATCH(H689,Codes!$A$2:$A$13,0)),""))</f>
        <v/>
      </c>
      <c r="J689" s="23"/>
      <c r="K689" s="23"/>
      <c r="L689" s="23"/>
      <c r="M689" s="23"/>
      <c r="N689" s="23"/>
      <c r="O689" s="23"/>
      <c r="P689" s="23"/>
      <c r="Q689" s="31"/>
      <c r="R689" s="32"/>
      <c r="S689" s="32"/>
      <c r="T689" s="33" t="str">
        <f t="shared" si="20"/>
        <v/>
      </c>
      <c r="U689" s="34"/>
      <c r="V689" s="35"/>
      <c r="W689" s="33" t="str">
        <f t="shared" si="21"/>
        <v/>
      </c>
    </row>
    <row r="690" spans="1:23" x14ac:dyDescent="0.35">
      <c r="A690" s="21" t="str">
        <f>IF(COUNTA(B690:H690,J690:S690,U690:V690)=0,"",IF((IF(B690="","PO Ref, ","")&amp;IF(C690="","Vendor, ","")&amp;IF(D690="","Store, ","")&amp;IF(F690="","Product Type, ","")&amp;IF(G690="","Category, ","")&amp;IF(H690="","HSN Code, ","")&amp;IF(Q690="","Qty, ","")&amp;IF(R690="","Purchase Rate, ","")&amp;IF(S690="","MRP, ",""))&lt;&gt;"","Missing: "&amp;LEFT(IF(B690="","PO Ref, ","")&amp;IF(C690="","Vendor, ","")&amp;IF(D690="","Store, ","")&amp;IF(F690="","Product Type, ","")&amp;IF(G690="","Category, ","")&amp;IF(H690="","HSN Code, ","")&amp;IF(Q690="","Qty, ","")&amp;IF(R690="","Purchase Rate, ","")&amp;IF(S690="","MRP, ",""),LEN(IF(B690="","PO Ref, ","")&amp;IF(C690="","Vendor, ","")&amp;IF(D690="","Store, ","")&amp;IF(F690="","Product Type, ","")&amp;IF(G690="","Category, ","")&amp;IF(H690="","HSN Code, ","")&amp;IF(Q690="","Qty, ","")&amp;IF(R690="","Purchase Rate, ","")&amp;IF(S690="","MRP, ",""))-2),IF(COUNTIF(Vendors!$B$3:$B$202,C690)=0,"Add vendor "&amp;C690&amp;" on the Vendors sheet",IF(ISNA(MATCH(H690,Codes!$A$2:$A$13,0)),"Pick the HSN Code from the list",IF(AND(E690&lt;&gt;"",COUNTIFS($C$3:$C$1002,C690,$E$3:$E$1002,E690,$F$3:$F$1002,"&lt;&gt;"&amp;F690)+COUNTIFS($C$3:$C$1002,C690,$E$3:$E$1002,E690,$G$3:$G$1002,"&lt;&gt;"&amp;G690)&gt;0),"Design "&amp;E690&amp;" has another Product Type or Category on another row",IF(COUNTIFS($F$3:$F$1002,F690,$G$3:$G$1002,G690,$H$3:$H$1002,"&lt;&gt;"&amp;H690)&gt;0,F690&amp;" + "&amp;G690&amp;" has another HSN Code on another row",IF(AND(V690&lt;&gt;"",U690=""),"Received Qty needs the Vendor Invoice No",IF(AND(U690&lt;&gt;"",COUNTIFS(Bills!$B$3:$B$302,U690,Bills!$C$3:$C$302,C690)=0),"Add bill "&amp;U690&amp;" of "&amp;C690&amp;" on the Bills sheet",IF(S690&lt;R690,"MRP is below the Purchase Rate","OK")))))))))</f>
        <v/>
      </c>
      <c r="B690" s="29"/>
      <c r="C690" s="22"/>
      <c r="D690" s="22"/>
      <c r="E690" s="24"/>
      <c r="F690" s="22"/>
      <c r="G690" s="22"/>
      <c r="H690" s="22"/>
      <c r="I690" s="30" t="str">
        <f>IF(H690="","",IFERROR(INDEX(Codes!$B$2:$B$13,MATCH(H690,Codes!$A$2:$A$13,0)),""))</f>
        <v/>
      </c>
      <c r="J690" s="23"/>
      <c r="K690" s="23"/>
      <c r="L690" s="23"/>
      <c r="M690" s="23"/>
      <c r="N690" s="23"/>
      <c r="O690" s="23"/>
      <c r="P690" s="23"/>
      <c r="Q690" s="31"/>
      <c r="R690" s="32"/>
      <c r="S690" s="32"/>
      <c r="T690" s="33" t="str">
        <f t="shared" si="20"/>
        <v/>
      </c>
      <c r="U690" s="34"/>
      <c r="V690" s="35"/>
      <c r="W690" s="33" t="str">
        <f t="shared" si="21"/>
        <v/>
      </c>
    </row>
    <row r="691" spans="1:23" x14ac:dyDescent="0.35">
      <c r="A691" s="21" t="str">
        <f>IF(COUNTA(B691:H691,J691:S691,U691:V691)=0,"",IF((IF(B691="","PO Ref, ","")&amp;IF(C691="","Vendor, ","")&amp;IF(D691="","Store, ","")&amp;IF(F691="","Product Type, ","")&amp;IF(G691="","Category, ","")&amp;IF(H691="","HSN Code, ","")&amp;IF(Q691="","Qty, ","")&amp;IF(R691="","Purchase Rate, ","")&amp;IF(S691="","MRP, ",""))&lt;&gt;"","Missing: "&amp;LEFT(IF(B691="","PO Ref, ","")&amp;IF(C691="","Vendor, ","")&amp;IF(D691="","Store, ","")&amp;IF(F691="","Product Type, ","")&amp;IF(G691="","Category, ","")&amp;IF(H691="","HSN Code, ","")&amp;IF(Q691="","Qty, ","")&amp;IF(R691="","Purchase Rate, ","")&amp;IF(S691="","MRP, ",""),LEN(IF(B691="","PO Ref, ","")&amp;IF(C691="","Vendor, ","")&amp;IF(D691="","Store, ","")&amp;IF(F691="","Product Type, ","")&amp;IF(G691="","Category, ","")&amp;IF(H691="","HSN Code, ","")&amp;IF(Q691="","Qty, ","")&amp;IF(R691="","Purchase Rate, ","")&amp;IF(S691="","MRP, ",""))-2),IF(COUNTIF(Vendors!$B$3:$B$202,C691)=0,"Add vendor "&amp;C691&amp;" on the Vendors sheet",IF(ISNA(MATCH(H691,Codes!$A$2:$A$13,0)),"Pick the HSN Code from the list",IF(AND(E691&lt;&gt;"",COUNTIFS($C$3:$C$1002,C691,$E$3:$E$1002,E691,$F$3:$F$1002,"&lt;&gt;"&amp;F691)+COUNTIFS($C$3:$C$1002,C691,$E$3:$E$1002,E691,$G$3:$G$1002,"&lt;&gt;"&amp;G691)&gt;0),"Design "&amp;E691&amp;" has another Product Type or Category on another row",IF(COUNTIFS($F$3:$F$1002,F691,$G$3:$G$1002,G691,$H$3:$H$1002,"&lt;&gt;"&amp;H691)&gt;0,F691&amp;" + "&amp;G691&amp;" has another HSN Code on another row",IF(AND(V691&lt;&gt;"",U691=""),"Received Qty needs the Vendor Invoice No",IF(AND(U691&lt;&gt;"",COUNTIFS(Bills!$B$3:$B$302,U691,Bills!$C$3:$C$302,C691)=0),"Add bill "&amp;U691&amp;" of "&amp;C691&amp;" on the Bills sheet",IF(S691&lt;R691,"MRP is below the Purchase Rate","OK")))))))))</f>
        <v/>
      </c>
      <c r="B691" s="29"/>
      <c r="C691" s="22"/>
      <c r="D691" s="22"/>
      <c r="E691" s="24"/>
      <c r="F691" s="22"/>
      <c r="G691" s="22"/>
      <c r="H691" s="22"/>
      <c r="I691" s="30" t="str">
        <f>IF(H691="","",IFERROR(INDEX(Codes!$B$2:$B$13,MATCH(H691,Codes!$A$2:$A$13,0)),""))</f>
        <v/>
      </c>
      <c r="J691" s="23"/>
      <c r="K691" s="23"/>
      <c r="L691" s="23"/>
      <c r="M691" s="23"/>
      <c r="N691" s="23"/>
      <c r="O691" s="23"/>
      <c r="P691" s="23"/>
      <c r="Q691" s="31"/>
      <c r="R691" s="32"/>
      <c r="S691" s="32"/>
      <c r="T691" s="33" t="str">
        <f t="shared" si="20"/>
        <v/>
      </c>
      <c r="U691" s="34"/>
      <c r="V691" s="35"/>
      <c r="W691" s="33" t="str">
        <f t="shared" si="21"/>
        <v/>
      </c>
    </row>
    <row r="692" spans="1:23" x14ac:dyDescent="0.35">
      <c r="A692" s="21" t="str">
        <f>IF(COUNTA(B692:H692,J692:S692,U692:V692)=0,"",IF((IF(B692="","PO Ref, ","")&amp;IF(C692="","Vendor, ","")&amp;IF(D692="","Store, ","")&amp;IF(F692="","Product Type, ","")&amp;IF(G692="","Category, ","")&amp;IF(H692="","HSN Code, ","")&amp;IF(Q692="","Qty, ","")&amp;IF(R692="","Purchase Rate, ","")&amp;IF(S692="","MRP, ",""))&lt;&gt;"","Missing: "&amp;LEFT(IF(B692="","PO Ref, ","")&amp;IF(C692="","Vendor, ","")&amp;IF(D692="","Store, ","")&amp;IF(F692="","Product Type, ","")&amp;IF(G692="","Category, ","")&amp;IF(H692="","HSN Code, ","")&amp;IF(Q692="","Qty, ","")&amp;IF(R692="","Purchase Rate, ","")&amp;IF(S692="","MRP, ",""),LEN(IF(B692="","PO Ref, ","")&amp;IF(C692="","Vendor, ","")&amp;IF(D692="","Store, ","")&amp;IF(F692="","Product Type, ","")&amp;IF(G692="","Category, ","")&amp;IF(H692="","HSN Code, ","")&amp;IF(Q692="","Qty, ","")&amp;IF(R692="","Purchase Rate, ","")&amp;IF(S692="","MRP, ",""))-2),IF(COUNTIF(Vendors!$B$3:$B$202,C692)=0,"Add vendor "&amp;C692&amp;" on the Vendors sheet",IF(ISNA(MATCH(H692,Codes!$A$2:$A$13,0)),"Pick the HSN Code from the list",IF(AND(E692&lt;&gt;"",COUNTIFS($C$3:$C$1002,C692,$E$3:$E$1002,E692,$F$3:$F$1002,"&lt;&gt;"&amp;F692)+COUNTIFS($C$3:$C$1002,C692,$E$3:$E$1002,E692,$G$3:$G$1002,"&lt;&gt;"&amp;G692)&gt;0),"Design "&amp;E692&amp;" has another Product Type or Category on another row",IF(COUNTIFS($F$3:$F$1002,F692,$G$3:$G$1002,G692,$H$3:$H$1002,"&lt;&gt;"&amp;H692)&gt;0,F692&amp;" + "&amp;G692&amp;" has another HSN Code on another row",IF(AND(V692&lt;&gt;"",U692=""),"Received Qty needs the Vendor Invoice No",IF(AND(U692&lt;&gt;"",COUNTIFS(Bills!$B$3:$B$302,U692,Bills!$C$3:$C$302,C692)=0),"Add bill "&amp;U692&amp;" of "&amp;C692&amp;" on the Bills sheet",IF(S692&lt;R692,"MRP is below the Purchase Rate","OK")))))))))</f>
        <v/>
      </c>
      <c r="B692" s="29"/>
      <c r="C692" s="22"/>
      <c r="D692" s="22"/>
      <c r="E692" s="24"/>
      <c r="F692" s="22"/>
      <c r="G692" s="22"/>
      <c r="H692" s="22"/>
      <c r="I692" s="30" t="str">
        <f>IF(H692="","",IFERROR(INDEX(Codes!$B$2:$B$13,MATCH(H692,Codes!$A$2:$A$13,0)),""))</f>
        <v/>
      </c>
      <c r="J692" s="23"/>
      <c r="K692" s="23"/>
      <c r="L692" s="23"/>
      <c r="M692" s="23"/>
      <c r="N692" s="23"/>
      <c r="O692" s="23"/>
      <c r="P692" s="23"/>
      <c r="Q692" s="31"/>
      <c r="R692" s="32"/>
      <c r="S692" s="32"/>
      <c r="T692" s="33" t="str">
        <f t="shared" si="20"/>
        <v/>
      </c>
      <c r="U692" s="34"/>
      <c r="V692" s="35"/>
      <c r="W692" s="33" t="str">
        <f t="shared" si="21"/>
        <v/>
      </c>
    </row>
    <row r="693" spans="1:23" x14ac:dyDescent="0.35">
      <c r="A693" s="21" t="str">
        <f>IF(COUNTA(B693:H693,J693:S693,U693:V693)=0,"",IF((IF(B693="","PO Ref, ","")&amp;IF(C693="","Vendor, ","")&amp;IF(D693="","Store, ","")&amp;IF(F693="","Product Type, ","")&amp;IF(G693="","Category, ","")&amp;IF(H693="","HSN Code, ","")&amp;IF(Q693="","Qty, ","")&amp;IF(R693="","Purchase Rate, ","")&amp;IF(S693="","MRP, ",""))&lt;&gt;"","Missing: "&amp;LEFT(IF(B693="","PO Ref, ","")&amp;IF(C693="","Vendor, ","")&amp;IF(D693="","Store, ","")&amp;IF(F693="","Product Type, ","")&amp;IF(G693="","Category, ","")&amp;IF(H693="","HSN Code, ","")&amp;IF(Q693="","Qty, ","")&amp;IF(R693="","Purchase Rate, ","")&amp;IF(S693="","MRP, ",""),LEN(IF(B693="","PO Ref, ","")&amp;IF(C693="","Vendor, ","")&amp;IF(D693="","Store, ","")&amp;IF(F693="","Product Type, ","")&amp;IF(G693="","Category, ","")&amp;IF(H693="","HSN Code, ","")&amp;IF(Q693="","Qty, ","")&amp;IF(R693="","Purchase Rate, ","")&amp;IF(S693="","MRP, ",""))-2),IF(COUNTIF(Vendors!$B$3:$B$202,C693)=0,"Add vendor "&amp;C693&amp;" on the Vendors sheet",IF(ISNA(MATCH(H693,Codes!$A$2:$A$13,0)),"Pick the HSN Code from the list",IF(AND(E693&lt;&gt;"",COUNTIFS($C$3:$C$1002,C693,$E$3:$E$1002,E693,$F$3:$F$1002,"&lt;&gt;"&amp;F693)+COUNTIFS($C$3:$C$1002,C693,$E$3:$E$1002,E693,$G$3:$G$1002,"&lt;&gt;"&amp;G693)&gt;0),"Design "&amp;E693&amp;" has another Product Type or Category on another row",IF(COUNTIFS($F$3:$F$1002,F693,$G$3:$G$1002,G693,$H$3:$H$1002,"&lt;&gt;"&amp;H693)&gt;0,F693&amp;" + "&amp;G693&amp;" has another HSN Code on another row",IF(AND(V693&lt;&gt;"",U693=""),"Received Qty needs the Vendor Invoice No",IF(AND(U693&lt;&gt;"",COUNTIFS(Bills!$B$3:$B$302,U693,Bills!$C$3:$C$302,C693)=0),"Add bill "&amp;U693&amp;" of "&amp;C693&amp;" on the Bills sheet",IF(S693&lt;R693,"MRP is below the Purchase Rate","OK")))))))))</f>
        <v/>
      </c>
      <c r="B693" s="29"/>
      <c r="C693" s="22"/>
      <c r="D693" s="22"/>
      <c r="E693" s="24"/>
      <c r="F693" s="22"/>
      <c r="G693" s="22"/>
      <c r="H693" s="22"/>
      <c r="I693" s="30" t="str">
        <f>IF(H693="","",IFERROR(INDEX(Codes!$B$2:$B$13,MATCH(H693,Codes!$A$2:$A$13,0)),""))</f>
        <v/>
      </c>
      <c r="J693" s="23"/>
      <c r="K693" s="23"/>
      <c r="L693" s="23"/>
      <c r="M693" s="23"/>
      <c r="N693" s="23"/>
      <c r="O693" s="23"/>
      <c r="P693" s="23"/>
      <c r="Q693" s="31"/>
      <c r="R693" s="32"/>
      <c r="S693" s="32"/>
      <c r="T693" s="33" t="str">
        <f t="shared" si="20"/>
        <v/>
      </c>
      <c r="U693" s="34"/>
      <c r="V693" s="35"/>
      <c r="W693" s="33" t="str">
        <f t="shared" si="21"/>
        <v/>
      </c>
    </row>
    <row r="694" spans="1:23" x14ac:dyDescent="0.35">
      <c r="A694" s="21" t="str">
        <f>IF(COUNTA(B694:H694,J694:S694,U694:V694)=0,"",IF((IF(B694="","PO Ref, ","")&amp;IF(C694="","Vendor, ","")&amp;IF(D694="","Store, ","")&amp;IF(F694="","Product Type, ","")&amp;IF(G694="","Category, ","")&amp;IF(H694="","HSN Code, ","")&amp;IF(Q694="","Qty, ","")&amp;IF(R694="","Purchase Rate, ","")&amp;IF(S694="","MRP, ",""))&lt;&gt;"","Missing: "&amp;LEFT(IF(B694="","PO Ref, ","")&amp;IF(C694="","Vendor, ","")&amp;IF(D694="","Store, ","")&amp;IF(F694="","Product Type, ","")&amp;IF(G694="","Category, ","")&amp;IF(H694="","HSN Code, ","")&amp;IF(Q694="","Qty, ","")&amp;IF(R694="","Purchase Rate, ","")&amp;IF(S694="","MRP, ",""),LEN(IF(B694="","PO Ref, ","")&amp;IF(C694="","Vendor, ","")&amp;IF(D694="","Store, ","")&amp;IF(F694="","Product Type, ","")&amp;IF(G694="","Category, ","")&amp;IF(H694="","HSN Code, ","")&amp;IF(Q694="","Qty, ","")&amp;IF(R694="","Purchase Rate, ","")&amp;IF(S694="","MRP, ",""))-2),IF(COUNTIF(Vendors!$B$3:$B$202,C694)=0,"Add vendor "&amp;C694&amp;" on the Vendors sheet",IF(ISNA(MATCH(H694,Codes!$A$2:$A$13,0)),"Pick the HSN Code from the list",IF(AND(E694&lt;&gt;"",COUNTIFS($C$3:$C$1002,C694,$E$3:$E$1002,E694,$F$3:$F$1002,"&lt;&gt;"&amp;F694)+COUNTIFS($C$3:$C$1002,C694,$E$3:$E$1002,E694,$G$3:$G$1002,"&lt;&gt;"&amp;G694)&gt;0),"Design "&amp;E694&amp;" has another Product Type or Category on another row",IF(COUNTIFS($F$3:$F$1002,F694,$G$3:$G$1002,G694,$H$3:$H$1002,"&lt;&gt;"&amp;H694)&gt;0,F694&amp;" + "&amp;G694&amp;" has another HSN Code on another row",IF(AND(V694&lt;&gt;"",U694=""),"Received Qty needs the Vendor Invoice No",IF(AND(U694&lt;&gt;"",COUNTIFS(Bills!$B$3:$B$302,U694,Bills!$C$3:$C$302,C694)=0),"Add bill "&amp;U694&amp;" of "&amp;C694&amp;" on the Bills sheet",IF(S694&lt;R694,"MRP is below the Purchase Rate","OK")))))))))</f>
        <v/>
      </c>
      <c r="B694" s="29"/>
      <c r="C694" s="22"/>
      <c r="D694" s="22"/>
      <c r="E694" s="24"/>
      <c r="F694" s="22"/>
      <c r="G694" s="22"/>
      <c r="H694" s="22"/>
      <c r="I694" s="30" t="str">
        <f>IF(H694="","",IFERROR(INDEX(Codes!$B$2:$B$13,MATCH(H694,Codes!$A$2:$A$13,0)),""))</f>
        <v/>
      </c>
      <c r="J694" s="23"/>
      <c r="K694" s="23"/>
      <c r="L694" s="23"/>
      <c r="M694" s="23"/>
      <c r="N694" s="23"/>
      <c r="O694" s="23"/>
      <c r="P694" s="23"/>
      <c r="Q694" s="31"/>
      <c r="R694" s="32"/>
      <c r="S694" s="32"/>
      <c r="T694" s="33" t="str">
        <f t="shared" si="20"/>
        <v/>
      </c>
      <c r="U694" s="34"/>
      <c r="V694" s="35"/>
      <c r="W694" s="33" t="str">
        <f t="shared" si="21"/>
        <v/>
      </c>
    </row>
    <row r="695" spans="1:23" x14ac:dyDescent="0.35">
      <c r="A695" s="21" t="str">
        <f>IF(COUNTA(B695:H695,J695:S695,U695:V695)=0,"",IF((IF(B695="","PO Ref, ","")&amp;IF(C695="","Vendor, ","")&amp;IF(D695="","Store, ","")&amp;IF(F695="","Product Type, ","")&amp;IF(G695="","Category, ","")&amp;IF(H695="","HSN Code, ","")&amp;IF(Q695="","Qty, ","")&amp;IF(R695="","Purchase Rate, ","")&amp;IF(S695="","MRP, ",""))&lt;&gt;"","Missing: "&amp;LEFT(IF(B695="","PO Ref, ","")&amp;IF(C695="","Vendor, ","")&amp;IF(D695="","Store, ","")&amp;IF(F695="","Product Type, ","")&amp;IF(G695="","Category, ","")&amp;IF(H695="","HSN Code, ","")&amp;IF(Q695="","Qty, ","")&amp;IF(R695="","Purchase Rate, ","")&amp;IF(S695="","MRP, ",""),LEN(IF(B695="","PO Ref, ","")&amp;IF(C695="","Vendor, ","")&amp;IF(D695="","Store, ","")&amp;IF(F695="","Product Type, ","")&amp;IF(G695="","Category, ","")&amp;IF(H695="","HSN Code, ","")&amp;IF(Q695="","Qty, ","")&amp;IF(R695="","Purchase Rate, ","")&amp;IF(S695="","MRP, ",""))-2),IF(COUNTIF(Vendors!$B$3:$B$202,C695)=0,"Add vendor "&amp;C695&amp;" on the Vendors sheet",IF(ISNA(MATCH(H695,Codes!$A$2:$A$13,0)),"Pick the HSN Code from the list",IF(AND(E695&lt;&gt;"",COUNTIFS($C$3:$C$1002,C695,$E$3:$E$1002,E695,$F$3:$F$1002,"&lt;&gt;"&amp;F695)+COUNTIFS($C$3:$C$1002,C695,$E$3:$E$1002,E695,$G$3:$G$1002,"&lt;&gt;"&amp;G695)&gt;0),"Design "&amp;E695&amp;" has another Product Type or Category on another row",IF(COUNTIFS($F$3:$F$1002,F695,$G$3:$G$1002,G695,$H$3:$H$1002,"&lt;&gt;"&amp;H695)&gt;0,F695&amp;" + "&amp;G695&amp;" has another HSN Code on another row",IF(AND(V695&lt;&gt;"",U695=""),"Received Qty needs the Vendor Invoice No",IF(AND(U695&lt;&gt;"",COUNTIFS(Bills!$B$3:$B$302,U695,Bills!$C$3:$C$302,C695)=0),"Add bill "&amp;U695&amp;" of "&amp;C695&amp;" on the Bills sheet",IF(S695&lt;R695,"MRP is below the Purchase Rate","OK")))))))))</f>
        <v/>
      </c>
      <c r="B695" s="29"/>
      <c r="C695" s="22"/>
      <c r="D695" s="22"/>
      <c r="E695" s="24"/>
      <c r="F695" s="22"/>
      <c r="G695" s="22"/>
      <c r="H695" s="22"/>
      <c r="I695" s="30" t="str">
        <f>IF(H695="","",IFERROR(INDEX(Codes!$B$2:$B$13,MATCH(H695,Codes!$A$2:$A$13,0)),""))</f>
        <v/>
      </c>
      <c r="J695" s="23"/>
      <c r="K695" s="23"/>
      <c r="L695" s="23"/>
      <c r="M695" s="23"/>
      <c r="N695" s="23"/>
      <c r="O695" s="23"/>
      <c r="P695" s="23"/>
      <c r="Q695" s="31"/>
      <c r="R695" s="32"/>
      <c r="S695" s="32"/>
      <c r="T695" s="33" t="str">
        <f t="shared" si="20"/>
        <v/>
      </c>
      <c r="U695" s="34"/>
      <c r="V695" s="35"/>
      <c r="W695" s="33" t="str">
        <f t="shared" si="21"/>
        <v/>
      </c>
    </row>
    <row r="696" spans="1:23" x14ac:dyDescent="0.35">
      <c r="A696" s="21" t="str">
        <f>IF(COUNTA(B696:H696,J696:S696,U696:V696)=0,"",IF((IF(B696="","PO Ref, ","")&amp;IF(C696="","Vendor, ","")&amp;IF(D696="","Store, ","")&amp;IF(F696="","Product Type, ","")&amp;IF(G696="","Category, ","")&amp;IF(H696="","HSN Code, ","")&amp;IF(Q696="","Qty, ","")&amp;IF(R696="","Purchase Rate, ","")&amp;IF(S696="","MRP, ",""))&lt;&gt;"","Missing: "&amp;LEFT(IF(B696="","PO Ref, ","")&amp;IF(C696="","Vendor, ","")&amp;IF(D696="","Store, ","")&amp;IF(F696="","Product Type, ","")&amp;IF(G696="","Category, ","")&amp;IF(H696="","HSN Code, ","")&amp;IF(Q696="","Qty, ","")&amp;IF(R696="","Purchase Rate, ","")&amp;IF(S696="","MRP, ",""),LEN(IF(B696="","PO Ref, ","")&amp;IF(C696="","Vendor, ","")&amp;IF(D696="","Store, ","")&amp;IF(F696="","Product Type, ","")&amp;IF(G696="","Category, ","")&amp;IF(H696="","HSN Code, ","")&amp;IF(Q696="","Qty, ","")&amp;IF(R696="","Purchase Rate, ","")&amp;IF(S696="","MRP, ",""))-2),IF(COUNTIF(Vendors!$B$3:$B$202,C696)=0,"Add vendor "&amp;C696&amp;" on the Vendors sheet",IF(ISNA(MATCH(H696,Codes!$A$2:$A$13,0)),"Pick the HSN Code from the list",IF(AND(E696&lt;&gt;"",COUNTIFS($C$3:$C$1002,C696,$E$3:$E$1002,E696,$F$3:$F$1002,"&lt;&gt;"&amp;F696)+COUNTIFS($C$3:$C$1002,C696,$E$3:$E$1002,E696,$G$3:$G$1002,"&lt;&gt;"&amp;G696)&gt;0),"Design "&amp;E696&amp;" has another Product Type or Category on another row",IF(COUNTIFS($F$3:$F$1002,F696,$G$3:$G$1002,G696,$H$3:$H$1002,"&lt;&gt;"&amp;H696)&gt;0,F696&amp;" + "&amp;G696&amp;" has another HSN Code on another row",IF(AND(V696&lt;&gt;"",U696=""),"Received Qty needs the Vendor Invoice No",IF(AND(U696&lt;&gt;"",COUNTIFS(Bills!$B$3:$B$302,U696,Bills!$C$3:$C$302,C696)=0),"Add bill "&amp;U696&amp;" of "&amp;C696&amp;" on the Bills sheet",IF(S696&lt;R696,"MRP is below the Purchase Rate","OK")))))))))</f>
        <v/>
      </c>
      <c r="B696" s="29"/>
      <c r="C696" s="22"/>
      <c r="D696" s="22"/>
      <c r="E696" s="24"/>
      <c r="F696" s="22"/>
      <c r="G696" s="22"/>
      <c r="H696" s="22"/>
      <c r="I696" s="30" t="str">
        <f>IF(H696="","",IFERROR(INDEX(Codes!$B$2:$B$13,MATCH(H696,Codes!$A$2:$A$13,0)),""))</f>
        <v/>
      </c>
      <c r="J696" s="23"/>
      <c r="K696" s="23"/>
      <c r="L696" s="23"/>
      <c r="M696" s="23"/>
      <c r="N696" s="23"/>
      <c r="O696" s="23"/>
      <c r="P696" s="23"/>
      <c r="Q696" s="31"/>
      <c r="R696" s="32"/>
      <c r="S696" s="32"/>
      <c r="T696" s="33" t="str">
        <f t="shared" si="20"/>
        <v/>
      </c>
      <c r="U696" s="34"/>
      <c r="V696" s="35"/>
      <c r="W696" s="33" t="str">
        <f t="shared" si="21"/>
        <v/>
      </c>
    </row>
    <row r="697" spans="1:23" x14ac:dyDescent="0.35">
      <c r="A697" s="21" t="str">
        <f>IF(COUNTA(B697:H697,J697:S697,U697:V697)=0,"",IF((IF(B697="","PO Ref, ","")&amp;IF(C697="","Vendor, ","")&amp;IF(D697="","Store, ","")&amp;IF(F697="","Product Type, ","")&amp;IF(G697="","Category, ","")&amp;IF(H697="","HSN Code, ","")&amp;IF(Q697="","Qty, ","")&amp;IF(R697="","Purchase Rate, ","")&amp;IF(S697="","MRP, ",""))&lt;&gt;"","Missing: "&amp;LEFT(IF(B697="","PO Ref, ","")&amp;IF(C697="","Vendor, ","")&amp;IF(D697="","Store, ","")&amp;IF(F697="","Product Type, ","")&amp;IF(G697="","Category, ","")&amp;IF(H697="","HSN Code, ","")&amp;IF(Q697="","Qty, ","")&amp;IF(R697="","Purchase Rate, ","")&amp;IF(S697="","MRP, ",""),LEN(IF(B697="","PO Ref, ","")&amp;IF(C697="","Vendor, ","")&amp;IF(D697="","Store, ","")&amp;IF(F697="","Product Type, ","")&amp;IF(G697="","Category, ","")&amp;IF(H697="","HSN Code, ","")&amp;IF(Q697="","Qty, ","")&amp;IF(R697="","Purchase Rate, ","")&amp;IF(S697="","MRP, ",""))-2),IF(COUNTIF(Vendors!$B$3:$B$202,C697)=0,"Add vendor "&amp;C697&amp;" on the Vendors sheet",IF(ISNA(MATCH(H697,Codes!$A$2:$A$13,0)),"Pick the HSN Code from the list",IF(AND(E697&lt;&gt;"",COUNTIFS($C$3:$C$1002,C697,$E$3:$E$1002,E697,$F$3:$F$1002,"&lt;&gt;"&amp;F697)+COUNTIFS($C$3:$C$1002,C697,$E$3:$E$1002,E697,$G$3:$G$1002,"&lt;&gt;"&amp;G697)&gt;0),"Design "&amp;E697&amp;" has another Product Type or Category on another row",IF(COUNTIFS($F$3:$F$1002,F697,$G$3:$G$1002,G697,$H$3:$H$1002,"&lt;&gt;"&amp;H697)&gt;0,F697&amp;" + "&amp;G697&amp;" has another HSN Code on another row",IF(AND(V697&lt;&gt;"",U697=""),"Received Qty needs the Vendor Invoice No",IF(AND(U697&lt;&gt;"",COUNTIFS(Bills!$B$3:$B$302,U697,Bills!$C$3:$C$302,C697)=0),"Add bill "&amp;U697&amp;" of "&amp;C697&amp;" on the Bills sheet",IF(S697&lt;R697,"MRP is below the Purchase Rate","OK")))))))))</f>
        <v/>
      </c>
      <c r="B697" s="29"/>
      <c r="C697" s="22"/>
      <c r="D697" s="22"/>
      <c r="E697" s="24"/>
      <c r="F697" s="22"/>
      <c r="G697" s="22"/>
      <c r="H697" s="22"/>
      <c r="I697" s="30" t="str">
        <f>IF(H697="","",IFERROR(INDEX(Codes!$B$2:$B$13,MATCH(H697,Codes!$A$2:$A$13,0)),""))</f>
        <v/>
      </c>
      <c r="J697" s="23"/>
      <c r="K697" s="23"/>
      <c r="L697" s="23"/>
      <c r="M697" s="23"/>
      <c r="N697" s="23"/>
      <c r="O697" s="23"/>
      <c r="P697" s="23"/>
      <c r="Q697" s="31"/>
      <c r="R697" s="32"/>
      <c r="S697" s="32"/>
      <c r="T697" s="33" t="str">
        <f t="shared" si="20"/>
        <v/>
      </c>
      <c r="U697" s="34"/>
      <c r="V697" s="35"/>
      <c r="W697" s="33" t="str">
        <f t="shared" si="21"/>
        <v/>
      </c>
    </row>
    <row r="698" spans="1:23" x14ac:dyDescent="0.35">
      <c r="A698" s="21" t="str">
        <f>IF(COUNTA(B698:H698,J698:S698,U698:V698)=0,"",IF((IF(B698="","PO Ref, ","")&amp;IF(C698="","Vendor, ","")&amp;IF(D698="","Store, ","")&amp;IF(F698="","Product Type, ","")&amp;IF(G698="","Category, ","")&amp;IF(H698="","HSN Code, ","")&amp;IF(Q698="","Qty, ","")&amp;IF(R698="","Purchase Rate, ","")&amp;IF(S698="","MRP, ",""))&lt;&gt;"","Missing: "&amp;LEFT(IF(B698="","PO Ref, ","")&amp;IF(C698="","Vendor, ","")&amp;IF(D698="","Store, ","")&amp;IF(F698="","Product Type, ","")&amp;IF(G698="","Category, ","")&amp;IF(H698="","HSN Code, ","")&amp;IF(Q698="","Qty, ","")&amp;IF(R698="","Purchase Rate, ","")&amp;IF(S698="","MRP, ",""),LEN(IF(B698="","PO Ref, ","")&amp;IF(C698="","Vendor, ","")&amp;IF(D698="","Store, ","")&amp;IF(F698="","Product Type, ","")&amp;IF(G698="","Category, ","")&amp;IF(H698="","HSN Code, ","")&amp;IF(Q698="","Qty, ","")&amp;IF(R698="","Purchase Rate, ","")&amp;IF(S698="","MRP, ",""))-2),IF(COUNTIF(Vendors!$B$3:$B$202,C698)=0,"Add vendor "&amp;C698&amp;" on the Vendors sheet",IF(ISNA(MATCH(H698,Codes!$A$2:$A$13,0)),"Pick the HSN Code from the list",IF(AND(E698&lt;&gt;"",COUNTIFS($C$3:$C$1002,C698,$E$3:$E$1002,E698,$F$3:$F$1002,"&lt;&gt;"&amp;F698)+COUNTIFS($C$3:$C$1002,C698,$E$3:$E$1002,E698,$G$3:$G$1002,"&lt;&gt;"&amp;G698)&gt;0),"Design "&amp;E698&amp;" has another Product Type or Category on another row",IF(COUNTIFS($F$3:$F$1002,F698,$G$3:$G$1002,G698,$H$3:$H$1002,"&lt;&gt;"&amp;H698)&gt;0,F698&amp;" + "&amp;G698&amp;" has another HSN Code on another row",IF(AND(V698&lt;&gt;"",U698=""),"Received Qty needs the Vendor Invoice No",IF(AND(U698&lt;&gt;"",COUNTIFS(Bills!$B$3:$B$302,U698,Bills!$C$3:$C$302,C698)=0),"Add bill "&amp;U698&amp;" of "&amp;C698&amp;" on the Bills sheet",IF(S698&lt;R698,"MRP is below the Purchase Rate","OK")))))))))</f>
        <v/>
      </c>
      <c r="B698" s="29"/>
      <c r="C698" s="22"/>
      <c r="D698" s="22"/>
      <c r="E698" s="24"/>
      <c r="F698" s="22"/>
      <c r="G698" s="22"/>
      <c r="H698" s="22"/>
      <c r="I698" s="30" t="str">
        <f>IF(H698="","",IFERROR(INDEX(Codes!$B$2:$B$13,MATCH(H698,Codes!$A$2:$A$13,0)),""))</f>
        <v/>
      </c>
      <c r="J698" s="23"/>
      <c r="K698" s="23"/>
      <c r="L698" s="23"/>
      <c r="M698" s="23"/>
      <c r="N698" s="23"/>
      <c r="O698" s="23"/>
      <c r="P698" s="23"/>
      <c r="Q698" s="31"/>
      <c r="R698" s="32"/>
      <c r="S698" s="32"/>
      <c r="T698" s="33" t="str">
        <f t="shared" si="20"/>
        <v/>
      </c>
      <c r="U698" s="34"/>
      <c r="V698" s="35"/>
      <c r="W698" s="33" t="str">
        <f t="shared" si="21"/>
        <v/>
      </c>
    </row>
    <row r="699" spans="1:23" x14ac:dyDescent="0.35">
      <c r="A699" s="21" t="str">
        <f>IF(COUNTA(B699:H699,J699:S699,U699:V699)=0,"",IF((IF(B699="","PO Ref, ","")&amp;IF(C699="","Vendor, ","")&amp;IF(D699="","Store, ","")&amp;IF(F699="","Product Type, ","")&amp;IF(G699="","Category, ","")&amp;IF(H699="","HSN Code, ","")&amp;IF(Q699="","Qty, ","")&amp;IF(R699="","Purchase Rate, ","")&amp;IF(S699="","MRP, ",""))&lt;&gt;"","Missing: "&amp;LEFT(IF(B699="","PO Ref, ","")&amp;IF(C699="","Vendor, ","")&amp;IF(D699="","Store, ","")&amp;IF(F699="","Product Type, ","")&amp;IF(G699="","Category, ","")&amp;IF(H699="","HSN Code, ","")&amp;IF(Q699="","Qty, ","")&amp;IF(R699="","Purchase Rate, ","")&amp;IF(S699="","MRP, ",""),LEN(IF(B699="","PO Ref, ","")&amp;IF(C699="","Vendor, ","")&amp;IF(D699="","Store, ","")&amp;IF(F699="","Product Type, ","")&amp;IF(G699="","Category, ","")&amp;IF(H699="","HSN Code, ","")&amp;IF(Q699="","Qty, ","")&amp;IF(R699="","Purchase Rate, ","")&amp;IF(S699="","MRP, ",""))-2),IF(COUNTIF(Vendors!$B$3:$B$202,C699)=0,"Add vendor "&amp;C699&amp;" on the Vendors sheet",IF(ISNA(MATCH(H699,Codes!$A$2:$A$13,0)),"Pick the HSN Code from the list",IF(AND(E699&lt;&gt;"",COUNTIFS($C$3:$C$1002,C699,$E$3:$E$1002,E699,$F$3:$F$1002,"&lt;&gt;"&amp;F699)+COUNTIFS($C$3:$C$1002,C699,$E$3:$E$1002,E699,$G$3:$G$1002,"&lt;&gt;"&amp;G699)&gt;0),"Design "&amp;E699&amp;" has another Product Type or Category on another row",IF(COUNTIFS($F$3:$F$1002,F699,$G$3:$G$1002,G699,$H$3:$H$1002,"&lt;&gt;"&amp;H699)&gt;0,F699&amp;" + "&amp;G699&amp;" has another HSN Code on another row",IF(AND(V699&lt;&gt;"",U699=""),"Received Qty needs the Vendor Invoice No",IF(AND(U699&lt;&gt;"",COUNTIFS(Bills!$B$3:$B$302,U699,Bills!$C$3:$C$302,C699)=0),"Add bill "&amp;U699&amp;" of "&amp;C699&amp;" on the Bills sheet",IF(S699&lt;R699,"MRP is below the Purchase Rate","OK")))))))))</f>
        <v/>
      </c>
      <c r="B699" s="29"/>
      <c r="C699" s="22"/>
      <c r="D699" s="22"/>
      <c r="E699" s="24"/>
      <c r="F699" s="22"/>
      <c r="G699" s="22"/>
      <c r="H699" s="22"/>
      <c r="I699" s="30" t="str">
        <f>IF(H699="","",IFERROR(INDEX(Codes!$B$2:$B$13,MATCH(H699,Codes!$A$2:$A$13,0)),""))</f>
        <v/>
      </c>
      <c r="J699" s="23"/>
      <c r="K699" s="23"/>
      <c r="L699" s="23"/>
      <c r="M699" s="23"/>
      <c r="N699" s="23"/>
      <c r="O699" s="23"/>
      <c r="P699" s="23"/>
      <c r="Q699" s="31"/>
      <c r="R699" s="32"/>
      <c r="S699" s="32"/>
      <c r="T699" s="33" t="str">
        <f t="shared" si="20"/>
        <v/>
      </c>
      <c r="U699" s="34"/>
      <c r="V699" s="35"/>
      <c r="W699" s="33" t="str">
        <f t="shared" si="21"/>
        <v/>
      </c>
    </row>
    <row r="700" spans="1:23" x14ac:dyDescent="0.35">
      <c r="A700" s="21" t="str">
        <f>IF(COUNTA(B700:H700,J700:S700,U700:V700)=0,"",IF((IF(B700="","PO Ref, ","")&amp;IF(C700="","Vendor, ","")&amp;IF(D700="","Store, ","")&amp;IF(F700="","Product Type, ","")&amp;IF(G700="","Category, ","")&amp;IF(H700="","HSN Code, ","")&amp;IF(Q700="","Qty, ","")&amp;IF(R700="","Purchase Rate, ","")&amp;IF(S700="","MRP, ",""))&lt;&gt;"","Missing: "&amp;LEFT(IF(B700="","PO Ref, ","")&amp;IF(C700="","Vendor, ","")&amp;IF(D700="","Store, ","")&amp;IF(F700="","Product Type, ","")&amp;IF(G700="","Category, ","")&amp;IF(H700="","HSN Code, ","")&amp;IF(Q700="","Qty, ","")&amp;IF(R700="","Purchase Rate, ","")&amp;IF(S700="","MRP, ",""),LEN(IF(B700="","PO Ref, ","")&amp;IF(C700="","Vendor, ","")&amp;IF(D700="","Store, ","")&amp;IF(F700="","Product Type, ","")&amp;IF(G700="","Category, ","")&amp;IF(H700="","HSN Code, ","")&amp;IF(Q700="","Qty, ","")&amp;IF(R700="","Purchase Rate, ","")&amp;IF(S700="","MRP, ",""))-2),IF(COUNTIF(Vendors!$B$3:$B$202,C700)=0,"Add vendor "&amp;C700&amp;" on the Vendors sheet",IF(ISNA(MATCH(H700,Codes!$A$2:$A$13,0)),"Pick the HSN Code from the list",IF(AND(E700&lt;&gt;"",COUNTIFS($C$3:$C$1002,C700,$E$3:$E$1002,E700,$F$3:$F$1002,"&lt;&gt;"&amp;F700)+COUNTIFS($C$3:$C$1002,C700,$E$3:$E$1002,E700,$G$3:$G$1002,"&lt;&gt;"&amp;G700)&gt;0),"Design "&amp;E700&amp;" has another Product Type or Category on another row",IF(COUNTIFS($F$3:$F$1002,F700,$G$3:$G$1002,G700,$H$3:$H$1002,"&lt;&gt;"&amp;H700)&gt;0,F700&amp;" + "&amp;G700&amp;" has another HSN Code on another row",IF(AND(V700&lt;&gt;"",U700=""),"Received Qty needs the Vendor Invoice No",IF(AND(U700&lt;&gt;"",COUNTIFS(Bills!$B$3:$B$302,U700,Bills!$C$3:$C$302,C700)=0),"Add bill "&amp;U700&amp;" of "&amp;C700&amp;" on the Bills sheet",IF(S700&lt;R700,"MRP is below the Purchase Rate","OK")))))))))</f>
        <v/>
      </c>
      <c r="B700" s="29"/>
      <c r="C700" s="22"/>
      <c r="D700" s="22"/>
      <c r="E700" s="24"/>
      <c r="F700" s="22"/>
      <c r="G700" s="22"/>
      <c r="H700" s="22"/>
      <c r="I700" s="30" t="str">
        <f>IF(H700="","",IFERROR(INDEX(Codes!$B$2:$B$13,MATCH(H700,Codes!$A$2:$A$13,0)),""))</f>
        <v/>
      </c>
      <c r="J700" s="23"/>
      <c r="K700" s="23"/>
      <c r="L700" s="23"/>
      <c r="M700" s="23"/>
      <c r="N700" s="23"/>
      <c r="O700" s="23"/>
      <c r="P700" s="23"/>
      <c r="Q700" s="31"/>
      <c r="R700" s="32"/>
      <c r="S700" s="32"/>
      <c r="T700" s="33" t="str">
        <f t="shared" si="20"/>
        <v/>
      </c>
      <c r="U700" s="34"/>
      <c r="V700" s="35"/>
      <c r="W700" s="33" t="str">
        <f t="shared" si="21"/>
        <v/>
      </c>
    </row>
    <row r="701" spans="1:23" x14ac:dyDescent="0.35">
      <c r="A701" s="21" t="str">
        <f>IF(COUNTA(B701:H701,J701:S701,U701:V701)=0,"",IF((IF(B701="","PO Ref, ","")&amp;IF(C701="","Vendor, ","")&amp;IF(D701="","Store, ","")&amp;IF(F701="","Product Type, ","")&amp;IF(G701="","Category, ","")&amp;IF(H701="","HSN Code, ","")&amp;IF(Q701="","Qty, ","")&amp;IF(R701="","Purchase Rate, ","")&amp;IF(S701="","MRP, ",""))&lt;&gt;"","Missing: "&amp;LEFT(IF(B701="","PO Ref, ","")&amp;IF(C701="","Vendor, ","")&amp;IF(D701="","Store, ","")&amp;IF(F701="","Product Type, ","")&amp;IF(G701="","Category, ","")&amp;IF(H701="","HSN Code, ","")&amp;IF(Q701="","Qty, ","")&amp;IF(R701="","Purchase Rate, ","")&amp;IF(S701="","MRP, ",""),LEN(IF(B701="","PO Ref, ","")&amp;IF(C701="","Vendor, ","")&amp;IF(D701="","Store, ","")&amp;IF(F701="","Product Type, ","")&amp;IF(G701="","Category, ","")&amp;IF(H701="","HSN Code, ","")&amp;IF(Q701="","Qty, ","")&amp;IF(R701="","Purchase Rate, ","")&amp;IF(S701="","MRP, ",""))-2),IF(COUNTIF(Vendors!$B$3:$B$202,C701)=0,"Add vendor "&amp;C701&amp;" on the Vendors sheet",IF(ISNA(MATCH(H701,Codes!$A$2:$A$13,0)),"Pick the HSN Code from the list",IF(AND(E701&lt;&gt;"",COUNTIFS($C$3:$C$1002,C701,$E$3:$E$1002,E701,$F$3:$F$1002,"&lt;&gt;"&amp;F701)+COUNTIFS($C$3:$C$1002,C701,$E$3:$E$1002,E701,$G$3:$G$1002,"&lt;&gt;"&amp;G701)&gt;0),"Design "&amp;E701&amp;" has another Product Type or Category on another row",IF(COUNTIFS($F$3:$F$1002,F701,$G$3:$G$1002,G701,$H$3:$H$1002,"&lt;&gt;"&amp;H701)&gt;0,F701&amp;" + "&amp;G701&amp;" has another HSN Code on another row",IF(AND(V701&lt;&gt;"",U701=""),"Received Qty needs the Vendor Invoice No",IF(AND(U701&lt;&gt;"",COUNTIFS(Bills!$B$3:$B$302,U701,Bills!$C$3:$C$302,C701)=0),"Add bill "&amp;U701&amp;" of "&amp;C701&amp;" on the Bills sheet",IF(S701&lt;R701,"MRP is below the Purchase Rate","OK")))))))))</f>
        <v/>
      </c>
      <c r="B701" s="29"/>
      <c r="C701" s="22"/>
      <c r="D701" s="22"/>
      <c r="E701" s="24"/>
      <c r="F701" s="22"/>
      <c r="G701" s="22"/>
      <c r="H701" s="22"/>
      <c r="I701" s="30" t="str">
        <f>IF(H701="","",IFERROR(INDEX(Codes!$B$2:$B$13,MATCH(H701,Codes!$A$2:$A$13,0)),""))</f>
        <v/>
      </c>
      <c r="J701" s="23"/>
      <c r="K701" s="23"/>
      <c r="L701" s="23"/>
      <c r="M701" s="23"/>
      <c r="N701" s="23"/>
      <c r="O701" s="23"/>
      <c r="P701" s="23"/>
      <c r="Q701" s="31"/>
      <c r="R701" s="32"/>
      <c r="S701" s="32"/>
      <c r="T701" s="33" t="str">
        <f t="shared" si="20"/>
        <v/>
      </c>
      <c r="U701" s="34"/>
      <c r="V701" s="35"/>
      <c r="W701" s="33" t="str">
        <f t="shared" si="21"/>
        <v/>
      </c>
    </row>
    <row r="702" spans="1:23" x14ac:dyDescent="0.35">
      <c r="A702" s="21" t="str">
        <f>IF(COUNTA(B702:H702,J702:S702,U702:V702)=0,"",IF((IF(B702="","PO Ref, ","")&amp;IF(C702="","Vendor, ","")&amp;IF(D702="","Store, ","")&amp;IF(F702="","Product Type, ","")&amp;IF(G702="","Category, ","")&amp;IF(H702="","HSN Code, ","")&amp;IF(Q702="","Qty, ","")&amp;IF(R702="","Purchase Rate, ","")&amp;IF(S702="","MRP, ",""))&lt;&gt;"","Missing: "&amp;LEFT(IF(B702="","PO Ref, ","")&amp;IF(C702="","Vendor, ","")&amp;IF(D702="","Store, ","")&amp;IF(F702="","Product Type, ","")&amp;IF(G702="","Category, ","")&amp;IF(H702="","HSN Code, ","")&amp;IF(Q702="","Qty, ","")&amp;IF(R702="","Purchase Rate, ","")&amp;IF(S702="","MRP, ",""),LEN(IF(B702="","PO Ref, ","")&amp;IF(C702="","Vendor, ","")&amp;IF(D702="","Store, ","")&amp;IF(F702="","Product Type, ","")&amp;IF(G702="","Category, ","")&amp;IF(H702="","HSN Code, ","")&amp;IF(Q702="","Qty, ","")&amp;IF(R702="","Purchase Rate, ","")&amp;IF(S702="","MRP, ",""))-2),IF(COUNTIF(Vendors!$B$3:$B$202,C702)=0,"Add vendor "&amp;C702&amp;" on the Vendors sheet",IF(ISNA(MATCH(H702,Codes!$A$2:$A$13,0)),"Pick the HSN Code from the list",IF(AND(E702&lt;&gt;"",COUNTIFS($C$3:$C$1002,C702,$E$3:$E$1002,E702,$F$3:$F$1002,"&lt;&gt;"&amp;F702)+COUNTIFS($C$3:$C$1002,C702,$E$3:$E$1002,E702,$G$3:$G$1002,"&lt;&gt;"&amp;G702)&gt;0),"Design "&amp;E702&amp;" has another Product Type or Category on another row",IF(COUNTIFS($F$3:$F$1002,F702,$G$3:$G$1002,G702,$H$3:$H$1002,"&lt;&gt;"&amp;H702)&gt;0,F702&amp;" + "&amp;G702&amp;" has another HSN Code on another row",IF(AND(V702&lt;&gt;"",U702=""),"Received Qty needs the Vendor Invoice No",IF(AND(U702&lt;&gt;"",COUNTIFS(Bills!$B$3:$B$302,U702,Bills!$C$3:$C$302,C702)=0),"Add bill "&amp;U702&amp;" of "&amp;C702&amp;" on the Bills sheet",IF(S702&lt;R702,"MRP is below the Purchase Rate","OK")))))))))</f>
        <v/>
      </c>
      <c r="B702" s="29"/>
      <c r="C702" s="22"/>
      <c r="D702" s="22"/>
      <c r="E702" s="24"/>
      <c r="F702" s="22"/>
      <c r="G702" s="22"/>
      <c r="H702" s="22"/>
      <c r="I702" s="30" t="str">
        <f>IF(H702="","",IFERROR(INDEX(Codes!$B$2:$B$13,MATCH(H702,Codes!$A$2:$A$13,0)),""))</f>
        <v/>
      </c>
      <c r="J702" s="23"/>
      <c r="K702" s="23"/>
      <c r="L702" s="23"/>
      <c r="M702" s="23"/>
      <c r="N702" s="23"/>
      <c r="O702" s="23"/>
      <c r="P702" s="23"/>
      <c r="Q702" s="31"/>
      <c r="R702" s="32"/>
      <c r="S702" s="32"/>
      <c r="T702" s="33" t="str">
        <f t="shared" si="20"/>
        <v/>
      </c>
      <c r="U702" s="34"/>
      <c r="V702" s="35"/>
      <c r="W702" s="33" t="str">
        <f t="shared" si="21"/>
        <v/>
      </c>
    </row>
    <row r="703" spans="1:23" x14ac:dyDescent="0.35">
      <c r="A703" s="21" t="str">
        <f>IF(COUNTA(B703:H703,J703:S703,U703:V703)=0,"",IF((IF(B703="","PO Ref, ","")&amp;IF(C703="","Vendor, ","")&amp;IF(D703="","Store, ","")&amp;IF(F703="","Product Type, ","")&amp;IF(G703="","Category, ","")&amp;IF(H703="","HSN Code, ","")&amp;IF(Q703="","Qty, ","")&amp;IF(R703="","Purchase Rate, ","")&amp;IF(S703="","MRP, ",""))&lt;&gt;"","Missing: "&amp;LEFT(IF(B703="","PO Ref, ","")&amp;IF(C703="","Vendor, ","")&amp;IF(D703="","Store, ","")&amp;IF(F703="","Product Type, ","")&amp;IF(G703="","Category, ","")&amp;IF(H703="","HSN Code, ","")&amp;IF(Q703="","Qty, ","")&amp;IF(R703="","Purchase Rate, ","")&amp;IF(S703="","MRP, ",""),LEN(IF(B703="","PO Ref, ","")&amp;IF(C703="","Vendor, ","")&amp;IF(D703="","Store, ","")&amp;IF(F703="","Product Type, ","")&amp;IF(G703="","Category, ","")&amp;IF(H703="","HSN Code, ","")&amp;IF(Q703="","Qty, ","")&amp;IF(R703="","Purchase Rate, ","")&amp;IF(S703="","MRP, ",""))-2),IF(COUNTIF(Vendors!$B$3:$B$202,C703)=0,"Add vendor "&amp;C703&amp;" on the Vendors sheet",IF(ISNA(MATCH(H703,Codes!$A$2:$A$13,0)),"Pick the HSN Code from the list",IF(AND(E703&lt;&gt;"",COUNTIFS($C$3:$C$1002,C703,$E$3:$E$1002,E703,$F$3:$F$1002,"&lt;&gt;"&amp;F703)+COUNTIFS($C$3:$C$1002,C703,$E$3:$E$1002,E703,$G$3:$G$1002,"&lt;&gt;"&amp;G703)&gt;0),"Design "&amp;E703&amp;" has another Product Type or Category on another row",IF(COUNTIFS($F$3:$F$1002,F703,$G$3:$G$1002,G703,$H$3:$H$1002,"&lt;&gt;"&amp;H703)&gt;0,F703&amp;" + "&amp;G703&amp;" has another HSN Code on another row",IF(AND(V703&lt;&gt;"",U703=""),"Received Qty needs the Vendor Invoice No",IF(AND(U703&lt;&gt;"",COUNTIFS(Bills!$B$3:$B$302,U703,Bills!$C$3:$C$302,C703)=0),"Add bill "&amp;U703&amp;" of "&amp;C703&amp;" on the Bills sheet",IF(S703&lt;R703,"MRP is below the Purchase Rate","OK")))))))))</f>
        <v/>
      </c>
      <c r="B703" s="29"/>
      <c r="C703" s="22"/>
      <c r="D703" s="22"/>
      <c r="E703" s="24"/>
      <c r="F703" s="22"/>
      <c r="G703" s="22"/>
      <c r="H703" s="22"/>
      <c r="I703" s="30" t="str">
        <f>IF(H703="","",IFERROR(INDEX(Codes!$B$2:$B$13,MATCH(H703,Codes!$A$2:$A$13,0)),""))</f>
        <v/>
      </c>
      <c r="J703" s="23"/>
      <c r="K703" s="23"/>
      <c r="L703" s="23"/>
      <c r="M703" s="23"/>
      <c r="N703" s="23"/>
      <c r="O703" s="23"/>
      <c r="P703" s="23"/>
      <c r="Q703" s="31"/>
      <c r="R703" s="32"/>
      <c r="S703" s="32"/>
      <c r="T703" s="33" t="str">
        <f t="shared" si="20"/>
        <v/>
      </c>
      <c r="U703" s="34"/>
      <c r="V703" s="35"/>
      <c r="W703" s="33" t="str">
        <f t="shared" si="21"/>
        <v/>
      </c>
    </row>
    <row r="704" spans="1:23" x14ac:dyDescent="0.35">
      <c r="A704" s="21" t="str">
        <f>IF(COUNTA(B704:H704,J704:S704,U704:V704)=0,"",IF((IF(B704="","PO Ref, ","")&amp;IF(C704="","Vendor, ","")&amp;IF(D704="","Store, ","")&amp;IF(F704="","Product Type, ","")&amp;IF(G704="","Category, ","")&amp;IF(H704="","HSN Code, ","")&amp;IF(Q704="","Qty, ","")&amp;IF(R704="","Purchase Rate, ","")&amp;IF(S704="","MRP, ",""))&lt;&gt;"","Missing: "&amp;LEFT(IF(B704="","PO Ref, ","")&amp;IF(C704="","Vendor, ","")&amp;IF(D704="","Store, ","")&amp;IF(F704="","Product Type, ","")&amp;IF(G704="","Category, ","")&amp;IF(H704="","HSN Code, ","")&amp;IF(Q704="","Qty, ","")&amp;IF(R704="","Purchase Rate, ","")&amp;IF(S704="","MRP, ",""),LEN(IF(B704="","PO Ref, ","")&amp;IF(C704="","Vendor, ","")&amp;IF(D704="","Store, ","")&amp;IF(F704="","Product Type, ","")&amp;IF(G704="","Category, ","")&amp;IF(H704="","HSN Code, ","")&amp;IF(Q704="","Qty, ","")&amp;IF(R704="","Purchase Rate, ","")&amp;IF(S704="","MRP, ",""))-2),IF(COUNTIF(Vendors!$B$3:$B$202,C704)=0,"Add vendor "&amp;C704&amp;" on the Vendors sheet",IF(ISNA(MATCH(H704,Codes!$A$2:$A$13,0)),"Pick the HSN Code from the list",IF(AND(E704&lt;&gt;"",COUNTIFS($C$3:$C$1002,C704,$E$3:$E$1002,E704,$F$3:$F$1002,"&lt;&gt;"&amp;F704)+COUNTIFS($C$3:$C$1002,C704,$E$3:$E$1002,E704,$G$3:$G$1002,"&lt;&gt;"&amp;G704)&gt;0),"Design "&amp;E704&amp;" has another Product Type or Category on another row",IF(COUNTIFS($F$3:$F$1002,F704,$G$3:$G$1002,G704,$H$3:$H$1002,"&lt;&gt;"&amp;H704)&gt;0,F704&amp;" + "&amp;G704&amp;" has another HSN Code on another row",IF(AND(V704&lt;&gt;"",U704=""),"Received Qty needs the Vendor Invoice No",IF(AND(U704&lt;&gt;"",COUNTIFS(Bills!$B$3:$B$302,U704,Bills!$C$3:$C$302,C704)=0),"Add bill "&amp;U704&amp;" of "&amp;C704&amp;" on the Bills sheet",IF(S704&lt;R704,"MRP is below the Purchase Rate","OK")))))))))</f>
        <v/>
      </c>
      <c r="B704" s="29"/>
      <c r="C704" s="22"/>
      <c r="D704" s="22"/>
      <c r="E704" s="24"/>
      <c r="F704" s="22"/>
      <c r="G704" s="22"/>
      <c r="H704" s="22"/>
      <c r="I704" s="30" t="str">
        <f>IF(H704="","",IFERROR(INDEX(Codes!$B$2:$B$13,MATCH(H704,Codes!$A$2:$A$13,0)),""))</f>
        <v/>
      </c>
      <c r="J704" s="23"/>
      <c r="K704" s="23"/>
      <c r="L704" s="23"/>
      <c r="M704" s="23"/>
      <c r="N704" s="23"/>
      <c r="O704" s="23"/>
      <c r="P704" s="23"/>
      <c r="Q704" s="31"/>
      <c r="R704" s="32"/>
      <c r="S704" s="32"/>
      <c r="T704" s="33" t="str">
        <f t="shared" si="20"/>
        <v/>
      </c>
      <c r="U704" s="34"/>
      <c r="V704" s="35"/>
      <c r="W704" s="33" t="str">
        <f t="shared" si="21"/>
        <v/>
      </c>
    </row>
    <row r="705" spans="1:23" x14ac:dyDescent="0.35">
      <c r="A705" s="21" t="str">
        <f>IF(COUNTA(B705:H705,J705:S705,U705:V705)=0,"",IF((IF(B705="","PO Ref, ","")&amp;IF(C705="","Vendor, ","")&amp;IF(D705="","Store, ","")&amp;IF(F705="","Product Type, ","")&amp;IF(G705="","Category, ","")&amp;IF(H705="","HSN Code, ","")&amp;IF(Q705="","Qty, ","")&amp;IF(R705="","Purchase Rate, ","")&amp;IF(S705="","MRP, ",""))&lt;&gt;"","Missing: "&amp;LEFT(IF(B705="","PO Ref, ","")&amp;IF(C705="","Vendor, ","")&amp;IF(D705="","Store, ","")&amp;IF(F705="","Product Type, ","")&amp;IF(G705="","Category, ","")&amp;IF(H705="","HSN Code, ","")&amp;IF(Q705="","Qty, ","")&amp;IF(R705="","Purchase Rate, ","")&amp;IF(S705="","MRP, ",""),LEN(IF(B705="","PO Ref, ","")&amp;IF(C705="","Vendor, ","")&amp;IF(D705="","Store, ","")&amp;IF(F705="","Product Type, ","")&amp;IF(G705="","Category, ","")&amp;IF(H705="","HSN Code, ","")&amp;IF(Q705="","Qty, ","")&amp;IF(R705="","Purchase Rate, ","")&amp;IF(S705="","MRP, ",""))-2),IF(COUNTIF(Vendors!$B$3:$B$202,C705)=0,"Add vendor "&amp;C705&amp;" on the Vendors sheet",IF(ISNA(MATCH(H705,Codes!$A$2:$A$13,0)),"Pick the HSN Code from the list",IF(AND(E705&lt;&gt;"",COUNTIFS($C$3:$C$1002,C705,$E$3:$E$1002,E705,$F$3:$F$1002,"&lt;&gt;"&amp;F705)+COUNTIFS($C$3:$C$1002,C705,$E$3:$E$1002,E705,$G$3:$G$1002,"&lt;&gt;"&amp;G705)&gt;0),"Design "&amp;E705&amp;" has another Product Type or Category on another row",IF(COUNTIFS($F$3:$F$1002,F705,$G$3:$G$1002,G705,$H$3:$H$1002,"&lt;&gt;"&amp;H705)&gt;0,F705&amp;" + "&amp;G705&amp;" has another HSN Code on another row",IF(AND(V705&lt;&gt;"",U705=""),"Received Qty needs the Vendor Invoice No",IF(AND(U705&lt;&gt;"",COUNTIFS(Bills!$B$3:$B$302,U705,Bills!$C$3:$C$302,C705)=0),"Add bill "&amp;U705&amp;" of "&amp;C705&amp;" on the Bills sheet",IF(S705&lt;R705,"MRP is below the Purchase Rate","OK")))))))))</f>
        <v/>
      </c>
      <c r="B705" s="29"/>
      <c r="C705" s="22"/>
      <c r="D705" s="22"/>
      <c r="E705" s="24"/>
      <c r="F705" s="22"/>
      <c r="G705" s="22"/>
      <c r="H705" s="22"/>
      <c r="I705" s="30" t="str">
        <f>IF(H705="","",IFERROR(INDEX(Codes!$B$2:$B$13,MATCH(H705,Codes!$A$2:$A$13,0)),""))</f>
        <v/>
      </c>
      <c r="J705" s="23"/>
      <c r="K705" s="23"/>
      <c r="L705" s="23"/>
      <c r="M705" s="23"/>
      <c r="N705" s="23"/>
      <c r="O705" s="23"/>
      <c r="P705" s="23"/>
      <c r="Q705" s="31"/>
      <c r="R705" s="32"/>
      <c r="S705" s="32"/>
      <c r="T705" s="33" t="str">
        <f t="shared" si="20"/>
        <v/>
      </c>
      <c r="U705" s="34"/>
      <c r="V705" s="35"/>
      <c r="W705" s="33" t="str">
        <f t="shared" si="21"/>
        <v/>
      </c>
    </row>
    <row r="706" spans="1:23" x14ac:dyDescent="0.35">
      <c r="A706" s="21" t="str">
        <f>IF(COUNTA(B706:H706,J706:S706,U706:V706)=0,"",IF((IF(B706="","PO Ref, ","")&amp;IF(C706="","Vendor, ","")&amp;IF(D706="","Store, ","")&amp;IF(F706="","Product Type, ","")&amp;IF(G706="","Category, ","")&amp;IF(H706="","HSN Code, ","")&amp;IF(Q706="","Qty, ","")&amp;IF(R706="","Purchase Rate, ","")&amp;IF(S706="","MRP, ",""))&lt;&gt;"","Missing: "&amp;LEFT(IF(B706="","PO Ref, ","")&amp;IF(C706="","Vendor, ","")&amp;IF(D706="","Store, ","")&amp;IF(F706="","Product Type, ","")&amp;IF(G706="","Category, ","")&amp;IF(H706="","HSN Code, ","")&amp;IF(Q706="","Qty, ","")&amp;IF(R706="","Purchase Rate, ","")&amp;IF(S706="","MRP, ",""),LEN(IF(B706="","PO Ref, ","")&amp;IF(C706="","Vendor, ","")&amp;IF(D706="","Store, ","")&amp;IF(F706="","Product Type, ","")&amp;IF(G706="","Category, ","")&amp;IF(H706="","HSN Code, ","")&amp;IF(Q706="","Qty, ","")&amp;IF(R706="","Purchase Rate, ","")&amp;IF(S706="","MRP, ",""))-2),IF(COUNTIF(Vendors!$B$3:$B$202,C706)=0,"Add vendor "&amp;C706&amp;" on the Vendors sheet",IF(ISNA(MATCH(H706,Codes!$A$2:$A$13,0)),"Pick the HSN Code from the list",IF(AND(E706&lt;&gt;"",COUNTIFS($C$3:$C$1002,C706,$E$3:$E$1002,E706,$F$3:$F$1002,"&lt;&gt;"&amp;F706)+COUNTIFS($C$3:$C$1002,C706,$E$3:$E$1002,E706,$G$3:$G$1002,"&lt;&gt;"&amp;G706)&gt;0),"Design "&amp;E706&amp;" has another Product Type or Category on another row",IF(COUNTIFS($F$3:$F$1002,F706,$G$3:$G$1002,G706,$H$3:$H$1002,"&lt;&gt;"&amp;H706)&gt;0,F706&amp;" + "&amp;G706&amp;" has another HSN Code on another row",IF(AND(V706&lt;&gt;"",U706=""),"Received Qty needs the Vendor Invoice No",IF(AND(U706&lt;&gt;"",COUNTIFS(Bills!$B$3:$B$302,U706,Bills!$C$3:$C$302,C706)=0),"Add bill "&amp;U706&amp;" of "&amp;C706&amp;" on the Bills sheet",IF(S706&lt;R706,"MRP is below the Purchase Rate","OK")))))))))</f>
        <v/>
      </c>
      <c r="B706" s="29"/>
      <c r="C706" s="22"/>
      <c r="D706" s="22"/>
      <c r="E706" s="24"/>
      <c r="F706" s="22"/>
      <c r="G706" s="22"/>
      <c r="H706" s="22"/>
      <c r="I706" s="30" t="str">
        <f>IF(H706="","",IFERROR(INDEX(Codes!$B$2:$B$13,MATCH(H706,Codes!$A$2:$A$13,0)),""))</f>
        <v/>
      </c>
      <c r="J706" s="23"/>
      <c r="K706" s="23"/>
      <c r="L706" s="23"/>
      <c r="M706" s="23"/>
      <c r="N706" s="23"/>
      <c r="O706" s="23"/>
      <c r="P706" s="23"/>
      <c r="Q706" s="31"/>
      <c r="R706" s="32"/>
      <c r="S706" s="32"/>
      <c r="T706" s="33" t="str">
        <f t="shared" si="20"/>
        <v/>
      </c>
      <c r="U706" s="34"/>
      <c r="V706" s="35"/>
      <c r="W706" s="33" t="str">
        <f t="shared" si="21"/>
        <v/>
      </c>
    </row>
    <row r="707" spans="1:23" x14ac:dyDescent="0.35">
      <c r="A707" s="21" t="str">
        <f>IF(COUNTA(B707:H707,J707:S707,U707:V707)=0,"",IF((IF(B707="","PO Ref, ","")&amp;IF(C707="","Vendor, ","")&amp;IF(D707="","Store, ","")&amp;IF(F707="","Product Type, ","")&amp;IF(G707="","Category, ","")&amp;IF(H707="","HSN Code, ","")&amp;IF(Q707="","Qty, ","")&amp;IF(R707="","Purchase Rate, ","")&amp;IF(S707="","MRP, ",""))&lt;&gt;"","Missing: "&amp;LEFT(IF(B707="","PO Ref, ","")&amp;IF(C707="","Vendor, ","")&amp;IF(D707="","Store, ","")&amp;IF(F707="","Product Type, ","")&amp;IF(G707="","Category, ","")&amp;IF(H707="","HSN Code, ","")&amp;IF(Q707="","Qty, ","")&amp;IF(R707="","Purchase Rate, ","")&amp;IF(S707="","MRP, ",""),LEN(IF(B707="","PO Ref, ","")&amp;IF(C707="","Vendor, ","")&amp;IF(D707="","Store, ","")&amp;IF(F707="","Product Type, ","")&amp;IF(G707="","Category, ","")&amp;IF(H707="","HSN Code, ","")&amp;IF(Q707="","Qty, ","")&amp;IF(R707="","Purchase Rate, ","")&amp;IF(S707="","MRP, ",""))-2),IF(COUNTIF(Vendors!$B$3:$B$202,C707)=0,"Add vendor "&amp;C707&amp;" on the Vendors sheet",IF(ISNA(MATCH(H707,Codes!$A$2:$A$13,0)),"Pick the HSN Code from the list",IF(AND(E707&lt;&gt;"",COUNTIFS($C$3:$C$1002,C707,$E$3:$E$1002,E707,$F$3:$F$1002,"&lt;&gt;"&amp;F707)+COUNTIFS($C$3:$C$1002,C707,$E$3:$E$1002,E707,$G$3:$G$1002,"&lt;&gt;"&amp;G707)&gt;0),"Design "&amp;E707&amp;" has another Product Type or Category on another row",IF(COUNTIFS($F$3:$F$1002,F707,$G$3:$G$1002,G707,$H$3:$H$1002,"&lt;&gt;"&amp;H707)&gt;0,F707&amp;" + "&amp;G707&amp;" has another HSN Code on another row",IF(AND(V707&lt;&gt;"",U707=""),"Received Qty needs the Vendor Invoice No",IF(AND(U707&lt;&gt;"",COUNTIFS(Bills!$B$3:$B$302,U707,Bills!$C$3:$C$302,C707)=0),"Add bill "&amp;U707&amp;" of "&amp;C707&amp;" on the Bills sheet",IF(S707&lt;R707,"MRP is below the Purchase Rate","OK")))))))))</f>
        <v/>
      </c>
      <c r="B707" s="29"/>
      <c r="C707" s="22"/>
      <c r="D707" s="22"/>
      <c r="E707" s="24"/>
      <c r="F707" s="22"/>
      <c r="G707" s="22"/>
      <c r="H707" s="22"/>
      <c r="I707" s="30" t="str">
        <f>IF(H707="","",IFERROR(INDEX(Codes!$B$2:$B$13,MATCH(H707,Codes!$A$2:$A$13,0)),""))</f>
        <v/>
      </c>
      <c r="J707" s="23"/>
      <c r="K707" s="23"/>
      <c r="L707" s="23"/>
      <c r="M707" s="23"/>
      <c r="N707" s="23"/>
      <c r="O707" s="23"/>
      <c r="P707" s="23"/>
      <c r="Q707" s="31"/>
      <c r="R707" s="32"/>
      <c r="S707" s="32"/>
      <c r="T707" s="33" t="str">
        <f t="shared" ref="T707:T770" si="22">IF(OR(Q707="",R707=""),"",Q707*R707)</f>
        <v/>
      </c>
      <c r="U707" s="34"/>
      <c r="V707" s="35"/>
      <c r="W707" s="33" t="str">
        <f t="shared" ref="W707:W770" si="23">IF(OR(U707="",R707=""),"",IF(V707="",Q707,V707)*R707)</f>
        <v/>
      </c>
    </row>
    <row r="708" spans="1:23" x14ac:dyDescent="0.35">
      <c r="A708" s="21" t="str">
        <f>IF(COUNTA(B708:H708,J708:S708,U708:V708)=0,"",IF((IF(B708="","PO Ref, ","")&amp;IF(C708="","Vendor, ","")&amp;IF(D708="","Store, ","")&amp;IF(F708="","Product Type, ","")&amp;IF(G708="","Category, ","")&amp;IF(H708="","HSN Code, ","")&amp;IF(Q708="","Qty, ","")&amp;IF(R708="","Purchase Rate, ","")&amp;IF(S708="","MRP, ",""))&lt;&gt;"","Missing: "&amp;LEFT(IF(B708="","PO Ref, ","")&amp;IF(C708="","Vendor, ","")&amp;IF(D708="","Store, ","")&amp;IF(F708="","Product Type, ","")&amp;IF(G708="","Category, ","")&amp;IF(H708="","HSN Code, ","")&amp;IF(Q708="","Qty, ","")&amp;IF(R708="","Purchase Rate, ","")&amp;IF(S708="","MRP, ",""),LEN(IF(B708="","PO Ref, ","")&amp;IF(C708="","Vendor, ","")&amp;IF(D708="","Store, ","")&amp;IF(F708="","Product Type, ","")&amp;IF(G708="","Category, ","")&amp;IF(H708="","HSN Code, ","")&amp;IF(Q708="","Qty, ","")&amp;IF(R708="","Purchase Rate, ","")&amp;IF(S708="","MRP, ",""))-2),IF(COUNTIF(Vendors!$B$3:$B$202,C708)=0,"Add vendor "&amp;C708&amp;" on the Vendors sheet",IF(ISNA(MATCH(H708,Codes!$A$2:$A$13,0)),"Pick the HSN Code from the list",IF(AND(E708&lt;&gt;"",COUNTIFS($C$3:$C$1002,C708,$E$3:$E$1002,E708,$F$3:$F$1002,"&lt;&gt;"&amp;F708)+COUNTIFS($C$3:$C$1002,C708,$E$3:$E$1002,E708,$G$3:$G$1002,"&lt;&gt;"&amp;G708)&gt;0),"Design "&amp;E708&amp;" has another Product Type or Category on another row",IF(COUNTIFS($F$3:$F$1002,F708,$G$3:$G$1002,G708,$H$3:$H$1002,"&lt;&gt;"&amp;H708)&gt;0,F708&amp;" + "&amp;G708&amp;" has another HSN Code on another row",IF(AND(V708&lt;&gt;"",U708=""),"Received Qty needs the Vendor Invoice No",IF(AND(U708&lt;&gt;"",COUNTIFS(Bills!$B$3:$B$302,U708,Bills!$C$3:$C$302,C708)=0),"Add bill "&amp;U708&amp;" of "&amp;C708&amp;" on the Bills sheet",IF(S708&lt;R708,"MRP is below the Purchase Rate","OK")))))))))</f>
        <v/>
      </c>
      <c r="B708" s="29"/>
      <c r="C708" s="22"/>
      <c r="D708" s="22"/>
      <c r="E708" s="24"/>
      <c r="F708" s="22"/>
      <c r="G708" s="22"/>
      <c r="H708" s="22"/>
      <c r="I708" s="30" t="str">
        <f>IF(H708="","",IFERROR(INDEX(Codes!$B$2:$B$13,MATCH(H708,Codes!$A$2:$A$13,0)),""))</f>
        <v/>
      </c>
      <c r="J708" s="23"/>
      <c r="K708" s="23"/>
      <c r="L708" s="23"/>
      <c r="M708" s="23"/>
      <c r="N708" s="23"/>
      <c r="O708" s="23"/>
      <c r="P708" s="23"/>
      <c r="Q708" s="31"/>
      <c r="R708" s="32"/>
      <c r="S708" s="32"/>
      <c r="T708" s="33" t="str">
        <f t="shared" si="22"/>
        <v/>
      </c>
      <c r="U708" s="34"/>
      <c r="V708" s="35"/>
      <c r="W708" s="33" t="str">
        <f t="shared" si="23"/>
        <v/>
      </c>
    </row>
    <row r="709" spans="1:23" x14ac:dyDescent="0.35">
      <c r="A709" s="21" t="str">
        <f>IF(COUNTA(B709:H709,J709:S709,U709:V709)=0,"",IF((IF(B709="","PO Ref, ","")&amp;IF(C709="","Vendor, ","")&amp;IF(D709="","Store, ","")&amp;IF(F709="","Product Type, ","")&amp;IF(G709="","Category, ","")&amp;IF(H709="","HSN Code, ","")&amp;IF(Q709="","Qty, ","")&amp;IF(R709="","Purchase Rate, ","")&amp;IF(S709="","MRP, ",""))&lt;&gt;"","Missing: "&amp;LEFT(IF(B709="","PO Ref, ","")&amp;IF(C709="","Vendor, ","")&amp;IF(D709="","Store, ","")&amp;IF(F709="","Product Type, ","")&amp;IF(G709="","Category, ","")&amp;IF(H709="","HSN Code, ","")&amp;IF(Q709="","Qty, ","")&amp;IF(R709="","Purchase Rate, ","")&amp;IF(S709="","MRP, ",""),LEN(IF(B709="","PO Ref, ","")&amp;IF(C709="","Vendor, ","")&amp;IF(D709="","Store, ","")&amp;IF(F709="","Product Type, ","")&amp;IF(G709="","Category, ","")&amp;IF(H709="","HSN Code, ","")&amp;IF(Q709="","Qty, ","")&amp;IF(R709="","Purchase Rate, ","")&amp;IF(S709="","MRP, ",""))-2),IF(COUNTIF(Vendors!$B$3:$B$202,C709)=0,"Add vendor "&amp;C709&amp;" on the Vendors sheet",IF(ISNA(MATCH(H709,Codes!$A$2:$A$13,0)),"Pick the HSN Code from the list",IF(AND(E709&lt;&gt;"",COUNTIFS($C$3:$C$1002,C709,$E$3:$E$1002,E709,$F$3:$F$1002,"&lt;&gt;"&amp;F709)+COUNTIFS($C$3:$C$1002,C709,$E$3:$E$1002,E709,$G$3:$G$1002,"&lt;&gt;"&amp;G709)&gt;0),"Design "&amp;E709&amp;" has another Product Type or Category on another row",IF(COUNTIFS($F$3:$F$1002,F709,$G$3:$G$1002,G709,$H$3:$H$1002,"&lt;&gt;"&amp;H709)&gt;0,F709&amp;" + "&amp;G709&amp;" has another HSN Code on another row",IF(AND(V709&lt;&gt;"",U709=""),"Received Qty needs the Vendor Invoice No",IF(AND(U709&lt;&gt;"",COUNTIFS(Bills!$B$3:$B$302,U709,Bills!$C$3:$C$302,C709)=0),"Add bill "&amp;U709&amp;" of "&amp;C709&amp;" on the Bills sheet",IF(S709&lt;R709,"MRP is below the Purchase Rate","OK")))))))))</f>
        <v/>
      </c>
      <c r="B709" s="29"/>
      <c r="C709" s="22"/>
      <c r="D709" s="22"/>
      <c r="E709" s="24"/>
      <c r="F709" s="22"/>
      <c r="G709" s="22"/>
      <c r="H709" s="22"/>
      <c r="I709" s="30" t="str">
        <f>IF(H709="","",IFERROR(INDEX(Codes!$B$2:$B$13,MATCH(H709,Codes!$A$2:$A$13,0)),""))</f>
        <v/>
      </c>
      <c r="J709" s="23"/>
      <c r="K709" s="23"/>
      <c r="L709" s="23"/>
      <c r="M709" s="23"/>
      <c r="N709" s="23"/>
      <c r="O709" s="23"/>
      <c r="P709" s="23"/>
      <c r="Q709" s="31"/>
      <c r="R709" s="32"/>
      <c r="S709" s="32"/>
      <c r="T709" s="33" t="str">
        <f t="shared" si="22"/>
        <v/>
      </c>
      <c r="U709" s="34"/>
      <c r="V709" s="35"/>
      <c r="W709" s="33" t="str">
        <f t="shared" si="23"/>
        <v/>
      </c>
    </row>
    <row r="710" spans="1:23" x14ac:dyDescent="0.35">
      <c r="A710" s="21" t="str">
        <f>IF(COUNTA(B710:H710,J710:S710,U710:V710)=0,"",IF((IF(B710="","PO Ref, ","")&amp;IF(C710="","Vendor, ","")&amp;IF(D710="","Store, ","")&amp;IF(F710="","Product Type, ","")&amp;IF(G710="","Category, ","")&amp;IF(H710="","HSN Code, ","")&amp;IF(Q710="","Qty, ","")&amp;IF(R710="","Purchase Rate, ","")&amp;IF(S710="","MRP, ",""))&lt;&gt;"","Missing: "&amp;LEFT(IF(B710="","PO Ref, ","")&amp;IF(C710="","Vendor, ","")&amp;IF(D710="","Store, ","")&amp;IF(F710="","Product Type, ","")&amp;IF(G710="","Category, ","")&amp;IF(H710="","HSN Code, ","")&amp;IF(Q710="","Qty, ","")&amp;IF(R710="","Purchase Rate, ","")&amp;IF(S710="","MRP, ",""),LEN(IF(B710="","PO Ref, ","")&amp;IF(C710="","Vendor, ","")&amp;IF(D710="","Store, ","")&amp;IF(F710="","Product Type, ","")&amp;IF(G710="","Category, ","")&amp;IF(H710="","HSN Code, ","")&amp;IF(Q710="","Qty, ","")&amp;IF(R710="","Purchase Rate, ","")&amp;IF(S710="","MRP, ",""))-2),IF(COUNTIF(Vendors!$B$3:$B$202,C710)=0,"Add vendor "&amp;C710&amp;" on the Vendors sheet",IF(ISNA(MATCH(H710,Codes!$A$2:$A$13,0)),"Pick the HSN Code from the list",IF(AND(E710&lt;&gt;"",COUNTIFS($C$3:$C$1002,C710,$E$3:$E$1002,E710,$F$3:$F$1002,"&lt;&gt;"&amp;F710)+COUNTIFS($C$3:$C$1002,C710,$E$3:$E$1002,E710,$G$3:$G$1002,"&lt;&gt;"&amp;G710)&gt;0),"Design "&amp;E710&amp;" has another Product Type or Category on another row",IF(COUNTIFS($F$3:$F$1002,F710,$G$3:$G$1002,G710,$H$3:$H$1002,"&lt;&gt;"&amp;H710)&gt;0,F710&amp;" + "&amp;G710&amp;" has another HSN Code on another row",IF(AND(V710&lt;&gt;"",U710=""),"Received Qty needs the Vendor Invoice No",IF(AND(U710&lt;&gt;"",COUNTIFS(Bills!$B$3:$B$302,U710,Bills!$C$3:$C$302,C710)=0),"Add bill "&amp;U710&amp;" of "&amp;C710&amp;" on the Bills sheet",IF(S710&lt;R710,"MRP is below the Purchase Rate","OK")))))))))</f>
        <v/>
      </c>
      <c r="B710" s="29"/>
      <c r="C710" s="22"/>
      <c r="D710" s="22"/>
      <c r="E710" s="24"/>
      <c r="F710" s="22"/>
      <c r="G710" s="22"/>
      <c r="H710" s="22"/>
      <c r="I710" s="30" t="str">
        <f>IF(H710="","",IFERROR(INDEX(Codes!$B$2:$B$13,MATCH(H710,Codes!$A$2:$A$13,0)),""))</f>
        <v/>
      </c>
      <c r="J710" s="23"/>
      <c r="K710" s="23"/>
      <c r="L710" s="23"/>
      <c r="M710" s="23"/>
      <c r="N710" s="23"/>
      <c r="O710" s="23"/>
      <c r="P710" s="23"/>
      <c r="Q710" s="31"/>
      <c r="R710" s="32"/>
      <c r="S710" s="32"/>
      <c r="T710" s="33" t="str">
        <f t="shared" si="22"/>
        <v/>
      </c>
      <c r="U710" s="34"/>
      <c r="V710" s="35"/>
      <c r="W710" s="33" t="str">
        <f t="shared" si="23"/>
        <v/>
      </c>
    </row>
    <row r="711" spans="1:23" x14ac:dyDescent="0.35">
      <c r="A711" s="21" t="str">
        <f>IF(COUNTA(B711:H711,J711:S711,U711:V711)=0,"",IF((IF(B711="","PO Ref, ","")&amp;IF(C711="","Vendor, ","")&amp;IF(D711="","Store, ","")&amp;IF(F711="","Product Type, ","")&amp;IF(G711="","Category, ","")&amp;IF(H711="","HSN Code, ","")&amp;IF(Q711="","Qty, ","")&amp;IF(R711="","Purchase Rate, ","")&amp;IF(S711="","MRP, ",""))&lt;&gt;"","Missing: "&amp;LEFT(IF(B711="","PO Ref, ","")&amp;IF(C711="","Vendor, ","")&amp;IF(D711="","Store, ","")&amp;IF(F711="","Product Type, ","")&amp;IF(G711="","Category, ","")&amp;IF(H711="","HSN Code, ","")&amp;IF(Q711="","Qty, ","")&amp;IF(R711="","Purchase Rate, ","")&amp;IF(S711="","MRP, ",""),LEN(IF(B711="","PO Ref, ","")&amp;IF(C711="","Vendor, ","")&amp;IF(D711="","Store, ","")&amp;IF(F711="","Product Type, ","")&amp;IF(G711="","Category, ","")&amp;IF(H711="","HSN Code, ","")&amp;IF(Q711="","Qty, ","")&amp;IF(R711="","Purchase Rate, ","")&amp;IF(S711="","MRP, ",""))-2),IF(COUNTIF(Vendors!$B$3:$B$202,C711)=0,"Add vendor "&amp;C711&amp;" on the Vendors sheet",IF(ISNA(MATCH(H711,Codes!$A$2:$A$13,0)),"Pick the HSN Code from the list",IF(AND(E711&lt;&gt;"",COUNTIFS($C$3:$C$1002,C711,$E$3:$E$1002,E711,$F$3:$F$1002,"&lt;&gt;"&amp;F711)+COUNTIFS($C$3:$C$1002,C711,$E$3:$E$1002,E711,$G$3:$G$1002,"&lt;&gt;"&amp;G711)&gt;0),"Design "&amp;E711&amp;" has another Product Type or Category on another row",IF(COUNTIFS($F$3:$F$1002,F711,$G$3:$G$1002,G711,$H$3:$H$1002,"&lt;&gt;"&amp;H711)&gt;0,F711&amp;" + "&amp;G711&amp;" has another HSN Code on another row",IF(AND(V711&lt;&gt;"",U711=""),"Received Qty needs the Vendor Invoice No",IF(AND(U711&lt;&gt;"",COUNTIFS(Bills!$B$3:$B$302,U711,Bills!$C$3:$C$302,C711)=0),"Add bill "&amp;U711&amp;" of "&amp;C711&amp;" on the Bills sheet",IF(S711&lt;R711,"MRP is below the Purchase Rate","OK")))))))))</f>
        <v/>
      </c>
      <c r="B711" s="29"/>
      <c r="C711" s="22"/>
      <c r="D711" s="22"/>
      <c r="E711" s="24"/>
      <c r="F711" s="22"/>
      <c r="G711" s="22"/>
      <c r="H711" s="22"/>
      <c r="I711" s="30" t="str">
        <f>IF(H711="","",IFERROR(INDEX(Codes!$B$2:$B$13,MATCH(H711,Codes!$A$2:$A$13,0)),""))</f>
        <v/>
      </c>
      <c r="J711" s="23"/>
      <c r="K711" s="23"/>
      <c r="L711" s="23"/>
      <c r="M711" s="23"/>
      <c r="N711" s="23"/>
      <c r="O711" s="23"/>
      <c r="P711" s="23"/>
      <c r="Q711" s="31"/>
      <c r="R711" s="32"/>
      <c r="S711" s="32"/>
      <c r="T711" s="33" t="str">
        <f t="shared" si="22"/>
        <v/>
      </c>
      <c r="U711" s="34"/>
      <c r="V711" s="35"/>
      <c r="W711" s="33" t="str">
        <f t="shared" si="23"/>
        <v/>
      </c>
    </row>
    <row r="712" spans="1:23" x14ac:dyDescent="0.35">
      <c r="A712" s="21" t="str">
        <f>IF(COUNTA(B712:H712,J712:S712,U712:V712)=0,"",IF((IF(B712="","PO Ref, ","")&amp;IF(C712="","Vendor, ","")&amp;IF(D712="","Store, ","")&amp;IF(F712="","Product Type, ","")&amp;IF(G712="","Category, ","")&amp;IF(H712="","HSN Code, ","")&amp;IF(Q712="","Qty, ","")&amp;IF(R712="","Purchase Rate, ","")&amp;IF(S712="","MRP, ",""))&lt;&gt;"","Missing: "&amp;LEFT(IF(B712="","PO Ref, ","")&amp;IF(C712="","Vendor, ","")&amp;IF(D712="","Store, ","")&amp;IF(F712="","Product Type, ","")&amp;IF(G712="","Category, ","")&amp;IF(H712="","HSN Code, ","")&amp;IF(Q712="","Qty, ","")&amp;IF(R712="","Purchase Rate, ","")&amp;IF(S712="","MRP, ",""),LEN(IF(B712="","PO Ref, ","")&amp;IF(C712="","Vendor, ","")&amp;IF(D712="","Store, ","")&amp;IF(F712="","Product Type, ","")&amp;IF(G712="","Category, ","")&amp;IF(H712="","HSN Code, ","")&amp;IF(Q712="","Qty, ","")&amp;IF(R712="","Purchase Rate, ","")&amp;IF(S712="","MRP, ",""))-2),IF(COUNTIF(Vendors!$B$3:$B$202,C712)=0,"Add vendor "&amp;C712&amp;" on the Vendors sheet",IF(ISNA(MATCH(H712,Codes!$A$2:$A$13,0)),"Pick the HSN Code from the list",IF(AND(E712&lt;&gt;"",COUNTIFS($C$3:$C$1002,C712,$E$3:$E$1002,E712,$F$3:$F$1002,"&lt;&gt;"&amp;F712)+COUNTIFS($C$3:$C$1002,C712,$E$3:$E$1002,E712,$G$3:$G$1002,"&lt;&gt;"&amp;G712)&gt;0),"Design "&amp;E712&amp;" has another Product Type or Category on another row",IF(COUNTIFS($F$3:$F$1002,F712,$G$3:$G$1002,G712,$H$3:$H$1002,"&lt;&gt;"&amp;H712)&gt;0,F712&amp;" + "&amp;G712&amp;" has another HSN Code on another row",IF(AND(V712&lt;&gt;"",U712=""),"Received Qty needs the Vendor Invoice No",IF(AND(U712&lt;&gt;"",COUNTIFS(Bills!$B$3:$B$302,U712,Bills!$C$3:$C$302,C712)=0),"Add bill "&amp;U712&amp;" of "&amp;C712&amp;" on the Bills sheet",IF(S712&lt;R712,"MRP is below the Purchase Rate","OK")))))))))</f>
        <v/>
      </c>
      <c r="B712" s="29"/>
      <c r="C712" s="22"/>
      <c r="D712" s="22"/>
      <c r="E712" s="24"/>
      <c r="F712" s="22"/>
      <c r="G712" s="22"/>
      <c r="H712" s="22"/>
      <c r="I712" s="30" t="str">
        <f>IF(H712="","",IFERROR(INDEX(Codes!$B$2:$B$13,MATCH(H712,Codes!$A$2:$A$13,0)),""))</f>
        <v/>
      </c>
      <c r="J712" s="23"/>
      <c r="K712" s="23"/>
      <c r="L712" s="23"/>
      <c r="M712" s="23"/>
      <c r="N712" s="23"/>
      <c r="O712" s="23"/>
      <c r="P712" s="23"/>
      <c r="Q712" s="31"/>
      <c r="R712" s="32"/>
      <c r="S712" s="32"/>
      <c r="T712" s="33" t="str">
        <f t="shared" si="22"/>
        <v/>
      </c>
      <c r="U712" s="34"/>
      <c r="V712" s="35"/>
      <c r="W712" s="33" t="str">
        <f t="shared" si="23"/>
        <v/>
      </c>
    </row>
    <row r="713" spans="1:23" x14ac:dyDescent="0.35">
      <c r="A713" s="21" t="str">
        <f>IF(COUNTA(B713:H713,J713:S713,U713:V713)=0,"",IF((IF(B713="","PO Ref, ","")&amp;IF(C713="","Vendor, ","")&amp;IF(D713="","Store, ","")&amp;IF(F713="","Product Type, ","")&amp;IF(G713="","Category, ","")&amp;IF(H713="","HSN Code, ","")&amp;IF(Q713="","Qty, ","")&amp;IF(R713="","Purchase Rate, ","")&amp;IF(S713="","MRP, ",""))&lt;&gt;"","Missing: "&amp;LEFT(IF(B713="","PO Ref, ","")&amp;IF(C713="","Vendor, ","")&amp;IF(D713="","Store, ","")&amp;IF(F713="","Product Type, ","")&amp;IF(G713="","Category, ","")&amp;IF(H713="","HSN Code, ","")&amp;IF(Q713="","Qty, ","")&amp;IF(R713="","Purchase Rate, ","")&amp;IF(S713="","MRP, ",""),LEN(IF(B713="","PO Ref, ","")&amp;IF(C713="","Vendor, ","")&amp;IF(D713="","Store, ","")&amp;IF(F713="","Product Type, ","")&amp;IF(G713="","Category, ","")&amp;IF(H713="","HSN Code, ","")&amp;IF(Q713="","Qty, ","")&amp;IF(R713="","Purchase Rate, ","")&amp;IF(S713="","MRP, ",""))-2),IF(COUNTIF(Vendors!$B$3:$B$202,C713)=0,"Add vendor "&amp;C713&amp;" on the Vendors sheet",IF(ISNA(MATCH(H713,Codes!$A$2:$A$13,0)),"Pick the HSN Code from the list",IF(AND(E713&lt;&gt;"",COUNTIFS($C$3:$C$1002,C713,$E$3:$E$1002,E713,$F$3:$F$1002,"&lt;&gt;"&amp;F713)+COUNTIFS($C$3:$C$1002,C713,$E$3:$E$1002,E713,$G$3:$G$1002,"&lt;&gt;"&amp;G713)&gt;0),"Design "&amp;E713&amp;" has another Product Type or Category on another row",IF(COUNTIFS($F$3:$F$1002,F713,$G$3:$G$1002,G713,$H$3:$H$1002,"&lt;&gt;"&amp;H713)&gt;0,F713&amp;" + "&amp;G713&amp;" has another HSN Code on another row",IF(AND(V713&lt;&gt;"",U713=""),"Received Qty needs the Vendor Invoice No",IF(AND(U713&lt;&gt;"",COUNTIFS(Bills!$B$3:$B$302,U713,Bills!$C$3:$C$302,C713)=0),"Add bill "&amp;U713&amp;" of "&amp;C713&amp;" on the Bills sheet",IF(S713&lt;R713,"MRP is below the Purchase Rate","OK")))))))))</f>
        <v/>
      </c>
      <c r="B713" s="29"/>
      <c r="C713" s="22"/>
      <c r="D713" s="22"/>
      <c r="E713" s="24"/>
      <c r="F713" s="22"/>
      <c r="G713" s="22"/>
      <c r="H713" s="22"/>
      <c r="I713" s="30" t="str">
        <f>IF(H713="","",IFERROR(INDEX(Codes!$B$2:$B$13,MATCH(H713,Codes!$A$2:$A$13,0)),""))</f>
        <v/>
      </c>
      <c r="J713" s="23"/>
      <c r="K713" s="23"/>
      <c r="L713" s="23"/>
      <c r="M713" s="23"/>
      <c r="N713" s="23"/>
      <c r="O713" s="23"/>
      <c r="P713" s="23"/>
      <c r="Q713" s="31"/>
      <c r="R713" s="32"/>
      <c r="S713" s="32"/>
      <c r="T713" s="33" t="str">
        <f t="shared" si="22"/>
        <v/>
      </c>
      <c r="U713" s="34"/>
      <c r="V713" s="35"/>
      <c r="W713" s="33" t="str">
        <f t="shared" si="23"/>
        <v/>
      </c>
    </row>
    <row r="714" spans="1:23" x14ac:dyDescent="0.35">
      <c r="A714" s="21" t="str">
        <f>IF(COUNTA(B714:H714,J714:S714,U714:V714)=0,"",IF((IF(B714="","PO Ref, ","")&amp;IF(C714="","Vendor, ","")&amp;IF(D714="","Store, ","")&amp;IF(F714="","Product Type, ","")&amp;IF(G714="","Category, ","")&amp;IF(H714="","HSN Code, ","")&amp;IF(Q714="","Qty, ","")&amp;IF(R714="","Purchase Rate, ","")&amp;IF(S714="","MRP, ",""))&lt;&gt;"","Missing: "&amp;LEFT(IF(B714="","PO Ref, ","")&amp;IF(C714="","Vendor, ","")&amp;IF(D714="","Store, ","")&amp;IF(F714="","Product Type, ","")&amp;IF(G714="","Category, ","")&amp;IF(H714="","HSN Code, ","")&amp;IF(Q714="","Qty, ","")&amp;IF(R714="","Purchase Rate, ","")&amp;IF(S714="","MRP, ",""),LEN(IF(B714="","PO Ref, ","")&amp;IF(C714="","Vendor, ","")&amp;IF(D714="","Store, ","")&amp;IF(F714="","Product Type, ","")&amp;IF(G714="","Category, ","")&amp;IF(H714="","HSN Code, ","")&amp;IF(Q714="","Qty, ","")&amp;IF(R714="","Purchase Rate, ","")&amp;IF(S714="","MRP, ",""))-2),IF(COUNTIF(Vendors!$B$3:$B$202,C714)=0,"Add vendor "&amp;C714&amp;" on the Vendors sheet",IF(ISNA(MATCH(H714,Codes!$A$2:$A$13,0)),"Pick the HSN Code from the list",IF(AND(E714&lt;&gt;"",COUNTIFS($C$3:$C$1002,C714,$E$3:$E$1002,E714,$F$3:$F$1002,"&lt;&gt;"&amp;F714)+COUNTIFS($C$3:$C$1002,C714,$E$3:$E$1002,E714,$G$3:$G$1002,"&lt;&gt;"&amp;G714)&gt;0),"Design "&amp;E714&amp;" has another Product Type or Category on another row",IF(COUNTIFS($F$3:$F$1002,F714,$G$3:$G$1002,G714,$H$3:$H$1002,"&lt;&gt;"&amp;H714)&gt;0,F714&amp;" + "&amp;G714&amp;" has another HSN Code on another row",IF(AND(V714&lt;&gt;"",U714=""),"Received Qty needs the Vendor Invoice No",IF(AND(U714&lt;&gt;"",COUNTIFS(Bills!$B$3:$B$302,U714,Bills!$C$3:$C$302,C714)=0),"Add bill "&amp;U714&amp;" of "&amp;C714&amp;" on the Bills sheet",IF(S714&lt;R714,"MRP is below the Purchase Rate","OK")))))))))</f>
        <v/>
      </c>
      <c r="B714" s="29"/>
      <c r="C714" s="22"/>
      <c r="D714" s="22"/>
      <c r="E714" s="24"/>
      <c r="F714" s="22"/>
      <c r="G714" s="22"/>
      <c r="H714" s="22"/>
      <c r="I714" s="30" t="str">
        <f>IF(H714="","",IFERROR(INDEX(Codes!$B$2:$B$13,MATCH(H714,Codes!$A$2:$A$13,0)),""))</f>
        <v/>
      </c>
      <c r="J714" s="23"/>
      <c r="K714" s="23"/>
      <c r="L714" s="23"/>
      <c r="M714" s="23"/>
      <c r="N714" s="23"/>
      <c r="O714" s="23"/>
      <c r="P714" s="23"/>
      <c r="Q714" s="31"/>
      <c r="R714" s="32"/>
      <c r="S714" s="32"/>
      <c r="T714" s="33" t="str">
        <f t="shared" si="22"/>
        <v/>
      </c>
      <c r="U714" s="34"/>
      <c r="V714" s="35"/>
      <c r="W714" s="33" t="str">
        <f t="shared" si="23"/>
        <v/>
      </c>
    </row>
    <row r="715" spans="1:23" x14ac:dyDescent="0.35">
      <c r="A715" s="21" t="str">
        <f>IF(COUNTA(B715:H715,J715:S715,U715:V715)=0,"",IF((IF(B715="","PO Ref, ","")&amp;IF(C715="","Vendor, ","")&amp;IF(D715="","Store, ","")&amp;IF(F715="","Product Type, ","")&amp;IF(G715="","Category, ","")&amp;IF(H715="","HSN Code, ","")&amp;IF(Q715="","Qty, ","")&amp;IF(R715="","Purchase Rate, ","")&amp;IF(S715="","MRP, ",""))&lt;&gt;"","Missing: "&amp;LEFT(IF(B715="","PO Ref, ","")&amp;IF(C715="","Vendor, ","")&amp;IF(D715="","Store, ","")&amp;IF(F715="","Product Type, ","")&amp;IF(G715="","Category, ","")&amp;IF(H715="","HSN Code, ","")&amp;IF(Q715="","Qty, ","")&amp;IF(R715="","Purchase Rate, ","")&amp;IF(S715="","MRP, ",""),LEN(IF(B715="","PO Ref, ","")&amp;IF(C715="","Vendor, ","")&amp;IF(D715="","Store, ","")&amp;IF(F715="","Product Type, ","")&amp;IF(G715="","Category, ","")&amp;IF(H715="","HSN Code, ","")&amp;IF(Q715="","Qty, ","")&amp;IF(R715="","Purchase Rate, ","")&amp;IF(S715="","MRP, ",""))-2),IF(COUNTIF(Vendors!$B$3:$B$202,C715)=0,"Add vendor "&amp;C715&amp;" on the Vendors sheet",IF(ISNA(MATCH(H715,Codes!$A$2:$A$13,0)),"Pick the HSN Code from the list",IF(AND(E715&lt;&gt;"",COUNTIFS($C$3:$C$1002,C715,$E$3:$E$1002,E715,$F$3:$F$1002,"&lt;&gt;"&amp;F715)+COUNTIFS($C$3:$C$1002,C715,$E$3:$E$1002,E715,$G$3:$G$1002,"&lt;&gt;"&amp;G715)&gt;0),"Design "&amp;E715&amp;" has another Product Type or Category on another row",IF(COUNTIFS($F$3:$F$1002,F715,$G$3:$G$1002,G715,$H$3:$H$1002,"&lt;&gt;"&amp;H715)&gt;0,F715&amp;" + "&amp;G715&amp;" has another HSN Code on another row",IF(AND(V715&lt;&gt;"",U715=""),"Received Qty needs the Vendor Invoice No",IF(AND(U715&lt;&gt;"",COUNTIFS(Bills!$B$3:$B$302,U715,Bills!$C$3:$C$302,C715)=0),"Add bill "&amp;U715&amp;" of "&amp;C715&amp;" on the Bills sheet",IF(S715&lt;R715,"MRP is below the Purchase Rate","OK")))))))))</f>
        <v/>
      </c>
      <c r="B715" s="29"/>
      <c r="C715" s="22"/>
      <c r="D715" s="22"/>
      <c r="E715" s="24"/>
      <c r="F715" s="22"/>
      <c r="G715" s="22"/>
      <c r="H715" s="22"/>
      <c r="I715" s="30" t="str">
        <f>IF(H715="","",IFERROR(INDEX(Codes!$B$2:$B$13,MATCH(H715,Codes!$A$2:$A$13,0)),""))</f>
        <v/>
      </c>
      <c r="J715" s="23"/>
      <c r="K715" s="23"/>
      <c r="L715" s="23"/>
      <c r="M715" s="23"/>
      <c r="N715" s="23"/>
      <c r="O715" s="23"/>
      <c r="P715" s="23"/>
      <c r="Q715" s="31"/>
      <c r="R715" s="32"/>
      <c r="S715" s="32"/>
      <c r="T715" s="33" t="str">
        <f t="shared" si="22"/>
        <v/>
      </c>
      <c r="U715" s="34"/>
      <c r="V715" s="35"/>
      <c r="W715" s="33" t="str">
        <f t="shared" si="23"/>
        <v/>
      </c>
    </row>
    <row r="716" spans="1:23" x14ac:dyDescent="0.35">
      <c r="A716" s="21" t="str">
        <f>IF(COUNTA(B716:H716,J716:S716,U716:V716)=0,"",IF((IF(B716="","PO Ref, ","")&amp;IF(C716="","Vendor, ","")&amp;IF(D716="","Store, ","")&amp;IF(F716="","Product Type, ","")&amp;IF(G716="","Category, ","")&amp;IF(H716="","HSN Code, ","")&amp;IF(Q716="","Qty, ","")&amp;IF(R716="","Purchase Rate, ","")&amp;IF(S716="","MRP, ",""))&lt;&gt;"","Missing: "&amp;LEFT(IF(B716="","PO Ref, ","")&amp;IF(C716="","Vendor, ","")&amp;IF(D716="","Store, ","")&amp;IF(F716="","Product Type, ","")&amp;IF(G716="","Category, ","")&amp;IF(H716="","HSN Code, ","")&amp;IF(Q716="","Qty, ","")&amp;IF(R716="","Purchase Rate, ","")&amp;IF(S716="","MRP, ",""),LEN(IF(B716="","PO Ref, ","")&amp;IF(C716="","Vendor, ","")&amp;IF(D716="","Store, ","")&amp;IF(F716="","Product Type, ","")&amp;IF(G716="","Category, ","")&amp;IF(H716="","HSN Code, ","")&amp;IF(Q716="","Qty, ","")&amp;IF(R716="","Purchase Rate, ","")&amp;IF(S716="","MRP, ",""))-2),IF(COUNTIF(Vendors!$B$3:$B$202,C716)=0,"Add vendor "&amp;C716&amp;" on the Vendors sheet",IF(ISNA(MATCH(H716,Codes!$A$2:$A$13,0)),"Pick the HSN Code from the list",IF(AND(E716&lt;&gt;"",COUNTIFS($C$3:$C$1002,C716,$E$3:$E$1002,E716,$F$3:$F$1002,"&lt;&gt;"&amp;F716)+COUNTIFS($C$3:$C$1002,C716,$E$3:$E$1002,E716,$G$3:$G$1002,"&lt;&gt;"&amp;G716)&gt;0),"Design "&amp;E716&amp;" has another Product Type or Category on another row",IF(COUNTIFS($F$3:$F$1002,F716,$G$3:$G$1002,G716,$H$3:$H$1002,"&lt;&gt;"&amp;H716)&gt;0,F716&amp;" + "&amp;G716&amp;" has another HSN Code on another row",IF(AND(V716&lt;&gt;"",U716=""),"Received Qty needs the Vendor Invoice No",IF(AND(U716&lt;&gt;"",COUNTIFS(Bills!$B$3:$B$302,U716,Bills!$C$3:$C$302,C716)=0),"Add bill "&amp;U716&amp;" of "&amp;C716&amp;" on the Bills sheet",IF(S716&lt;R716,"MRP is below the Purchase Rate","OK")))))))))</f>
        <v/>
      </c>
      <c r="B716" s="29"/>
      <c r="C716" s="22"/>
      <c r="D716" s="22"/>
      <c r="E716" s="24"/>
      <c r="F716" s="22"/>
      <c r="G716" s="22"/>
      <c r="H716" s="22"/>
      <c r="I716" s="30" t="str">
        <f>IF(H716="","",IFERROR(INDEX(Codes!$B$2:$B$13,MATCH(H716,Codes!$A$2:$A$13,0)),""))</f>
        <v/>
      </c>
      <c r="J716" s="23"/>
      <c r="K716" s="23"/>
      <c r="L716" s="23"/>
      <c r="M716" s="23"/>
      <c r="N716" s="23"/>
      <c r="O716" s="23"/>
      <c r="P716" s="23"/>
      <c r="Q716" s="31"/>
      <c r="R716" s="32"/>
      <c r="S716" s="32"/>
      <c r="T716" s="33" t="str">
        <f t="shared" si="22"/>
        <v/>
      </c>
      <c r="U716" s="34"/>
      <c r="V716" s="35"/>
      <c r="W716" s="33" t="str">
        <f t="shared" si="23"/>
        <v/>
      </c>
    </row>
    <row r="717" spans="1:23" x14ac:dyDescent="0.35">
      <c r="A717" s="21" t="str">
        <f>IF(COUNTA(B717:H717,J717:S717,U717:V717)=0,"",IF((IF(B717="","PO Ref, ","")&amp;IF(C717="","Vendor, ","")&amp;IF(D717="","Store, ","")&amp;IF(F717="","Product Type, ","")&amp;IF(G717="","Category, ","")&amp;IF(H717="","HSN Code, ","")&amp;IF(Q717="","Qty, ","")&amp;IF(R717="","Purchase Rate, ","")&amp;IF(S717="","MRP, ",""))&lt;&gt;"","Missing: "&amp;LEFT(IF(B717="","PO Ref, ","")&amp;IF(C717="","Vendor, ","")&amp;IF(D717="","Store, ","")&amp;IF(F717="","Product Type, ","")&amp;IF(G717="","Category, ","")&amp;IF(H717="","HSN Code, ","")&amp;IF(Q717="","Qty, ","")&amp;IF(R717="","Purchase Rate, ","")&amp;IF(S717="","MRP, ",""),LEN(IF(B717="","PO Ref, ","")&amp;IF(C717="","Vendor, ","")&amp;IF(D717="","Store, ","")&amp;IF(F717="","Product Type, ","")&amp;IF(G717="","Category, ","")&amp;IF(H717="","HSN Code, ","")&amp;IF(Q717="","Qty, ","")&amp;IF(R717="","Purchase Rate, ","")&amp;IF(S717="","MRP, ",""))-2),IF(COUNTIF(Vendors!$B$3:$B$202,C717)=0,"Add vendor "&amp;C717&amp;" on the Vendors sheet",IF(ISNA(MATCH(H717,Codes!$A$2:$A$13,0)),"Pick the HSN Code from the list",IF(AND(E717&lt;&gt;"",COUNTIFS($C$3:$C$1002,C717,$E$3:$E$1002,E717,$F$3:$F$1002,"&lt;&gt;"&amp;F717)+COUNTIFS($C$3:$C$1002,C717,$E$3:$E$1002,E717,$G$3:$G$1002,"&lt;&gt;"&amp;G717)&gt;0),"Design "&amp;E717&amp;" has another Product Type or Category on another row",IF(COUNTIFS($F$3:$F$1002,F717,$G$3:$G$1002,G717,$H$3:$H$1002,"&lt;&gt;"&amp;H717)&gt;0,F717&amp;" + "&amp;G717&amp;" has another HSN Code on another row",IF(AND(V717&lt;&gt;"",U717=""),"Received Qty needs the Vendor Invoice No",IF(AND(U717&lt;&gt;"",COUNTIFS(Bills!$B$3:$B$302,U717,Bills!$C$3:$C$302,C717)=0),"Add bill "&amp;U717&amp;" of "&amp;C717&amp;" on the Bills sheet",IF(S717&lt;R717,"MRP is below the Purchase Rate","OK")))))))))</f>
        <v/>
      </c>
      <c r="B717" s="29"/>
      <c r="C717" s="22"/>
      <c r="D717" s="22"/>
      <c r="E717" s="24"/>
      <c r="F717" s="22"/>
      <c r="G717" s="22"/>
      <c r="H717" s="22"/>
      <c r="I717" s="30" t="str">
        <f>IF(H717="","",IFERROR(INDEX(Codes!$B$2:$B$13,MATCH(H717,Codes!$A$2:$A$13,0)),""))</f>
        <v/>
      </c>
      <c r="J717" s="23"/>
      <c r="K717" s="23"/>
      <c r="L717" s="23"/>
      <c r="M717" s="23"/>
      <c r="N717" s="23"/>
      <c r="O717" s="23"/>
      <c r="P717" s="23"/>
      <c r="Q717" s="31"/>
      <c r="R717" s="32"/>
      <c r="S717" s="32"/>
      <c r="T717" s="33" t="str">
        <f t="shared" si="22"/>
        <v/>
      </c>
      <c r="U717" s="34"/>
      <c r="V717" s="35"/>
      <c r="W717" s="33" t="str">
        <f t="shared" si="23"/>
        <v/>
      </c>
    </row>
    <row r="718" spans="1:23" x14ac:dyDescent="0.35">
      <c r="A718" s="21" t="str">
        <f>IF(COUNTA(B718:H718,J718:S718,U718:V718)=0,"",IF((IF(B718="","PO Ref, ","")&amp;IF(C718="","Vendor, ","")&amp;IF(D718="","Store, ","")&amp;IF(F718="","Product Type, ","")&amp;IF(G718="","Category, ","")&amp;IF(H718="","HSN Code, ","")&amp;IF(Q718="","Qty, ","")&amp;IF(R718="","Purchase Rate, ","")&amp;IF(S718="","MRP, ",""))&lt;&gt;"","Missing: "&amp;LEFT(IF(B718="","PO Ref, ","")&amp;IF(C718="","Vendor, ","")&amp;IF(D718="","Store, ","")&amp;IF(F718="","Product Type, ","")&amp;IF(G718="","Category, ","")&amp;IF(H718="","HSN Code, ","")&amp;IF(Q718="","Qty, ","")&amp;IF(R718="","Purchase Rate, ","")&amp;IF(S718="","MRP, ",""),LEN(IF(B718="","PO Ref, ","")&amp;IF(C718="","Vendor, ","")&amp;IF(D718="","Store, ","")&amp;IF(F718="","Product Type, ","")&amp;IF(G718="","Category, ","")&amp;IF(H718="","HSN Code, ","")&amp;IF(Q718="","Qty, ","")&amp;IF(R718="","Purchase Rate, ","")&amp;IF(S718="","MRP, ",""))-2),IF(COUNTIF(Vendors!$B$3:$B$202,C718)=0,"Add vendor "&amp;C718&amp;" on the Vendors sheet",IF(ISNA(MATCH(H718,Codes!$A$2:$A$13,0)),"Pick the HSN Code from the list",IF(AND(E718&lt;&gt;"",COUNTIFS($C$3:$C$1002,C718,$E$3:$E$1002,E718,$F$3:$F$1002,"&lt;&gt;"&amp;F718)+COUNTIFS($C$3:$C$1002,C718,$E$3:$E$1002,E718,$G$3:$G$1002,"&lt;&gt;"&amp;G718)&gt;0),"Design "&amp;E718&amp;" has another Product Type or Category on another row",IF(COUNTIFS($F$3:$F$1002,F718,$G$3:$G$1002,G718,$H$3:$H$1002,"&lt;&gt;"&amp;H718)&gt;0,F718&amp;" + "&amp;G718&amp;" has another HSN Code on another row",IF(AND(V718&lt;&gt;"",U718=""),"Received Qty needs the Vendor Invoice No",IF(AND(U718&lt;&gt;"",COUNTIFS(Bills!$B$3:$B$302,U718,Bills!$C$3:$C$302,C718)=0),"Add bill "&amp;U718&amp;" of "&amp;C718&amp;" on the Bills sheet",IF(S718&lt;R718,"MRP is below the Purchase Rate","OK")))))))))</f>
        <v/>
      </c>
      <c r="B718" s="29"/>
      <c r="C718" s="22"/>
      <c r="D718" s="22"/>
      <c r="E718" s="24"/>
      <c r="F718" s="22"/>
      <c r="G718" s="22"/>
      <c r="H718" s="22"/>
      <c r="I718" s="30" t="str">
        <f>IF(H718="","",IFERROR(INDEX(Codes!$B$2:$B$13,MATCH(H718,Codes!$A$2:$A$13,0)),""))</f>
        <v/>
      </c>
      <c r="J718" s="23"/>
      <c r="K718" s="23"/>
      <c r="L718" s="23"/>
      <c r="M718" s="23"/>
      <c r="N718" s="23"/>
      <c r="O718" s="23"/>
      <c r="P718" s="23"/>
      <c r="Q718" s="31"/>
      <c r="R718" s="32"/>
      <c r="S718" s="32"/>
      <c r="T718" s="33" t="str">
        <f t="shared" si="22"/>
        <v/>
      </c>
      <c r="U718" s="34"/>
      <c r="V718" s="35"/>
      <c r="W718" s="33" t="str">
        <f t="shared" si="23"/>
        <v/>
      </c>
    </row>
    <row r="719" spans="1:23" x14ac:dyDescent="0.35">
      <c r="A719" s="21" t="str">
        <f>IF(COUNTA(B719:H719,J719:S719,U719:V719)=0,"",IF((IF(B719="","PO Ref, ","")&amp;IF(C719="","Vendor, ","")&amp;IF(D719="","Store, ","")&amp;IF(F719="","Product Type, ","")&amp;IF(G719="","Category, ","")&amp;IF(H719="","HSN Code, ","")&amp;IF(Q719="","Qty, ","")&amp;IF(R719="","Purchase Rate, ","")&amp;IF(S719="","MRP, ",""))&lt;&gt;"","Missing: "&amp;LEFT(IF(B719="","PO Ref, ","")&amp;IF(C719="","Vendor, ","")&amp;IF(D719="","Store, ","")&amp;IF(F719="","Product Type, ","")&amp;IF(G719="","Category, ","")&amp;IF(H719="","HSN Code, ","")&amp;IF(Q719="","Qty, ","")&amp;IF(R719="","Purchase Rate, ","")&amp;IF(S719="","MRP, ",""),LEN(IF(B719="","PO Ref, ","")&amp;IF(C719="","Vendor, ","")&amp;IF(D719="","Store, ","")&amp;IF(F719="","Product Type, ","")&amp;IF(G719="","Category, ","")&amp;IF(H719="","HSN Code, ","")&amp;IF(Q719="","Qty, ","")&amp;IF(R719="","Purchase Rate, ","")&amp;IF(S719="","MRP, ",""))-2),IF(COUNTIF(Vendors!$B$3:$B$202,C719)=0,"Add vendor "&amp;C719&amp;" on the Vendors sheet",IF(ISNA(MATCH(H719,Codes!$A$2:$A$13,0)),"Pick the HSN Code from the list",IF(AND(E719&lt;&gt;"",COUNTIFS($C$3:$C$1002,C719,$E$3:$E$1002,E719,$F$3:$F$1002,"&lt;&gt;"&amp;F719)+COUNTIFS($C$3:$C$1002,C719,$E$3:$E$1002,E719,$G$3:$G$1002,"&lt;&gt;"&amp;G719)&gt;0),"Design "&amp;E719&amp;" has another Product Type or Category on another row",IF(COUNTIFS($F$3:$F$1002,F719,$G$3:$G$1002,G719,$H$3:$H$1002,"&lt;&gt;"&amp;H719)&gt;0,F719&amp;" + "&amp;G719&amp;" has another HSN Code on another row",IF(AND(V719&lt;&gt;"",U719=""),"Received Qty needs the Vendor Invoice No",IF(AND(U719&lt;&gt;"",COUNTIFS(Bills!$B$3:$B$302,U719,Bills!$C$3:$C$302,C719)=0),"Add bill "&amp;U719&amp;" of "&amp;C719&amp;" on the Bills sheet",IF(S719&lt;R719,"MRP is below the Purchase Rate","OK")))))))))</f>
        <v/>
      </c>
      <c r="B719" s="29"/>
      <c r="C719" s="22"/>
      <c r="D719" s="22"/>
      <c r="E719" s="24"/>
      <c r="F719" s="22"/>
      <c r="G719" s="22"/>
      <c r="H719" s="22"/>
      <c r="I719" s="30" t="str">
        <f>IF(H719="","",IFERROR(INDEX(Codes!$B$2:$B$13,MATCH(H719,Codes!$A$2:$A$13,0)),""))</f>
        <v/>
      </c>
      <c r="J719" s="23"/>
      <c r="K719" s="23"/>
      <c r="L719" s="23"/>
      <c r="M719" s="23"/>
      <c r="N719" s="23"/>
      <c r="O719" s="23"/>
      <c r="P719" s="23"/>
      <c r="Q719" s="31"/>
      <c r="R719" s="32"/>
      <c r="S719" s="32"/>
      <c r="T719" s="33" t="str">
        <f t="shared" si="22"/>
        <v/>
      </c>
      <c r="U719" s="34"/>
      <c r="V719" s="35"/>
      <c r="W719" s="33" t="str">
        <f t="shared" si="23"/>
        <v/>
      </c>
    </row>
    <row r="720" spans="1:23" x14ac:dyDescent="0.35">
      <c r="A720" s="21" t="str">
        <f>IF(COUNTA(B720:H720,J720:S720,U720:V720)=0,"",IF((IF(B720="","PO Ref, ","")&amp;IF(C720="","Vendor, ","")&amp;IF(D720="","Store, ","")&amp;IF(F720="","Product Type, ","")&amp;IF(G720="","Category, ","")&amp;IF(H720="","HSN Code, ","")&amp;IF(Q720="","Qty, ","")&amp;IF(R720="","Purchase Rate, ","")&amp;IF(S720="","MRP, ",""))&lt;&gt;"","Missing: "&amp;LEFT(IF(B720="","PO Ref, ","")&amp;IF(C720="","Vendor, ","")&amp;IF(D720="","Store, ","")&amp;IF(F720="","Product Type, ","")&amp;IF(G720="","Category, ","")&amp;IF(H720="","HSN Code, ","")&amp;IF(Q720="","Qty, ","")&amp;IF(R720="","Purchase Rate, ","")&amp;IF(S720="","MRP, ",""),LEN(IF(B720="","PO Ref, ","")&amp;IF(C720="","Vendor, ","")&amp;IF(D720="","Store, ","")&amp;IF(F720="","Product Type, ","")&amp;IF(G720="","Category, ","")&amp;IF(H720="","HSN Code, ","")&amp;IF(Q720="","Qty, ","")&amp;IF(R720="","Purchase Rate, ","")&amp;IF(S720="","MRP, ",""))-2),IF(COUNTIF(Vendors!$B$3:$B$202,C720)=0,"Add vendor "&amp;C720&amp;" on the Vendors sheet",IF(ISNA(MATCH(H720,Codes!$A$2:$A$13,0)),"Pick the HSN Code from the list",IF(AND(E720&lt;&gt;"",COUNTIFS($C$3:$C$1002,C720,$E$3:$E$1002,E720,$F$3:$F$1002,"&lt;&gt;"&amp;F720)+COUNTIFS($C$3:$C$1002,C720,$E$3:$E$1002,E720,$G$3:$G$1002,"&lt;&gt;"&amp;G720)&gt;0),"Design "&amp;E720&amp;" has another Product Type or Category on another row",IF(COUNTIFS($F$3:$F$1002,F720,$G$3:$G$1002,G720,$H$3:$H$1002,"&lt;&gt;"&amp;H720)&gt;0,F720&amp;" + "&amp;G720&amp;" has another HSN Code on another row",IF(AND(V720&lt;&gt;"",U720=""),"Received Qty needs the Vendor Invoice No",IF(AND(U720&lt;&gt;"",COUNTIFS(Bills!$B$3:$B$302,U720,Bills!$C$3:$C$302,C720)=0),"Add bill "&amp;U720&amp;" of "&amp;C720&amp;" on the Bills sheet",IF(S720&lt;R720,"MRP is below the Purchase Rate","OK")))))))))</f>
        <v/>
      </c>
      <c r="B720" s="29"/>
      <c r="C720" s="22"/>
      <c r="D720" s="22"/>
      <c r="E720" s="24"/>
      <c r="F720" s="22"/>
      <c r="G720" s="22"/>
      <c r="H720" s="22"/>
      <c r="I720" s="30" t="str">
        <f>IF(H720="","",IFERROR(INDEX(Codes!$B$2:$B$13,MATCH(H720,Codes!$A$2:$A$13,0)),""))</f>
        <v/>
      </c>
      <c r="J720" s="23"/>
      <c r="K720" s="23"/>
      <c r="L720" s="23"/>
      <c r="M720" s="23"/>
      <c r="N720" s="23"/>
      <c r="O720" s="23"/>
      <c r="P720" s="23"/>
      <c r="Q720" s="31"/>
      <c r="R720" s="32"/>
      <c r="S720" s="32"/>
      <c r="T720" s="33" t="str">
        <f t="shared" si="22"/>
        <v/>
      </c>
      <c r="U720" s="34"/>
      <c r="V720" s="35"/>
      <c r="W720" s="33" t="str">
        <f t="shared" si="23"/>
        <v/>
      </c>
    </row>
    <row r="721" spans="1:23" x14ac:dyDescent="0.35">
      <c r="A721" s="21" t="str">
        <f>IF(COUNTA(B721:H721,J721:S721,U721:V721)=0,"",IF((IF(B721="","PO Ref, ","")&amp;IF(C721="","Vendor, ","")&amp;IF(D721="","Store, ","")&amp;IF(F721="","Product Type, ","")&amp;IF(G721="","Category, ","")&amp;IF(H721="","HSN Code, ","")&amp;IF(Q721="","Qty, ","")&amp;IF(R721="","Purchase Rate, ","")&amp;IF(S721="","MRP, ",""))&lt;&gt;"","Missing: "&amp;LEFT(IF(B721="","PO Ref, ","")&amp;IF(C721="","Vendor, ","")&amp;IF(D721="","Store, ","")&amp;IF(F721="","Product Type, ","")&amp;IF(G721="","Category, ","")&amp;IF(H721="","HSN Code, ","")&amp;IF(Q721="","Qty, ","")&amp;IF(R721="","Purchase Rate, ","")&amp;IF(S721="","MRP, ",""),LEN(IF(B721="","PO Ref, ","")&amp;IF(C721="","Vendor, ","")&amp;IF(D721="","Store, ","")&amp;IF(F721="","Product Type, ","")&amp;IF(G721="","Category, ","")&amp;IF(H721="","HSN Code, ","")&amp;IF(Q721="","Qty, ","")&amp;IF(R721="","Purchase Rate, ","")&amp;IF(S721="","MRP, ",""))-2),IF(COUNTIF(Vendors!$B$3:$B$202,C721)=0,"Add vendor "&amp;C721&amp;" on the Vendors sheet",IF(ISNA(MATCH(H721,Codes!$A$2:$A$13,0)),"Pick the HSN Code from the list",IF(AND(E721&lt;&gt;"",COUNTIFS($C$3:$C$1002,C721,$E$3:$E$1002,E721,$F$3:$F$1002,"&lt;&gt;"&amp;F721)+COUNTIFS($C$3:$C$1002,C721,$E$3:$E$1002,E721,$G$3:$G$1002,"&lt;&gt;"&amp;G721)&gt;0),"Design "&amp;E721&amp;" has another Product Type or Category on another row",IF(COUNTIFS($F$3:$F$1002,F721,$G$3:$G$1002,G721,$H$3:$H$1002,"&lt;&gt;"&amp;H721)&gt;0,F721&amp;" + "&amp;G721&amp;" has another HSN Code on another row",IF(AND(V721&lt;&gt;"",U721=""),"Received Qty needs the Vendor Invoice No",IF(AND(U721&lt;&gt;"",COUNTIFS(Bills!$B$3:$B$302,U721,Bills!$C$3:$C$302,C721)=0),"Add bill "&amp;U721&amp;" of "&amp;C721&amp;" on the Bills sheet",IF(S721&lt;R721,"MRP is below the Purchase Rate","OK")))))))))</f>
        <v/>
      </c>
      <c r="B721" s="29"/>
      <c r="C721" s="22"/>
      <c r="D721" s="22"/>
      <c r="E721" s="24"/>
      <c r="F721" s="22"/>
      <c r="G721" s="22"/>
      <c r="H721" s="22"/>
      <c r="I721" s="30" t="str">
        <f>IF(H721="","",IFERROR(INDEX(Codes!$B$2:$B$13,MATCH(H721,Codes!$A$2:$A$13,0)),""))</f>
        <v/>
      </c>
      <c r="J721" s="23"/>
      <c r="K721" s="23"/>
      <c r="L721" s="23"/>
      <c r="M721" s="23"/>
      <c r="N721" s="23"/>
      <c r="O721" s="23"/>
      <c r="P721" s="23"/>
      <c r="Q721" s="31"/>
      <c r="R721" s="32"/>
      <c r="S721" s="32"/>
      <c r="T721" s="33" t="str">
        <f t="shared" si="22"/>
        <v/>
      </c>
      <c r="U721" s="34"/>
      <c r="V721" s="35"/>
      <c r="W721" s="33" t="str">
        <f t="shared" si="23"/>
        <v/>
      </c>
    </row>
    <row r="722" spans="1:23" x14ac:dyDescent="0.35">
      <c r="A722" s="21" t="str">
        <f>IF(COUNTA(B722:H722,J722:S722,U722:V722)=0,"",IF((IF(B722="","PO Ref, ","")&amp;IF(C722="","Vendor, ","")&amp;IF(D722="","Store, ","")&amp;IF(F722="","Product Type, ","")&amp;IF(G722="","Category, ","")&amp;IF(H722="","HSN Code, ","")&amp;IF(Q722="","Qty, ","")&amp;IF(R722="","Purchase Rate, ","")&amp;IF(S722="","MRP, ",""))&lt;&gt;"","Missing: "&amp;LEFT(IF(B722="","PO Ref, ","")&amp;IF(C722="","Vendor, ","")&amp;IF(D722="","Store, ","")&amp;IF(F722="","Product Type, ","")&amp;IF(G722="","Category, ","")&amp;IF(H722="","HSN Code, ","")&amp;IF(Q722="","Qty, ","")&amp;IF(R722="","Purchase Rate, ","")&amp;IF(S722="","MRP, ",""),LEN(IF(B722="","PO Ref, ","")&amp;IF(C722="","Vendor, ","")&amp;IF(D722="","Store, ","")&amp;IF(F722="","Product Type, ","")&amp;IF(G722="","Category, ","")&amp;IF(H722="","HSN Code, ","")&amp;IF(Q722="","Qty, ","")&amp;IF(R722="","Purchase Rate, ","")&amp;IF(S722="","MRP, ",""))-2),IF(COUNTIF(Vendors!$B$3:$B$202,C722)=0,"Add vendor "&amp;C722&amp;" on the Vendors sheet",IF(ISNA(MATCH(H722,Codes!$A$2:$A$13,0)),"Pick the HSN Code from the list",IF(AND(E722&lt;&gt;"",COUNTIFS($C$3:$C$1002,C722,$E$3:$E$1002,E722,$F$3:$F$1002,"&lt;&gt;"&amp;F722)+COUNTIFS($C$3:$C$1002,C722,$E$3:$E$1002,E722,$G$3:$G$1002,"&lt;&gt;"&amp;G722)&gt;0),"Design "&amp;E722&amp;" has another Product Type or Category on another row",IF(COUNTIFS($F$3:$F$1002,F722,$G$3:$G$1002,G722,$H$3:$H$1002,"&lt;&gt;"&amp;H722)&gt;0,F722&amp;" + "&amp;G722&amp;" has another HSN Code on another row",IF(AND(V722&lt;&gt;"",U722=""),"Received Qty needs the Vendor Invoice No",IF(AND(U722&lt;&gt;"",COUNTIFS(Bills!$B$3:$B$302,U722,Bills!$C$3:$C$302,C722)=0),"Add bill "&amp;U722&amp;" of "&amp;C722&amp;" on the Bills sheet",IF(S722&lt;R722,"MRP is below the Purchase Rate","OK")))))))))</f>
        <v/>
      </c>
      <c r="B722" s="29"/>
      <c r="C722" s="22"/>
      <c r="D722" s="22"/>
      <c r="E722" s="24"/>
      <c r="F722" s="22"/>
      <c r="G722" s="22"/>
      <c r="H722" s="22"/>
      <c r="I722" s="30" t="str">
        <f>IF(H722="","",IFERROR(INDEX(Codes!$B$2:$B$13,MATCH(H722,Codes!$A$2:$A$13,0)),""))</f>
        <v/>
      </c>
      <c r="J722" s="23"/>
      <c r="K722" s="23"/>
      <c r="L722" s="23"/>
      <c r="M722" s="23"/>
      <c r="N722" s="23"/>
      <c r="O722" s="23"/>
      <c r="P722" s="23"/>
      <c r="Q722" s="31"/>
      <c r="R722" s="32"/>
      <c r="S722" s="32"/>
      <c r="T722" s="33" t="str">
        <f t="shared" si="22"/>
        <v/>
      </c>
      <c r="U722" s="34"/>
      <c r="V722" s="35"/>
      <c r="W722" s="33" t="str">
        <f t="shared" si="23"/>
        <v/>
      </c>
    </row>
    <row r="723" spans="1:23" x14ac:dyDescent="0.35">
      <c r="A723" s="21" t="str">
        <f>IF(COUNTA(B723:H723,J723:S723,U723:V723)=0,"",IF((IF(B723="","PO Ref, ","")&amp;IF(C723="","Vendor, ","")&amp;IF(D723="","Store, ","")&amp;IF(F723="","Product Type, ","")&amp;IF(G723="","Category, ","")&amp;IF(H723="","HSN Code, ","")&amp;IF(Q723="","Qty, ","")&amp;IF(R723="","Purchase Rate, ","")&amp;IF(S723="","MRP, ",""))&lt;&gt;"","Missing: "&amp;LEFT(IF(B723="","PO Ref, ","")&amp;IF(C723="","Vendor, ","")&amp;IF(D723="","Store, ","")&amp;IF(F723="","Product Type, ","")&amp;IF(G723="","Category, ","")&amp;IF(H723="","HSN Code, ","")&amp;IF(Q723="","Qty, ","")&amp;IF(R723="","Purchase Rate, ","")&amp;IF(S723="","MRP, ",""),LEN(IF(B723="","PO Ref, ","")&amp;IF(C723="","Vendor, ","")&amp;IF(D723="","Store, ","")&amp;IF(F723="","Product Type, ","")&amp;IF(G723="","Category, ","")&amp;IF(H723="","HSN Code, ","")&amp;IF(Q723="","Qty, ","")&amp;IF(R723="","Purchase Rate, ","")&amp;IF(S723="","MRP, ",""))-2),IF(COUNTIF(Vendors!$B$3:$B$202,C723)=0,"Add vendor "&amp;C723&amp;" on the Vendors sheet",IF(ISNA(MATCH(H723,Codes!$A$2:$A$13,0)),"Pick the HSN Code from the list",IF(AND(E723&lt;&gt;"",COUNTIFS($C$3:$C$1002,C723,$E$3:$E$1002,E723,$F$3:$F$1002,"&lt;&gt;"&amp;F723)+COUNTIFS($C$3:$C$1002,C723,$E$3:$E$1002,E723,$G$3:$G$1002,"&lt;&gt;"&amp;G723)&gt;0),"Design "&amp;E723&amp;" has another Product Type or Category on another row",IF(COUNTIFS($F$3:$F$1002,F723,$G$3:$G$1002,G723,$H$3:$H$1002,"&lt;&gt;"&amp;H723)&gt;0,F723&amp;" + "&amp;G723&amp;" has another HSN Code on another row",IF(AND(V723&lt;&gt;"",U723=""),"Received Qty needs the Vendor Invoice No",IF(AND(U723&lt;&gt;"",COUNTIFS(Bills!$B$3:$B$302,U723,Bills!$C$3:$C$302,C723)=0),"Add bill "&amp;U723&amp;" of "&amp;C723&amp;" on the Bills sheet",IF(S723&lt;R723,"MRP is below the Purchase Rate","OK")))))))))</f>
        <v/>
      </c>
      <c r="B723" s="29"/>
      <c r="C723" s="22"/>
      <c r="D723" s="22"/>
      <c r="E723" s="24"/>
      <c r="F723" s="22"/>
      <c r="G723" s="22"/>
      <c r="H723" s="22"/>
      <c r="I723" s="30" t="str">
        <f>IF(H723="","",IFERROR(INDEX(Codes!$B$2:$B$13,MATCH(H723,Codes!$A$2:$A$13,0)),""))</f>
        <v/>
      </c>
      <c r="J723" s="23"/>
      <c r="K723" s="23"/>
      <c r="L723" s="23"/>
      <c r="M723" s="23"/>
      <c r="N723" s="23"/>
      <c r="O723" s="23"/>
      <c r="P723" s="23"/>
      <c r="Q723" s="31"/>
      <c r="R723" s="32"/>
      <c r="S723" s="32"/>
      <c r="T723" s="33" t="str">
        <f t="shared" si="22"/>
        <v/>
      </c>
      <c r="U723" s="34"/>
      <c r="V723" s="35"/>
      <c r="W723" s="33" t="str">
        <f t="shared" si="23"/>
        <v/>
      </c>
    </row>
    <row r="724" spans="1:23" x14ac:dyDescent="0.35">
      <c r="A724" s="21" t="str">
        <f>IF(COUNTA(B724:H724,J724:S724,U724:V724)=0,"",IF((IF(B724="","PO Ref, ","")&amp;IF(C724="","Vendor, ","")&amp;IF(D724="","Store, ","")&amp;IF(F724="","Product Type, ","")&amp;IF(G724="","Category, ","")&amp;IF(H724="","HSN Code, ","")&amp;IF(Q724="","Qty, ","")&amp;IF(R724="","Purchase Rate, ","")&amp;IF(S724="","MRP, ",""))&lt;&gt;"","Missing: "&amp;LEFT(IF(B724="","PO Ref, ","")&amp;IF(C724="","Vendor, ","")&amp;IF(D724="","Store, ","")&amp;IF(F724="","Product Type, ","")&amp;IF(G724="","Category, ","")&amp;IF(H724="","HSN Code, ","")&amp;IF(Q724="","Qty, ","")&amp;IF(R724="","Purchase Rate, ","")&amp;IF(S724="","MRP, ",""),LEN(IF(B724="","PO Ref, ","")&amp;IF(C724="","Vendor, ","")&amp;IF(D724="","Store, ","")&amp;IF(F724="","Product Type, ","")&amp;IF(G724="","Category, ","")&amp;IF(H724="","HSN Code, ","")&amp;IF(Q724="","Qty, ","")&amp;IF(R724="","Purchase Rate, ","")&amp;IF(S724="","MRP, ",""))-2),IF(COUNTIF(Vendors!$B$3:$B$202,C724)=0,"Add vendor "&amp;C724&amp;" on the Vendors sheet",IF(ISNA(MATCH(H724,Codes!$A$2:$A$13,0)),"Pick the HSN Code from the list",IF(AND(E724&lt;&gt;"",COUNTIFS($C$3:$C$1002,C724,$E$3:$E$1002,E724,$F$3:$F$1002,"&lt;&gt;"&amp;F724)+COUNTIFS($C$3:$C$1002,C724,$E$3:$E$1002,E724,$G$3:$G$1002,"&lt;&gt;"&amp;G724)&gt;0),"Design "&amp;E724&amp;" has another Product Type or Category on another row",IF(COUNTIFS($F$3:$F$1002,F724,$G$3:$G$1002,G724,$H$3:$H$1002,"&lt;&gt;"&amp;H724)&gt;0,F724&amp;" + "&amp;G724&amp;" has another HSN Code on another row",IF(AND(V724&lt;&gt;"",U724=""),"Received Qty needs the Vendor Invoice No",IF(AND(U724&lt;&gt;"",COUNTIFS(Bills!$B$3:$B$302,U724,Bills!$C$3:$C$302,C724)=0),"Add bill "&amp;U724&amp;" of "&amp;C724&amp;" on the Bills sheet",IF(S724&lt;R724,"MRP is below the Purchase Rate","OK")))))))))</f>
        <v/>
      </c>
      <c r="B724" s="29"/>
      <c r="C724" s="22"/>
      <c r="D724" s="22"/>
      <c r="E724" s="24"/>
      <c r="F724" s="22"/>
      <c r="G724" s="22"/>
      <c r="H724" s="22"/>
      <c r="I724" s="30" t="str">
        <f>IF(H724="","",IFERROR(INDEX(Codes!$B$2:$B$13,MATCH(H724,Codes!$A$2:$A$13,0)),""))</f>
        <v/>
      </c>
      <c r="J724" s="23"/>
      <c r="K724" s="23"/>
      <c r="L724" s="23"/>
      <c r="M724" s="23"/>
      <c r="N724" s="23"/>
      <c r="O724" s="23"/>
      <c r="P724" s="23"/>
      <c r="Q724" s="31"/>
      <c r="R724" s="32"/>
      <c r="S724" s="32"/>
      <c r="T724" s="33" t="str">
        <f t="shared" si="22"/>
        <v/>
      </c>
      <c r="U724" s="34"/>
      <c r="V724" s="35"/>
      <c r="W724" s="33" t="str">
        <f t="shared" si="23"/>
        <v/>
      </c>
    </row>
    <row r="725" spans="1:23" x14ac:dyDescent="0.35">
      <c r="A725" s="21" t="str">
        <f>IF(COUNTA(B725:H725,J725:S725,U725:V725)=0,"",IF((IF(B725="","PO Ref, ","")&amp;IF(C725="","Vendor, ","")&amp;IF(D725="","Store, ","")&amp;IF(F725="","Product Type, ","")&amp;IF(G725="","Category, ","")&amp;IF(H725="","HSN Code, ","")&amp;IF(Q725="","Qty, ","")&amp;IF(R725="","Purchase Rate, ","")&amp;IF(S725="","MRP, ",""))&lt;&gt;"","Missing: "&amp;LEFT(IF(B725="","PO Ref, ","")&amp;IF(C725="","Vendor, ","")&amp;IF(D725="","Store, ","")&amp;IF(F725="","Product Type, ","")&amp;IF(G725="","Category, ","")&amp;IF(H725="","HSN Code, ","")&amp;IF(Q725="","Qty, ","")&amp;IF(R725="","Purchase Rate, ","")&amp;IF(S725="","MRP, ",""),LEN(IF(B725="","PO Ref, ","")&amp;IF(C725="","Vendor, ","")&amp;IF(D725="","Store, ","")&amp;IF(F725="","Product Type, ","")&amp;IF(G725="","Category, ","")&amp;IF(H725="","HSN Code, ","")&amp;IF(Q725="","Qty, ","")&amp;IF(R725="","Purchase Rate, ","")&amp;IF(S725="","MRP, ",""))-2),IF(COUNTIF(Vendors!$B$3:$B$202,C725)=0,"Add vendor "&amp;C725&amp;" on the Vendors sheet",IF(ISNA(MATCH(H725,Codes!$A$2:$A$13,0)),"Pick the HSN Code from the list",IF(AND(E725&lt;&gt;"",COUNTIFS($C$3:$C$1002,C725,$E$3:$E$1002,E725,$F$3:$F$1002,"&lt;&gt;"&amp;F725)+COUNTIFS($C$3:$C$1002,C725,$E$3:$E$1002,E725,$G$3:$G$1002,"&lt;&gt;"&amp;G725)&gt;0),"Design "&amp;E725&amp;" has another Product Type or Category on another row",IF(COUNTIFS($F$3:$F$1002,F725,$G$3:$G$1002,G725,$H$3:$H$1002,"&lt;&gt;"&amp;H725)&gt;0,F725&amp;" + "&amp;G725&amp;" has another HSN Code on another row",IF(AND(V725&lt;&gt;"",U725=""),"Received Qty needs the Vendor Invoice No",IF(AND(U725&lt;&gt;"",COUNTIFS(Bills!$B$3:$B$302,U725,Bills!$C$3:$C$302,C725)=0),"Add bill "&amp;U725&amp;" of "&amp;C725&amp;" on the Bills sheet",IF(S725&lt;R725,"MRP is below the Purchase Rate","OK")))))))))</f>
        <v/>
      </c>
      <c r="B725" s="29"/>
      <c r="C725" s="22"/>
      <c r="D725" s="22"/>
      <c r="E725" s="24"/>
      <c r="F725" s="22"/>
      <c r="G725" s="22"/>
      <c r="H725" s="22"/>
      <c r="I725" s="30" t="str">
        <f>IF(H725="","",IFERROR(INDEX(Codes!$B$2:$B$13,MATCH(H725,Codes!$A$2:$A$13,0)),""))</f>
        <v/>
      </c>
      <c r="J725" s="23"/>
      <c r="K725" s="23"/>
      <c r="L725" s="23"/>
      <c r="M725" s="23"/>
      <c r="N725" s="23"/>
      <c r="O725" s="23"/>
      <c r="P725" s="23"/>
      <c r="Q725" s="31"/>
      <c r="R725" s="32"/>
      <c r="S725" s="32"/>
      <c r="T725" s="33" t="str">
        <f t="shared" si="22"/>
        <v/>
      </c>
      <c r="U725" s="34"/>
      <c r="V725" s="35"/>
      <c r="W725" s="33" t="str">
        <f t="shared" si="23"/>
        <v/>
      </c>
    </row>
    <row r="726" spans="1:23" x14ac:dyDescent="0.35">
      <c r="A726" s="21" t="str">
        <f>IF(COUNTA(B726:H726,J726:S726,U726:V726)=0,"",IF((IF(B726="","PO Ref, ","")&amp;IF(C726="","Vendor, ","")&amp;IF(D726="","Store, ","")&amp;IF(F726="","Product Type, ","")&amp;IF(G726="","Category, ","")&amp;IF(H726="","HSN Code, ","")&amp;IF(Q726="","Qty, ","")&amp;IF(R726="","Purchase Rate, ","")&amp;IF(S726="","MRP, ",""))&lt;&gt;"","Missing: "&amp;LEFT(IF(B726="","PO Ref, ","")&amp;IF(C726="","Vendor, ","")&amp;IF(D726="","Store, ","")&amp;IF(F726="","Product Type, ","")&amp;IF(G726="","Category, ","")&amp;IF(H726="","HSN Code, ","")&amp;IF(Q726="","Qty, ","")&amp;IF(R726="","Purchase Rate, ","")&amp;IF(S726="","MRP, ",""),LEN(IF(B726="","PO Ref, ","")&amp;IF(C726="","Vendor, ","")&amp;IF(D726="","Store, ","")&amp;IF(F726="","Product Type, ","")&amp;IF(G726="","Category, ","")&amp;IF(H726="","HSN Code, ","")&amp;IF(Q726="","Qty, ","")&amp;IF(R726="","Purchase Rate, ","")&amp;IF(S726="","MRP, ",""))-2),IF(COUNTIF(Vendors!$B$3:$B$202,C726)=0,"Add vendor "&amp;C726&amp;" on the Vendors sheet",IF(ISNA(MATCH(H726,Codes!$A$2:$A$13,0)),"Pick the HSN Code from the list",IF(AND(E726&lt;&gt;"",COUNTIFS($C$3:$C$1002,C726,$E$3:$E$1002,E726,$F$3:$F$1002,"&lt;&gt;"&amp;F726)+COUNTIFS($C$3:$C$1002,C726,$E$3:$E$1002,E726,$G$3:$G$1002,"&lt;&gt;"&amp;G726)&gt;0),"Design "&amp;E726&amp;" has another Product Type or Category on another row",IF(COUNTIFS($F$3:$F$1002,F726,$G$3:$G$1002,G726,$H$3:$H$1002,"&lt;&gt;"&amp;H726)&gt;0,F726&amp;" + "&amp;G726&amp;" has another HSN Code on another row",IF(AND(V726&lt;&gt;"",U726=""),"Received Qty needs the Vendor Invoice No",IF(AND(U726&lt;&gt;"",COUNTIFS(Bills!$B$3:$B$302,U726,Bills!$C$3:$C$302,C726)=0),"Add bill "&amp;U726&amp;" of "&amp;C726&amp;" on the Bills sheet",IF(S726&lt;R726,"MRP is below the Purchase Rate","OK")))))))))</f>
        <v/>
      </c>
      <c r="B726" s="29"/>
      <c r="C726" s="22"/>
      <c r="D726" s="22"/>
      <c r="E726" s="24"/>
      <c r="F726" s="22"/>
      <c r="G726" s="22"/>
      <c r="H726" s="22"/>
      <c r="I726" s="30" t="str">
        <f>IF(H726="","",IFERROR(INDEX(Codes!$B$2:$B$13,MATCH(H726,Codes!$A$2:$A$13,0)),""))</f>
        <v/>
      </c>
      <c r="J726" s="23"/>
      <c r="K726" s="23"/>
      <c r="L726" s="23"/>
      <c r="M726" s="23"/>
      <c r="N726" s="23"/>
      <c r="O726" s="23"/>
      <c r="P726" s="23"/>
      <c r="Q726" s="31"/>
      <c r="R726" s="32"/>
      <c r="S726" s="32"/>
      <c r="T726" s="33" t="str">
        <f t="shared" si="22"/>
        <v/>
      </c>
      <c r="U726" s="34"/>
      <c r="V726" s="35"/>
      <c r="W726" s="33" t="str">
        <f t="shared" si="23"/>
        <v/>
      </c>
    </row>
    <row r="727" spans="1:23" x14ac:dyDescent="0.35">
      <c r="A727" s="21" t="str">
        <f>IF(COUNTA(B727:H727,J727:S727,U727:V727)=0,"",IF((IF(B727="","PO Ref, ","")&amp;IF(C727="","Vendor, ","")&amp;IF(D727="","Store, ","")&amp;IF(F727="","Product Type, ","")&amp;IF(G727="","Category, ","")&amp;IF(H727="","HSN Code, ","")&amp;IF(Q727="","Qty, ","")&amp;IF(R727="","Purchase Rate, ","")&amp;IF(S727="","MRP, ",""))&lt;&gt;"","Missing: "&amp;LEFT(IF(B727="","PO Ref, ","")&amp;IF(C727="","Vendor, ","")&amp;IF(D727="","Store, ","")&amp;IF(F727="","Product Type, ","")&amp;IF(G727="","Category, ","")&amp;IF(H727="","HSN Code, ","")&amp;IF(Q727="","Qty, ","")&amp;IF(R727="","Purchase Rate, ","")&amp;IF(S727="","MRP, ",""),LEN(IF(B727="","PO Ref, ","")&amp;IF(C727="","Vendor, ","")&amp;IF(D727="","Store, ","")&amp;IF(F727="","Product Type, ","")&amp;IF(G727="","Category, ","")&amp;IF(H727="","HSN Code, ","")&amp;IF(Q727="","Qty, ","")&amp;IF(R727="","Purchase Rate, ","")&amp;IF(S727="","MRP, ",""))-2),IF(COUNTIF(Vendors!$B$3:$B$202,C727)=0,"Add vendor "&amp;C727&amp;" on the Vendors sheet",IF(ISNA(MATCH(H727,Codes!$A$2:$A$13,0)),"Pick the HSN Code from the list",IF(AND(E727&lt;&gt;"",COUNTIFS($C$3:$C$1002,C727,$E$3:$E$1002,E727,$F$3:$F$1002,"&lt;&gt;"&amp;F727)+COUNTIFS($C$3:$C$1002,C727,$E$3:$E$1002,E727,$G$3:$G$1002,"&lt;&gt;"&amp;G727)&gt;0),"Design "&amp;E727&amp;" has another Product Type or Category on another row",IF(COUNTIFS($F$3:$F$1002,F727,$G$3:$G$1002,G727,$H$3:$H$1002,"&lt;&gt;"&amp;H727)&gt;0,F727&amp;" + "&amp;G727&amp;" has another HSN Code on another row",IF(AND(V727&lt;&gt;"",U727=""),"Received Qty needs the Vendor Invoice No",IF(AND(U727&lt;&gt;"",COUNTIFS(Bills!$B$3:$B$302,U727,Bills!$C$3:$C$302,C727)=0),"Add bill "&amp;U727&amp;" of "&amp;C727&amp;" on the Bills sheet",IF(S727&lt;R727,"MRP is below the Purchase Rate","OK")))))))))</f>
        <v/>
      </c>
      <c r="B727" s="29"/>
      <c r="C727" s="22"/>
      <c r="D727" s="22"/>
      <c r="E727" s="24"/>
      <c r="F727" s="22"/>
      <c r="G727" s="22"/>
      <c r="H727" s="22"/>
      <c r="I727" s="30" t="str">
        <f>IF(H727="","",IFERROR(INDEX(Codes!$B$2:$B$13,MATCH(H727,Codes!$A$2:$A$13,0)),""))</f>
        <v/>
      </c>
      <c r="J727" s="23"/>
      <c r="K727" s="23"/>
      <c r="L727" s="23"/>
      <c r="M727" s="23"/>
      <c r="N727" s="23"/>
      <c r="O727" s="23"/>
      <c r="P727" s="23"/>
      <c r="Q727" s="31"/>
      <c r="R727" s="32"/>
      <c r="S727" s="32"/>
      <c r="T727" s="33" t="str">
        <f t="shared" si="22"/>
        <v/>
      </c>
      <c r="U727" s="34"/>
      <c r="V727" s="35"/>
      <c r="W727" s="33" t="str">
        <f t="shared" si="23"/>
        <v/>
      </c>
    </row>
    <row r="728" spans="1:23" x14ac:dyDescent="0.35">
      <c r="A728" s="21" t="str">
        <f>IF(COUNTA(B728:H728,J728:S728,U728:V728)=0,"",IF((IF(B728="","PO Ref, ","")&amp;IF(C728="","Vendor, ","")&amp;IF(D728="","Store, ","")&amp;IF(F728="","Product Type, ","")&amp;IF(G728="","Category, ","")&amp;IF(H728="","HSN Code, ","")&amp;IF(Q728="","Qty, ","")&amp;IF(R728="","Purchase Rate, ","")&amp;IF(S728="","MRP, ",""))&lt;&gt;"","Missing: "&amp;LEFT(IF(B728="","PO Ref, ","")&amp;IF(C728="","Vendor, ","")&amp;IF(D728="","Store, ","")&amp;IF(F728="","Product Type, ","")&amp;IF(G728="","Category, ","")&amp;IF(H728="","HSN Code, ","")&amp;IF(Q728="","Qty, ","")&amp;IF(R728="","Purchase Rate, ","")&amp;IF(S728="","MRP, ",""),LEN(IF(B728="","PO Ref, ","")&amp;IF(C728="","Vendor, ","")&amp;IF(D728="","Store, ","")&amp;IF(F728="","Product Type, ","")&amp;IF(G728="","Category, ","")&amp;IF(H728="","HSN Code, ","")&amp;IF(Q728="","Qty, ","")&amp;IF(R728="","Purchase Rate, ","")&amp;IF(S728="","MRP, ",""))-2),IF(COUNTIF(Vendors!$B$3:$B$202,C728)=0,"Add vendor "&amp;C728&amp;" on the Vendors sheet",IF(ISNA(MATCH(H728,Codes!$A$2:$A$13,0)),"Pick the HSN Code from the list",IF(AND(E728&lt;&gt;"",COUNTIFS($C$3:$C$1002,C728,$E$3:$E$1002,E728,$F$3:$F$1002,"&lt;&gt;"&amp;F728)+COUNTIFS($C$3:$C$1002,C728,$E$3:$E$1002,E728,$G$3:$G$1002,"&lt;&gt;"&amp;G728)&gt;0),"Design "&amp;E728&amp;" has another Product Type or Category on another row",IF(COUNTIFS($F$3:$F$1002,F728,$G$3:$G$1002,G728,$H$3:$H$1002,"&lt;&gt;"&amp;H728)&gt;0,F728&amp;" + "&amp;G728&amp;" has another HSN Code on another row",IF(AND(V728&lt;&gt;"",U728=""),"Received Qty needs the Vendor Invoice No",IF(AND(U728&lt;&gt;"",COUNTIFS(Bills!$B$3:$B$302,U728,Bills!$C$3:$C$302,C728)=0),"Add bill "&amp;U728&amp;" of "&amp;C728&amp;" on the Bills sheet",IF(S728&lt;R728,"MRP is below the Purchase Rate","OK")))))))))</f>
        <v/>
      </c>
      <c r="B728" s="29"/>
      <c r="C728" s="22"/>
      <c r="D728" s="22"/>
      <c r="E728" s="24"/>
      <c r="F728" s="22"/>
      <c r="G728" s="22"/>
      <c r="H728" s="22"/>
      <c r="I728" s="30" t="str">
        <f>IF(H728="","",IFERROR(INDEX(Codes!$B$2:$B$13,MATCH(H728,Codes!$A$2:$A$13,0)),""))</f>
        <v/>
      </c>
      <c r="J728" s="23"/>
      <c r="K728" s="23"/>
      <c r="L728" s="23"/>
      <c r="M728" s="23"/>
      <c r="N728" s="23"/>
      <c r="O728" s="23"/>
      <c r="P728" s="23"/>
      <c r="Q728" s="31"/>
      <c r="R728" s="32"/>
      <c r="S728" s="32"/>
      <c r="T728" s="33" t="str">
        <f t="shared" si="22"/>
        <v/>
      </c>
      <c r="U728" s="34"/>
      <c r="V728" s="35"/>
      <c r="W728" s="33" t="str">
        <f t="shared" si="23"/>
        <v/>
      </c>
    </row>
    <row r="729" spans="1:23" x14ac:dyDescent="0.35">
      <c r="A729" s="21" t="str">
        <f>IF(COUNTA(B729:H729,J729:S729,U729:V729)=0,"",IF((IF(B729="","PO Ref, ","")&amp;IF(C729="","Vendor, ","")&amp;IF(D729="","Store, ","")&amp;IF(F729="","Product Type, ","")&amp;IF(G729="","Category, ","")&amp;IF(H729="","HSN Code, ","")&amp;IF(Q729="","Qty, ","")&amp;IF(R729="","Purchase Rate, ","")&amp;IF(S729="","MRP, ",""))&lt;&gt;"","Missing: "&amp;LEFT(IF(B729="","PO Ref, ","")&amp;IF(C729="","Vendor, ","")&amp;IF(D729="","Store, ","")&amp;IF(F729="","Product Type, ","")&amp;IF(G729="","Category, ","")&amp;IF(H729="","HSN Code, ","")&amp;IF(Q729="","Qty, ","")&amp;IF(R729="","Purchase Rate, ","")&amp;IF(S729="","MRP, ",""),LEN(IF(B729="","PO Ref, ","")&amp;IF(C729="","Vendor, ","")&amp;IF(D729="","Store, ","")&amp;IF(F729="","Product Type, ","")&amp;IF(G729="","Category, ","")&amp;IF(H729="","HSN Code, ","")&amp;IF(Q729="","Qty, ","")&amp;IF(R729="","Purchase Rate, ","")&amp;IF(S729="","MRP, ",""))-2),IF(COUNTIF(Vendors!$B$3:$B$202,C729)=0,"Add vendor "&amp;C729&amp;" on the Vendors sheet",IF(ISNA(MATCH(H729,Codes!$A$2:$A$13,0)),"Pick the HSN Code from the list",IF(AND(E729&lt;&gt;"",COUNTIFS($C$3:$C$1002,C729,$E$3:$E$1002,E729,$F$3:$F$1002,"&lt;&gt;"&amp;F729)+COUNTIFS($C$3:$C$1002,C729,$E$3:$E$1002,E729,$G$3:$G$1002,"&lt;&gt;"&amp;G729)&gt;0),"Design "&amp;E729&amp;" has another Product Type or Category on another row",IF(COUNTIFS($F$3:$F$1002,F729,$G$3:$G$1002,G729,$H$3:$H$1002,"&lt;&gt;"&amp;H729)&gt;0,F729&amp;" + "&amp;G729&amp;" has another HSN Code on another row",IF(AND(V729&lt;&gt;"",U729=""),"Received Qty needs the Vendor Invoice No",IF(AND(U729&lt;&gt;"",COUNTIFS(Bills!$B$3:$B$302,U729,Bills!$C$3:$C$302,C729)=0),"Add bill "&amp;U729&amp;" of "&amp;C729&amp;" on the Bills sheet",IF(S729&lt;R729,"MRP is below the Purchase Rate","OK")))))))))</f>
        <v/>
      </c>
      <c r="B729" s="29"/>
      <c r="C729" s="22"/>
      <c r="D729" s="22"/>
      <c r="E729" s="24"/>
      <c r="F729" s="22"/>
      <c r="G729" s="22"/>
      <c r="H729" s="22"/>
      <c r="I729" s="30" t="str">
        <f>IF(H729="","",IFERROR(INDEX(Codes!$B$2:$B$13,MATCH(H729,Codes!$A$2:$A$13,0)),""))</f>
        <v/>
      </c>
      <c r="J729" s="23"/>
      <c r="K729" s="23"/>
      <c r="L729" s="23"/>
      <c r="M729" s="23"/>
      <c r="N729" s="23"/>
      <c r="O729" s="23"/>
      <c r="P729" s="23"/>
      <c r="Q729" s="31"/>
      <c r="R729" s="32"/>
      <c r="S729" s="32"/>
      <c r="T729" s="33" t="str">
        <f t="shared" si="22"/>
        <v/>
      </c>
      <c r="U729" s="34"/>
      <c r="V729" s="35"/>
      <c r="W729" s="33" t="str">
        <f t="shared" si="23"/>
        <v/>
      </c>
    </row>
    <row r="730" spans="1:23" x14ac:dyDescent="0.35">
      <c r="A730" s="21" t="str">
        <f>IF(COUNTA(B730:H730,J730:S730,U730:V730)=0,"",IF((IF(B730="","PO Ref, ","")&amp;IF(C730="","Vendor, ","")&amp;IF(D730="","Store, ","")&amp;IF(F730="","Product Type, ","")&amp;IF(G730="","Category, ","")&amp;IF(H730="","HSN Code, ","")&amp;IF(Q730="","Qty, ","")&amp;IF(R730="","Purchase Rate, ","")&amp;IF(S730="","MRP, ",""))&lt;&gt;"","Missing: "&amp;LEFT(IF(B730="","PO Ref, ","")&amp;IF(C730="","Vendor, ","")&amp;IF(D730="","Store, ","")&amp;IF(F730="","Product Type, ","")&amp;IF(G730="","Category, ","")&amp;IF(H730="","HSN Code, ","")&amp;IF(Q730="","Qty, ","")&amp;IF(R730="","Purchase Rate, ","")&amp;IF(S730="","MRP, ",""),LEN(IF(B730="","PO Ref, ","")&amp;IF(C730="","Vendor, ","")&amp;IF(D730="","Store, ","")&amp;IF(F730="","Product Type, ","")&amp;IF(G730="","Category, ","")&amp;IF(H730="","HSN Code, ","")&amp;IF(Q730="","Qty, ","")&amp;IF(R730="","Purchase Rate, ","")&amp;IF(S730="","MRP, ",""))-2),IF(COUNTIF(Vendors!$B$3:$B$202,C730)=0,"Add vendor "&amp;C730&amp;" on the Vendors sheet",IF(ISNA(MATCH(H730,Codes!$A$2:$A$13,0)),"Pick the HSN Code from the list",IF(AND(E730&lt;&gt;"",COUNTIFS($C$3:$C$1002,C730,$E$3:$E$1002,E730,$F$3:$F$1002,"&lt;&gt;"&amp;F730)+COUNTIFS($C$3:$C$1002,C730,$E$3:$E$1002,E730,$G$3:$G$1002,"&lt;&gt;"&amp;G730)&gt;0),"Design "&amp;E730&amp;" has another Product Type or Category on another row",IF(COUNTIFS($F$3:$F$1002,F730,$G$3:$G$1002,G730,$H$3:$H$1002,"&lt;&gt;"&amp;H730)&gt;0,F730&amp;" + "&amp;G730&amp;" has another HSN Code on another row",IF(AND(V730&lt;&gt;"",U730=""),"Received Qty needs the Vendor Invoice No",IF(AND(U730&lt;&gt;"",COUNTIFS(Bills!$B$3:$B$302,U730,Bills!$C$3:$C$302,C730)=0),"Add bill "&amp;U730&amp;" of "&amp;C730&amp;" on the Bills sheet",IF(S730&lt;R730,"MRP is below the Purchase Rate","OK")))))))))</f>
        <v/>
      </c>
      <c r="B730" s="29"/>
      <c r="C730" s="22"/>
      <c r="D730" s="22"/>
      <c r="E730" s="24"/>
      <c r="F730" s="22"/>
      <c r="G730" s="22"/>
      <c r="H730" s="22"/>
      <c r="I730" s="30" t="str">
        <f>IF(H730="","",IFERROR(INDEX(Codes!$B$2:$B$13,MATCH(H730,Codes!$A$2:$A$13,0)),""))</f>
        <v/>
      </c>
      <c r="J730" s="23"/>
      <c r="K730" s="23"/>
      <c r="L730" s="23"/>
      <c r="M730" s="23"/>
      <c r="N730" s="23"/>
      <c r="O730" s="23"/>
      <c r="P730" s="23"/>
      <c r="Q730" s="31"/>
      <c r="R730" s="32"/>
      <c r="S730" s="32"/>
      <c r="T730" s="33" t="str">
        <f t="shared" si="22"/>
        <v/>
      </c>
      <c r="U730" s="34"/>
      <c r="V730" s="35"/>
      <c r="W730" s="33" t="str">
        <f t="shared" si="23"/>
        <v/>
      </c>
    </row>
    <row r="731" spans="1:23" x14ac:dyDescent="0.35">
      <c r="A731" s="21" t="str">
        <f>IF(COUNTA(B731:H731,J731:S731,U731:V731)=0,"",IF((IF(B731="","PO Ref, ","")&amp;IF(C731="","Vendor, ","")&amp;IF(D731="","Store, ","")&amp;IF(F731="","Product Type, ","")&amp;IF(G731="","Category, ","")&amp;IF(H731="","HSN Code, ","")&amp;IF(Q731="","Qty, ","")&amp;IF(R731="","Purchase Rate, ","")&amp;IF(S731="","MRP, ",""))&lt;&gt;"","Missing: "&amp;LEFT(IF(B731="","PO Ref, ","")&amp;IF(C731="","Vendor, ","")&amp;IF(D731="","Store, ","")&amp;IF(F731="","Product Type, ","")&amp;IF(G731="","Category, ","")&amp;IF(H731="","HSN Code, ","")&amp;IF(Q731="","Qty, ","")&amp;IF(R731="","Purchase Rate, ","")&amp;IF(S731="","MRP, ",""),LEN(IF(B731="","PO Ref, ","")&amp;IF(C731="","Vendor, ","")&amp;IF(D731="","Store, ","")&amp;IF(F731="","Product Type, ","")&amp;IF(G731="","Category, ","")&amp;IF(H731="","HSN Code, ","")&amp;IF(Q731="","Qty, ","")&amp;IF(R731="","Purchase Rate, ","")&amp;IF(S731="","MRP, ",""))-2),IF(COUNTIF(Vendors!$B$3:$B$202,C731)=0,"Add vendor "&amp;C731&amp;" on the Vendors sheet",IF(ISNA(MATCH(H731,Codes!$A$2:$A$13,0)),"Pick the HSN Code from the list",IF(AND(E731&lt;&gt;"",COUNTIFS($C$3:$C$1002,C731,$E$3:$E$1002,E731,$F$3:$F$1002,"&lt;&gt;"&amp;F731)+COUNTIFS($C$3:$C$1002,C731,$E$3:$E$1002,E731,$G$3:$G$1002,"&lt;&gt;"&amp;G731)&gt;0),"Design "&amp;E731&amp;" has another Product Type or Category on another row",IF(COUNTIFS($F$3:$F$1002,F731,$G$3:$G$1002,G731,$H$3:$H$1002,"&lt;&gt;"&amp;H731)&gt;0,F731&amp;" + "&amp;G731&amp;" has another HSN Code on another row",IF(AND(V731&lt;&gt;"",U731=""),"Received Qty needs the Vendor Invoice No",IF(AND(U731&lt;&gt;"",COUNTIFS(Bills!$B$3:$B$302,U731,Bills!$C$3:$C$302,C731)=0),"Add bill "&amp;U731&amp;" of "&amp;C731&amp;" on the Bills sheet",IF(S731&lt;R731,"MRP is below the Purchase Rate","OK")))))))))</f>
        <v/>
      </c>
      <c r="B731" s="29"/>
      <c r="C731" s="22"/>
      <c r="D731" s="22"/>
      <c r="E731" s="24"/>
      <c r="F731" s="22"/>
      <c r="G731" s="22"/>
      <c r="H731" s="22"/>
      <c r="I731" s="30" t="str">
        <f>IF(H731="","",IFERROR(INDEX(Codes!$B$2:$B$13,MATCH(H731,Codes!$A$2:$A$13,0)),""))</f>
        <v/>
      </c>
      <c r="J731" s="23"/>
      <c r="K731" s="23"/>
      <c r="L731" s="23"/>
      <c r="M731" s="23"/>
      <c r="N731" s="23"/>
      <c r="O731" s="23"/>
      <c r="P731" s="23"/>
      <c r="Q731" s="31"/>
      <c r="R731" s="32"/>
      <c r="S731" s="32"/>
      <c r="T731" s="33" t="str">
        <f t="shared" si="22"/>
        <v/>
      </c>
      <c r="U731" s="34"/>
      <c r="V731" s="35"/>
      <c r="W731" s="33" t="str">
        <f t="shared" si="23"/>
        <v/>
      </c>
    </row>
    <row r="732" spans="1:23" x14ac:dyDescent="0.35">
      <c r="A732" s="21" t="str">
        <f>IF(COUNTA(B732:H732,J732:S732,U732:V732)=0,"",IF((IF(B732="","PO Ref, ","")&amp;IF(C732="","Vendor, ","")&amp;IF(D732="","Store, ","")&amp;IF(F732="","Product Type, ","")&amp;IF(G732="","Category, ","")&amp;IF(H732="","HSN Code, ","")&amp;IF(Q732="","Qty, ","")&amp;IF(R732="","Purchase Rate, ","")&amp;IF(S732="","MRP, ",""))&lt;&gt;"","Missing: "&amp;LEFT(IF(B732="","PO Ref, ","")&amp;IF(C732="","Vendor, ","")&amp;IF(D732="","Store, ","")&amp;IF(F732="","Product Type, ","")&amp;IF(G732="","Category, ","")&amp;IF(H732="","HSN Code, ","")&amp;IF(Q732="","Qty, ","")&amp;IF(R732="","Purchase Rate, ","")&amp;IF(S732="","MRP, ",""),LEN(IF(B732="","PO Ref, ","")&amp;IF(C732="","Vendor, ","")&amp;IF(D732="","Store, ","")&amp;IF(F732="","Product Type, ","")&amp;IF(G732="","Category, ","")&amp;IF(H732="","HSN Code, ","")&amp;IF(Q732="","Qty, ","")&amp;IF(R732="","Purchase Rate, ","")&amp;IF(S732="","MRP, ",""))-2),IF(COUNTIF(Vendors!$B$3:$B$202,C732)=0,"Add vendor "&amp;C732&amp;" on the Vendors sheet",IF(ISNA(MATCH(H732,Codes!$A$2:$A$13,0)),"Pick the HSN Code from the list",IF(AND(E732&lt;&gt;"",COUNTIFS($C$3:$C$1002,C732,$E$3:$E$1002,E732,$F$3:$F$1002,"&lt;&gt;"&amp;F732)+COUNTIFS($C$3:$C$1002,C732,$E$3:$E$1002,E732,$G$3:$G$1002,"&lt;&gt;"&amp;G732)&gt;0),"Design "&amp;E732&amp;" has another Product Type or Category on another row",IF(COUNTIFS($F$3:$F$1002,F732,$G$3:$G$1002,G732,$H$3:$H$1002,"&lt;&gt;"&amp;H732)&gt;0,F732&amp;" + "&amp;G732&amp;" has another HSN Code on another row",IF(AND(V732&lt;&gt;"",U732=""),"Received Qty needs the Vendor Invoice No",IF(AND(U732&lt;&gt;"",COUNTIFS(Bills!$B$3:$B$302,U732,Bills!$C$3:$C$302,C732)=0),"Add bill "&amp;U732&amp;" of "&amp;C732&amp;" on the Bills sheet",IF(S732&lt;R732,"MRP is below the Purchase Rate","OK")))))))))</f>
        <v/>
      </c>
      <c r="B732" s="29"/>
      <c r="C732" s="22"/>
      <c r="D732" s="22"/>
      <c r="E732" s="24"/>
      <c r="F732" s="22"/>
      <c r="G732" s="22"/>
      <c r="H732" s="22"/>
      <c r="I732" s="30" t="str">
        <f>IF(H732="","",IFERROR(INDEX(Codes!$B$2:$B$13,MATCH(H732,Codes!$A$2:$A$13,0)),""))</f>
        <v/>
      </c>
      <c r="J732" s="23"/>
      <c r="K732" s="23"/>
      <c r="L732" s="23"/>
      <c r="M732" s="23"/>
      <c r="N732" s="23"/>
      <c r="O732" s="23"/>
      <c r="P732" s="23"/>
      <c r="Q732" s="31"/>
      <c r="R732" s="32"/>
      <c r="S732" s="32"/>
      <c r="T732" s="33" t="str">
        <f t="shared" si="22"/>
        <v/>
      </c>
      <c r="U732" s="34"/>
      <c r="V732" s="35"/>
      <c r="W732" s="33" t="str">
        <f t="shared" si="23"/>
        <v/>
      </c>
    </row>
    <row r="733" spans="1:23" x14ac:dyDescent="0.35">
      <c r="A733" s="21" t="str">
        <f>IF(COUNTA(B733:H733,J733:S733,U733:V733)=0,"",IF((IF(B733="","PO Ref, ","")&amp;IF(C733="","Vendor, ","")&amp;IF(D733="","Store, ","")&amp;IF(F733="","Product Type, ","")&amp;IF(G733="","Category, ","")&amp;IF(H733="","HSN Code, ","")&amp;IF(Q733="","Qty, ","")&amp;IF(R733="","Purchase Rate, ","")&amp;IF(S733="","MRP, ",""))&lt;&gt;"","Missing: "&amp;LEFT(IF(B733="","PO Ref, ","")&amp;IF(C733="","Vendor, ","")&amp;IF(D733="","Store, ","")&amp;IF(F733="","Product Type, ","")&amp;IF(G733="","Category, ","")&amp;IF(H733="","HSN Code, ","")&amp;IF(Q733="","Qty, ","")&amp;IF(R733="","Purchase Rate, ","")&amp;IF(S733="","MRP, ",""),LEN(IF(B733="","PO Ref, ","")&amp;IF(C733="","Vendor, ","")&amp;IF(D733="","Store, ","")&amp;IF(F733="","Product Type, ","")&amp;IF(G733="","Category, ","")&amp;IF(H733="","HSN Code, ","")&amp;IF(Q733="","Qty, ","")&amp;IF(R733="","Purchase Rate, ","")&amp;IF(S733="","MRP, ",""))-2),IF(COUNTIF(Vendors!$B$3:$B$202,C733)=0,"Add vendor "&amp;C733&amp;" on the Vendors sheet",IF(ISNA(MATCH(H733,Codes!$A$2:$A$13,0)),"Pick the HSN Code from the list",IF(AND(E733&lt;&gt;"",COUNTIFS($C$3:$C$1002,C733,$E$3:$E$1002,E733,$F$3:$F$1002,"&lt;&gt;"&amp;F733)+COUNTIFS($C$3:$C$1002,C733,$E$3:$E$1002,E733,$G$3:$G$1002,"&lt;&gt;"&amp;G733)&gt;0),"Design "&amp;E733&amp;" has another Product Type or Category on another row",IF(COUNTIFS($F$3:$F$1002,F733,$G$3:$G$1002,G733,$H$3:$H$1002,"&lt;&gt;"&amp;H733)&gt;0,F733&amp;" + "&amp;G733&amp;" has another HSN Code on another row",IF(AND(V733&lt;&gt;"",U733=""),"Received Qty needs the Vendor Invoice No",IF(AND(U733&lt;&gt;"",COUNTIFS(Bills!$B$3:$B$302,U733,Bills!$C$3:$C$302,C733)=0),"Add bill "&amp;U733&amp;" of "&amp;C733&amp;" on the Bills sheet",IF(S733&lt;R733,"MRP is below the Purchase Rate","OK")))))))))</f>
        <v/>
      </c>
      <c r="B733" s="29"/>
      <c r="C733" s="22"/>
      <c r="D733" s="22"/>
      <c r="E733" s="24"/>
      <c r="F733" s="22"/>
      <c r="G733" s="22"/>
      <c r="H733" s="22"/>
      <c r="I733" s="30" t="str">
        <f>IF(H733="","",IFERROR(INDEX(Codes!$B$2:$B$13,MATCH(H733,Codes!$A$2:$A$13,0)),""))</f>
        <v/>
      </c>
      <c r="J733" s="23"/>
      <c r="K733" s="23"/>
      <c r="L733" s="23"/>
      <c r="M733" s="23"/>
      <c r="N733" s="23"/>
      <c r="O733" s="23"/>
      <c r="P733" s="23"/>
      <c r="Q733" s="31"/>
      <c r="R733" s="32"/>
      <c r="S733" s="32"/>
      <c r="T733" s="33" t="str">
        <f t="shared" si="22"/>
        <v/>
      </c>
      <c r="U733" s="34"/>
      <c r="V733" s="35"/>
      <c r="W733" s="33" t="str">
        <f t="shared" si="23"/>
        <v/>
      </c>
    </row>
    <row r="734" spans="1:23" x14ac:dyDescent="0.35">
      <c r="A734" s="21" t="str">
        <f>IF(COUNTA(B734:H734,J734:S734,U734:V734)=0,"",IF((IF(B734="","PO Ref, ","")&amp;IF(C734="","Vendor, ","")&amp;IF(D734="","Store, ","")&amp;IF(F734="","Product Type, ","")&amp;IF(G734="","Category, ","")&amp;IF(H734="","HSN Code, ","")&amp;IF(Q734="","Qty, ","")&amp;IF(R734="","Purchase Rate, ","")&amp;IF(S734="","MRP, ",""))&lt;&gt;"","Missing: "&amp;LEFT(IF(B734="","PO Ref, ","")&amp;IF(C734="","Vendor, ","")&amp;IF(D734="","Store, ","")&amp;IF(F734="","Product Type, ","")&amp;IF(G734="","Category, ","")&amp;IF(H734="","HSN Code, ","")&amp;IF(Q734="","Qty, ","")&amp;IF(R734="","Purchase Rate, ","")&amp;IF(S734="","MRP, ",""),LEN(IF(B734="","PO Ref, ","")&amp;IF(C734="","Vendor, ","")&amp;IF(D734="","Store, ","")&amp;IF(F734="","Product Type, ","")&amp;IF(G734="","Category, ","")&amp;IF(H734="","HSN Code, ","")&amp;IF(Q734="","Qty, ","")&amp;IF(R734="","Purchase Rate, ","")&amp;IF(S734="","MRP, ",""))-2),IF(COUNTIF(Vendors!$B$3:$B$202,C734)=0,"Add vendor "&amp;C734&amp;" on the Vendors sheet",IF(ISNA(MATCH(H734,Codes!$A$2:$A$13,0)),"Pick the HSN Code from the list",IF(AND(E734&lt;&gt;"",COUNTIFS($C$3:$C$1002,C734,$E$3:$E$1002,E734,$F$3:$F$1002,"&lt;&gt;"&amp;F734)+COUNTIFS($C$3:$C$1002,C734,$E$3:$E$1002,E734,$G$3:$G$1002,"&lt;&gt;"&amp;G734)&gt;0),"Design "&amp;E734&amp;" has another Product Type or Category on another row",IF(COUNTIFS($F$3:$F$1002,F734,$G$3:$G$1002,G734,$H$3:$H$1002,"&lt;&gt;"&amp;H734)&gt;0,F734&amp;" + "&amp;G734&amp;" has another HSN Code on another row",IF(AND(V734&lt;&gt;"",U734=""),"Received Qty needs the Vendor Invoice No",IF(AND(U734&lt;&gt;"",COUNTIFS(Bills!$B$3:$B$302,U734,Bills!$C$3:$C$302,C734)=0),"Add bill "&amp;U734&amp;" of "&amp;C734&amp;" on the Bills sheet",IF(S734&lt;R734,"MRP is below the Purchase Rate","OK")))))))))</f>
        <v/>
      </c>
      <c r="B734" s="29"/>
      <c r="C734" s="22"/>
      <c r="D734" s="22"/>
      <c r="E734" s="24"/>
      <c r="F734" s="22"/>
      <c r="G734" s="22"/>
      <c r="H734" s="22"/>
      <c r="I734" s="30" t="str">
        <f>IF(H734="","",IFERROR(INDEX(Codes!$B$2:$B$13,MATCH(H734,Codes!$A$2:$A$13,0)),""))</f>
        <v/>
      </c>
      <c r="J734" s="23"/>
      <c r="K734" s="23"/>
      <c r="L734" s="23"/>
      <c r="M734" s="23"/>
      <c r="N734" s="23"/>
      <c r="O734" s="23"/>
      <c r="P734" s="23"/>
      <c r="Q734" s="31"/>
      <c r="R734" s="32"/>
      <c r="S734" s="32"/>
      <c r="T734" s="33" t="str">
        <f t="shared" si="22"/>
        <v/>
      </c>
      <c r="U734" s="34"/>
      <c r="V734" s="35"/>
      <c r="W734" s="33" t="str">
        <f t="shared" si="23"/>
        <v/>
      </c>
    </row>
    <row r="735" spans="1:23" x14ac:dyDescent="0.35">
      <c r="A735" s="21" t="str">
        <f>IF(COUNTA(B735:H735,J735:S735,U735:V735)=0,"",IF((IF(B735="","PO Ref, ","")&amp;IF(C735="","Vendor, ","")&amp;IF(D735="","Store, ","")&amp;IF(F735="","Product Type, ","")&amp;IF(G735="","Category, ","")&amp;IF(H735="","HSN Code, ","")&amp;IF(Q735="","Qty, ","")&amp;IF(R735="","Purchase Rate, ","")&amp;IF(S735="","MRP, ",""))&lt;&gt;"","Missing: "&amp;LEFT(IF(B735="","PO Ref, ","")&amp;IF(C735="","Vendor, ","")&amp;IF(D735="","Store, ","")&amp;IF(F735="","Product Type, ","")&amp;IF(G735="","Category, ","")&amp;IF(H735="","HSN Code, ","")&amp;IF(Q735="","Qty, ","")&amp;IF(R735="","Purchase Rate, ","")&amp;IF(S735="","MRP, ",""),LEN(IF(B735="","PO Ref, ","")&amp;IF(C735="","Vendor, ","")&amp;IF(D735="","Store, ","")&amp;IF(F735="","Product Type, ","")&amp;IF(G735="","Category, ","")&amp;IF(H735="","HSN Code, ","")&amp;IF(Q735="","Qty, ","")&amp;IF(R735="","Purchase Rate, ","")&amp;IF(S735="","MRP, ",""))-2),IF(COUNTIF(Vendors!$B$3:$B$202,C735)=0,"Add vendor "&amp;C735&amp;" on the Vendors sheet",IF(ISNA(MATCH(H735,Codes!$A$2:$A$13,0)),"Pick the HSN Code from the list",IF(AND(E735&lt;&gt;"",COUNTIFS($C$3:$C$1002,C735,$E$3:$E$1002,E735,$F$3:$F$1002,"&lt;&gt;"&amp;F735)+COUNTIFS($C$3:$C$1002,C735,$E$3:$E$1002,E735,$G$3:$G$1002,"&lt;&gt;"&amp;G735)&gt;0),"Design "&amp;E735&amp;" has another Product Type or Category on another row",IF(COUNTIFS($F$3:$F$1002,F735,$G$3:$G$1002,G735,$H$3:$H$1002,"&lt;&gt;"&amp;H735)&gt;0,F735&amp;" + "&amp;G735&amp;" has another HSN Code on another row",IF(AND(V735&lt;&gt;"",U735=""),"Received Qty needs the Vendor Invoice No",IF(AND(U735&lt;&gt;"",COUNTIFS(Bills!$B$3:$B$302,U735,Bills!$C$3:$C$302,C735)=0),"Add bill "&amp;U735&amp;" of "&amp;C735&amp;" on the Bills sheet",IF(S735&lt;R735,"MRP is below the Purchase Rate","OK")))))))))</f>
        <v/>
      </c>
      <c r="B735" s="29"/>
      <c r="C735" s="22"/>
      <c r="D735" s="22"/>
      <c r="E735" s="24"/>
      <c r="F735" s="22"/>
      <c r="G735" s="22"/>
      <c r="H735" s="22"/>
      <c r="I735" s="30" t="str">
        <f>IF(H735="","",IFERROR(INDEX(Codes!$B$2:$B$13,MATCH(H735,Codes!$A$2:$A$13,0)),""))</f>
        <v/>
      </c>
      <c r="J735" s="23"/>
      <c r="K735" s="23"/>
      <c r="L735" s="23"/>
      <c r="M735" s="23"/>
      <c r="N735" s="23"/>
      <c r="O735" s="23"/>
      <c r="P735" s="23"/>
      <c r="Q735" s="31"/>
      <c r="R735" s="32"/>
      <c r="S735" s="32"/>
      <c r="T735" s="33" t="str">
        <f t="shared" si="22"/>
        <v/>
      </c>
      <c r="U735" s="34"/>
      <c r="V735" s="35"/>
      <c r="W735" s="33" t="str">
        <f t="shared" si="23"/>
        <v/>
      </c>
    </row>
    <row r="736" spans="1:23" x14ac:dyDescent="0.35">
      <c r="A736" s="21" t="str">
        <f>IF(COUNTA(B736:H736,J736:S736,U736:V736)=0,"",IF((IF(B736="","PO Ref, ","")&amp;IF(C736="","Vendor, ","")&amp;IF(D736="","Store, ","")&amp;IF(F736="","Product Type, ","")&amp;IF(G736="","Category, ","")&amp;IF(H736="","HSN Code, ","")&amp;IF(Q736="","Qty, ","")&amp;IF(R736="","Purchase Rate, ","")&amp;IF(S736="","MRP, ",""))&lt;&gt;"","Missing: "&amp;LEFT(IF(B736="","PO Ref, ","")&amp;IF(C736="","Vendor, ","")&amp;IF(D736="","Store, ","")&amp;IF(F736="","Product Type, ","")&amp;IF(G736="","Category, ","")&amp;IF(H736="","HSN Code, ","")&amp;IF(Q736="","Qty, ","")&amp;IF(R736="","Purchase Rate, ","")&amp;IF(S736="","MRP, ",""),LEN(IF(B736="","PO Ref, ","")&amp;IF(C736="","Vendor, ","")&amp;IF(D736="","Store, ","")&amp;IF(F736="","Product Type, ","")&amp;IF(G736="","Category, ","")&amp;IF(H736="","HSN Code, ","")&amp;IF(Q736="","Qty, ","")&amp;IF(R736="","Purchase Rate, ","")&amp;IF(S736="","MRP, ",""))-2),IF(COUNTIF(Vendors!$B$3:$B$202,C736)=0,"Add vendor "&amp;C736&amp;" on the Vendors sheet",IF(ISNA(MATCH(H736,Codes!$A$2:$A$13,0)),"Pick the HSN Code from the list",IF(AND(E736&lt;&gt;"",COUNTIFS($C$3:$C$1002,C736,$E$3:$E$1002,E736,$F$3:$F$1002,"&lt;&gt;"&amp;F736)+COUNTIFS($C$3:$C$1002,C736,$E$3:$E$1002,E736,$G$3:$G$1002,"&lt;&gt;"&amp;G736)&gt;0),"Design "&amp;E736&amp;" has another Product Type or Category on another row",IF(COUNTIFS($F$3:$F$1002,F736,$G$3:$G$1002,G736,$H$3:$H$1002,"&lt;&gt;"&amp;H736)&gt;0,F736&amp;" + "&amp;G736&amp;" has another HSN Code on another row",IF(AND(V736&lt;&gt;"",U736=""),"Received Qty needs the Vendor Invoice No",IF(AND(U736&lt;&gt;"",COUNTIFS(Bills!$B$3:$B$302,U736,Bills!$C$3:$C$302,C736)=0),"Add bill "&amp;U736&amp;" of "&amp;C736&amp;" on the Bills sheet",IF(S736&lt;R736,"MRP is below the Purchase Rate","OK")))))))))</f>
        <v/>
      </c>
      <c r="B736" s="29"/>
      <c r="C736" s="22"/>
      <c r="D736" s="22"/>
      <c r="E736" s="24"/>
      <c r="F736" s="22"/>
      <c r="G736" s="22"/>
      <c r="H736" s="22"/>
      <c r="I736" s="30" t="str">
        <f>IF(H736="","",IFERROR(INDEX(Codes!$B$2:$B$13,MATCH(H736,Codes!$A$2:$A$13,0)),""))</f>
        <v/>
      </c>
      <c r="J736" s="23"/>
      <c r="K736" s="23"/>
      <c r="L736" s="23"/>
      <c r="M736" s="23"/>
      <c r="N736" s="23"/>
      <c r="O736" s="23"/>
      <c r="P736" s="23"/>
      <c r="Q736" s="31"/>
      <c r="R736" s="32"/>
      <c r="S736" s="32"/>
      <c r="T736" s="33" t="str">
        <f t="shared" si="22"/>
        <v/>
      </c>
      <c r="U736" s="34"/>
      <c r="V736" s="35"/>
      <c r="W736" s="33" t="str">
        <f t="shared" si="23"/>
        <v/>
      </c>
    </row>
    <row r="737" spans="1:23" x14ac:dyDescent="0.35">
      <c r="A737" s="21" t="str">
        <f>IF(COUNTA(B737:H737,J737:S737,U737:V737)=0,"",IF((IF(B737="","PO Ref, ","")&amp;IF(C737="","Vendor, ","")&amp;IF(D737="","Store, ","")&amp;IF(F737="","Product Type, ","")&amp;IF(G737="","Category, ","")&amp;IF(H737="","HSN Code, ","")&amp;IF(Q737="","Qty, ","")&amp;IF(R737="","Purchase Rate, ","")&amp;IF(S737="","MRP, ",""))&lt;&gt;"","Missing: "&amp;LEFT(IF(B737="","PO Ref, ","")&amp;IF(C737="","Vendor, ","")&amp;IF(D737="","Store, ","")&amp;IF(F737="","Product Type, ","")&amp;IF(G737="","Category, ","")&amp;IF(H737="","HSN Code, ","")&amp;IF(Q737="","Qty, ","")&amp;IF(R737="","Purchase Rate, ","")&amp;IF(S737="","MRP, ",""),LEN(IF(B737="","PO Ref, ","")&amp;IF(C737="","Vendor, ","")&amp;IF(D737="","Store, ","")&amp;IF(F737="","Product Type, ","")&amp;IF(G737="","Category, ","")&amp;IF(H737="","HSN Code, ","")&amp;IF(Q737="","Qty, ","")&amp;IF(R737="","Purchase Rate, ","")&amp;IF(S737="","MRP, ",""))-2),IF(COUNTIF(Vendors!$B$3:$B$202,C737)=0,"Add vendor "&amp;C737&amp;" on the Vendors sheet",IF(ISNA(MATCH(H737,Codes!$A$2:$A$13,0)),"Pick the HSN Code from the list",IF(AND(E737&lt;&gt;"",COUNTIFS($C$3:$C$1002,C737,$E$3:$E$1002,E737,$F$3:$F$1002,"&lt;&gt;"&amp;F737)+COUNTIFS($C$3:$C$1002,C737,$E$3:$E$1002,E737,$G$3:$G$1002,"&lt;&gt;"&amp;G737)&gt;0),"Design "&amp;E737&amp;" has another Product Type or Category on another row",IF(COUNTIFS($F$3:$F$1002,F737,$G$3:$G$1002,G737,$H$3:$H$1002,"&lt;&gt;"&amp;H737)&gt;0,F737&amp;" + "&amp;G737&amp;" has another HSN Code on another row",IF(AND(V737&lt;&gt;"",U737=""),"Received Qty needs the Vendor Invoice No",IF(AND(U737&lt;&gt;"",COUNTIFS(Bills!$B$3:$B$302,U737,Bills!$C$3:$C$302,C737)=0),"Add bill "&amp;U737&amp;" of "&amp;C737&amp;" on the Bills sheet",IF(S737&lt;R737,"MRP is below the Purchase Rate","OK")))))))))</f>
        <v/>
      </c>
      <c r="B737" s="29"/>
      <c r="C737" s="22"/>
      <c r="D737" s="22"/>
      <c r="E737" s="24"/>
      <c r="F737" s="22"/>
      <c r="G737" s="22"/>
      <c r="H737" s="22"/>
      <c r="I737" s="30" t="str">
        <f>IF(H737="","",IFERROR(INDEX(Codes!$B$2:$B$13,MATCH(H737,Codes!$A$2:$A$13,0)),""))</f>
        <v/>
      </c>
      <c r="J737" s="23"/>
      <c r="K737" s="23"/>
      <c r="L737" s="23"/>
      <c r="M737" s="23"/>
      <c r="N737" s="23"/>
      <c r="O737" s="23"/>
      <c r="P737" s="23"/>
      <c r="Q737" s="31"/>
      <c r="R737" s="32"/>
      <c r="S737" s="32"/>
      <c r="T737" s="33" t="str">
        <f t="shared" si="22"/>
        <v/>
      </c>
      <c r="U737" s="34"/>
      <c r="V737" s="35"/>
      <c r="W737" s="33" t="str">
        <f t="shared" si="23"/>
        <v/>
      </c>
    </row>
    <row r="738" spans="1:23" x14ac:dyDescent="0.35">
      <c r="A738" s="21" t="str">
        <f>IF(COUNTA(B738:H738,J738:S738,U738:V738)=0,"",IF((IF(B738="","PO Ref, ","")&amp;IF(C738="","Vendor, ","")&amp;IF(D738="","Store, ","")&amp;IF(F738="","Product Type, ","")&amp;IF(G738="","Category, ","")&amp;IF(H738="","HSN Code, ","")&amp;IF(Q738="","Qty, ","")&amp;IF(R738="","Purchase Rate, ","")&amp;IF(S738="","MRP, ",""))&lt;&gt;"","Missing: "&amp;LEFT(IF(B738="","PO Ref, ","")&amp;IF(C738="","Vendor, ","")&amp;IF(D738="","Store, ","")&amp;IF(F738="","Product Type, ","")&amp;IF(G738="","Category, ","")&amp;IF(H738="","HSN Code, ","")&amp;IF(Q738="","Qty, ","")&amp;IF(R738="","Purchase Rate, ","")&amp;IF(S738="","MRP, ",""),LEN(IF(B738="","PO Ref, ","")&amp;IF(C738="","Vendor, ","")&amp;IF(D738="","Store, ","")&amp;IF(F738="","Product Type, ","")&amp;IF(G738="","Category, ","")&amp;IF(H738="","HSN Code, ","")&amp;IF(Q738="","Qty, ","")&amp;IF(R738="","Purchase Rate, ","")&amp;IF(S738="","MRP, ",""))-2),IF(COUNTIF(Vendors!$B$3:$B$202,C738)=0,"Add vendor "&amp;C738&amp;" on the Vendors sheet",IF(ISNA(MATCH(H738,Codes!$A$2:$A$13,0)),"Pick the HSN Code from the list",IF(AND(E738&lt;&gt;"",COUNTIFS($C$3:$C$1002,C738,$E$3:$E$1002,E738,$F$3:$F$1002,"&lt;&gt;"&amp;F738)+COUNTIFS($C$3:$C$1002,C738,$E$3:$E$1002,E738,$G$3:$G$1002,"&lt;&gt;"&amp;G738)&gt;0),"Design "&amp;E738&amp;" has another Product Type or Category on another row",IF(COUNTIFS($F$3:$F$1002,F738,$G$3:$G$1002,G738,$H$3:$H$1002,"&lt;&gt;"&amp;H738)&gt;0,F738&amp;" + "&amp;G738&amp;" has another HSN Code on another row",IF(AND(V738&lt;&gt;"",U738=""),"Received Qty needs the Vendor Invoice No",IF(AND(U738&lt;&gt;"",COUNTIFS(Bills!$B$3:$B$302,U738,Bills!$C$3:$C$302,C738)=0),"Add bill "&amp;U738&amp;" of "&amp;C738&amp;" on the Bills sheet",IF(S738&lt;R738,"MRP is below the Purchase Rate","OK")))))))))</f>
        <v/>
      </c>
      <c r="B738" s="29"/>
      <c r="C738" s="22"/>
      <c r="D738" s="22"/>
      <c r="E738" s="24"/>
      <c r="F738" s="22"/>
      <c r="G738" s="22"/>
      <c r="H738" s="22"/>
      <c r="I738" s="30" t="str">
        <f>IF(H738="","",IFERROR(INDEX(Codes!$B$2:$B$13,MATCH(H738,Codes!$A$2:$A$13,0)),""))</f>
        <v/>
      </c>
      <c r="J738" s="23"/>
      <c r="K738" s="23"/>
      <c r="L738" s="23"/>
      <c r="M738" s="23"/>
      <c r="N738" s="23"/>
      <c r="O738" s="23"/>
      <c r="P738" s="23"/>
      <c r="Q738" s="31"/>
      <c r="R738" s="32"/>
      <c r="S738" s="32"/>
      <c r="T738" s="33" t="str">
        <f t="shared" si="22"/>
        <v/>
      </c>
      <c r="U738" s="34"/>
      <c r="V738" s="35"/>
      <c r="W738" s="33" t="str">
        <f t="shared" si="23"/>
        <v/>
      </c>
    </row>
    <row r="739" spans="1:23" x14ac:dyDescent="0.35">
      <c r="A739" s="21" t="str">
        <f>IF(COUNTA(B739:H739,J739:S739,U739:V739)=0,"",IF((IF(B739="","PO Ref, ","")&amp;IF(C739="","Vendor, ","")&amp;IF(D739="","Store, ","")&amp;IF(F739="","Product Type, ","")&amp;IF(G739="","Category, ","")&amp;IF(H739="","HSN Code, ","")&amp;IF(Q739="","Qty, ","")&amp;IF(R739="","Purchase Rate, ","")&amp;IF(S739="","MRP, ",""))&lt;&gt;"","Missing: "&amp;LEFT(IF(B739="","PO Ref, ","")&amp;IF(C739="","Vendor, ","")&amp;IF(D739="","Store, ","")&amp;IF(F739="","Product Type, ","")&amp;IF(G739="","Category, ","")&amp;IF(H739="","HSN Code, ","")&amp;IF(Q739="","Qty, ","")&amp;IF(R739="","Purchase Rate, ","")&amp;IF(S739="","MRP, ",""),LEN(IF(B739="","PO Ref, ","")&amp;IF(C739="","Vendor, ","")&amp;IF(D739="","Store, ","")&amp;IF(F739="","Product Type, ","")&amp;IF(G739="","Category, ","")&amp;IF(H739="","HSN Code, ","")&amp;IF(Q739="","Qty, ","")&amp;IF(R739="","Purchase Rate, ","")&amp;IF(S739="","MRP, ",""))-2),IF(COUNTIF(Vendors!$B$3:$B$202,C739)=0,"Add vendor "&amp;C739&amp;" on the Vendors sheet",IF(ISNA(MATCH(H739,Codes!$A$2:$A$13,0)),"Pick the HSN Code from the list",IF(AND(E739&lt;&gt;"",COUNTIFS($C$3:$C$1002,C739,$E$3:$E$1002,E739,$F$3:$F$1002,"&lt;&gt;"&amp;F739)+COUNTIFS($C$3:$C$1002,C739,$E$3:$E$1002,E739,$G$3:$G$1002,"&lt;&gt;"&amp;G739)&gt;0),"Design "&amp;E739&amp;" has another Product Type or Category on another row",IF(COUNTIFS($F$3:$F$1002,F739,$G$3:$G$1002,G739,$H$3:$H$1002,"&lt;&gt;"&amp;H739)&gt;0,F739&amp;" + "&amp;G739&amp;" has another HSN Code on another row",IF(AND(V739&lt;&gt;"",U739=""),"Received Qty needs the Vendor Invoice No",IF(AND(U739&lt;&gt;"",COUNTIFS(Bills!$B$3:$B$302,U739,Bills!$C$3:$C$302,C739)=0),"Add bill "&amp;U739&amp;" of "&amp;C739&amp;" on the Bills sheet",IF(S739&lt;R739,"MRP is below the Purchase Rate","OK")))))))))</f>
        <v/>
      </c>
      <c r="B739" s="29"/>
      <c r="C739" s="22"/>
      <c r="D739" s="22"/>
      <c r="E739" s="24"/>
      <c r="F739" s="22"/>
      <c r="G739" s="22"/>
      <c r="H739" s="22"/>
      <c r="I739" s="30" t="str">
        <f>IF(H739="","",IFERROR(INDEX(Codes!$B$2:$B$13,MATCH(H739,Codes!$A$2:$A$13,0)),""))</f>
        <v/>
      </c>
      <c r="J739" s="23"/>
      <c r="K739" s="23"/>
      <c r="L739" s="23"/>
      <c r="M739" s="23"/>
      <c r="N739" s="23"/>
      <c r="O739" s="23"/>
      <c r="P739" s="23"/>
      <c r="Q739" s="31"/>
      <c r="R739" s="32"/>
      <c r="S739" s="32"/>
      <c r="T739" s="33" t="str">
        <f t="shared" si="22"/>
        <v/>
      </c>
      <c r="U739" s="34"/>
      <c r="V739" s="35"/>
      <c r="W739" s="33" t="str">
        <f t="shared" si="23"/>
        <v/>
      </c>
    </row>
    <row r="740" spans="1:23" x14ac:dyDescent="0.35">
      <c r="A740" s="21" t="str">
        <f>IF(COUNTA(B740:H740,J740:S740,U740:V740)=0,"",IF((IF(B740="","PO Ref, ","")&amp;IF(C740="","Vendor, ","")&amp;IF(D740="","Store, ","")&amp;IF(F740="","Product Type, ","")&amp;IF(G740="","Category, ","")&amp;IF(H740="","HSN Code, ","")&amp;IF(Q740="","Qty, ","")&amp;IF(R740="","Purchase Rate, ","")&amp;IF(S740="","MRP, ",""))&lt;&gt;"","Missing: "&amp;LEFT(IF(B740="","PO Ref, ","")&amp;IF(C740="","Vendor, ","")&amp;IF(D740="","Store, ","")&amp;IF(F740="","Product Type, ","")&amp;IF(G740="","Category, ","")&amp;IF(H740="","HSN Code, ","")&amp;IF(Q740="","Qty, ","")&amp;IF(R740="","Purchase Rate, ","")&amp;IF(S740="","MRP, ",""),LEN(IF(B740="","PO Ref, ","")&amp;IF(C740="","Vendor, ","")&amp;IF(D740="","Store, ","")&amp;IF(F740="","Product Type, ","")&amp;IF(G740="","Category, ","")&amp;IF(H740="","HSN Code, ","")&amp;IF(Q740="","Qty, ","")&amp;IF(R740="","Purchase Rate, ","")&amp;IF(S740="","MRP, ",""))-2),IF(COUNTIF(Vendors!$B$3:$B$202,C740)=0,"Add vendor "&amp;C740&amp;" on the Vendors sheet",IF(ISNA(MATCH(H740,Codes!$A$2:$A$13,0)),"Pick the HSN Code from the list",IF(AND(E740&lt;&gt;"",COUNTIFS($C$3:$C$1002,C740,$E$3:$E$1002,E740,$F$3:$F$1002,"&lt;&gt;"&amp;F740)+COUNTIFS($C$3:$C$1002,C740,$E$3:$E$1002,E740,$G$3:$G$1002,"&lt;&gt;"&amp;G740)&gt;0),"Design "&amp;E740&amp;" has another Product Type or Category on another row",IF(COUNTIFS($F$3:$F$1002,F740,$G$3:$G$1002,G740,$H$3:$H$1002,"&lt;&gt;"&amp;H740)&gt;0,F740&amp;" + "&amp;G740&amp;" has another HSN Code on another row",IF(AND(V740&lt;&gt;"",U740=""),"Received Qty needs the Vendor Invoice No",IF(AND(U740&lt;&gt;"",COUNTIFS(Bills!$B$3:$B$302,U740,Bills!$C$3:$C$302,C740)=0),"Add bill "&amp;U740&amp;" of "&amp;C740&amp;" on the Bills sheet",IF(S740&lt;R740,"MRP is below the Purchase Rate","OK")))))))))</f>
        <v/>
      </c>
      <c r="B740" s="29"/>
      <c r="C740" s="22"/>
      <c r="D740" s="22"/>
      <c r="E740" s="24"/>
      <c r="F740" s="22"/>
      <c r="G740" s="22"/>
      <c r="H740" s="22"/>
      <c r="I740" s="30" t="str">
        <f>IF(H740="","",IFERROR(INDEX(Codes!$B$2:$B$13,MATCH(H740,Codes!$A$2:$A$13,0)),""))</f>
        <v/>
      </c>
      <c r="J740" s="23"/>
      <c r="K740" s="23"/>
      <c r="L740" s="23"/>
      <c r="M740" s="23"/>
      <c r="N740" s="23"/>
      <c r="O740" s="23"/>
      <c r="P740" s="23"/>
      <c r="Q740" s="31"/>
      <c r="R740" s="32"/>
      <c r="S740" s="32"/>
      <c r="T740" s="33" t="str">
        <f t="shared" si="22"/>
        <v/>
      </c>
      <c r="U740" s="34"/>
      <c r="V740" s="35"/>
      <c r="W740" s="33" t="str">
        <f t="shared" si="23"/>
        <v/>
      </c>
    </row>
    <row r="741" spans="1:23" x14ac:dyDescent="0.35">
      <c r="A741" s="21" t="str">
        <f>IF(COUNTA(B741:H741,J741:S741,U741:V741)=0,"",IF((IF(B741="","PO Ref, ","")&amp;IF(C741="","Vendor, ","")&amp;IF(D741="","Store, ","")&amp;IF(F741="","Product Type, ","")&amp;IF(G741="","Category, ","")&amp;IF(H741="","HSN Code, ","")&amp;IF(Q741="","Qty, ","")&amp;IF(R741="","Purchase Rate, ","")&amp;IF(S741="","MRP, ",""))&lt;&gt;"","Missing: "&amp;LEFT(IF(B741="","PO Ref, ","")&amp;IF(C741="","Vendor, ","")&amp;IF(D741="","Store, ","")&amp;IF(F741="","Product Type, ","")&amp;IF(G741="","Category, ","")&amp;IF(H741="","HSN Code, ","")&amp;IF(Q741="","Qty, ","")&amp;IF(R741="","Purchase Rate, ","")&amp;IF(S741="","MRP, ",""),LEN(IF(B741="","PO Ref, ","")&amp;IF(C741="","Vendor, ","")&amp;IF(D741="","Store, ","")&amp;IF(F741="","Product Type, ","")&amp;IF(G741="","Category, ","")&amp;IF(H741="","HSN Code, ","")&amp;IF(Q741="","Qty, ","")&amp;IF(R741="","Purchase Rate, ","")&amp;IF(S741="","MRP, ",""))-2),IF(COUNTIF(Vendors!$B$3:$B$202,C741)=0,"Add vendor "&amp;C741&amp;" on the Vendors sheet",IF(ISNA(MATCH(H741,Codes!$A$2:$A$13,0)),"Pick the HSN Code from the list",IF(AND(E741&lt;&gt;"",COUNTIFS($C$3:$C$1002,C741,$E$3:$E$1002,E741,$F$3:$F$1002,"&lt;&gt;"&amp;F741)+COUNTIFS($C$3:$C$1002,C741,$E$3:$E$1002,E741,$G$3:$G$1002,"&lt;&gt;"&amp;G741)&gt;0),"Design "&amp;E741&amp;" has another Product Type or Category on another row",IF(COUNTIFS($F$3:$F$1002,F741,$G$3:$G$1002,G741,$H$3:$H$1002,"&lt;&gt;"&amp;H741)&gt;0,F741&amp;" + "&amp;G741&amp;" has another HSN Code on another row",IF(AND(V741&lt;&gt;"",U741=""),"Received Qty needs the Vendor Invoice No",IF(AND(U741&lt;&gt;"",COUNTIFS(Bills!$B$3:$B$302,U741,Bills!$C$3:$C$302,C741)=0),"Add bill "&amp;U741&amp;" of "&amp;C741&amp;" on the Bills sheet",IF(S741&lt;R741,"MRP is below the Purchase Rate","OK")))))))))</f>
        <v/>
      </c>
      <c r="B741" s="29"/>
      <c r="C741" s="22"/>
      <c r="D741" s="22"/>
      <c r="E741" s="24"/>
      <c r="F741" s="22"/>
      <c r="G741" s="22"/>
      <c r="H741" s="22"/>
      <c r="I741" s="30" t="str">
        <f>IF(H741="","",IFERROR(INDEX(Codes!$B$2:$B$13,MATCH(H741,Codes!$A$2:$A$13,0)),""))</f>
        <v/>
      </c>
      <c r="J741" s="23"/>
      <c r="K741" s="23"/>
      <c r="L741" s="23"/>
      <c r="M741" s="23"/>
      <c r="N741" s="23"/>
      <c r="O741" s="23"/>
      <c r="P741" s="23"/>
      <c r="Q741" s="31"/>
      <c r="R741" s="32"/>
      <c r="S741" s="32"/>
      <c r="T741" s="33" t="str">
        <f t="shared" si="22"/>
        <v/>
      </c>
      <c r="U741" s="34"/>
      <c r="V741" s="35"/>
      <c r="W741" s="33" t="str">
        <f t="shared" si="23"/>
        <v/>
      </c>
    </row>
    <row r="742" spans="1:23" x14ac:dyDescent="0.35">
      <c r="A742" s="21" t="str">
        <f>IF(COUNTA(B742:H742,J742:S742,U742:V742)=0,"",IF((IF(B742="","PO Ref, ","")&amp;IF(C742="","Vendor, ","")&amp;IF(D742="","Store, ","")&amp;IF(F742="","Product Type, ","")&amp;IF(G742="","Category, ","")&amp;IF(H742="","HSN Code, ","")&amp;IF(Q742="","Qty, ","")&amp;IF(R742="","Purchase Rate, ","")&amp;IF(S742="","MRP, ",""))&lt;&gt;"","Missing: "&amp;LEFT(IF(B742="","PO Ref, ","")&amp;IF(C742="","Vendor, ","")&amp;IF(D742="","Store, ","")&amp;IF(F742="","Product Type, ","")&amp;IF(G742="","Category, ","")&amp;IF(H742="","HSN Code, ","")&amp;IF(Q742="","Qty, ","")&amp;IF(R742="","Purchase Rate, ","")&amp;IF(S742="","MRP, ",""),LEN(IF(B742="","PO Ref, ","")&amp;IF(C742="","Vendor, ","")&amp;IF(D742="","Store, ","")&amp;IF(F742="","Product Type, ","")&amp;IF(G742="","Category, ","")&amp;IF(H742="","HSN Code, ","")&amp;IF(Q742="","Qty, ","")&amp;IF(R742="","Purchase Rate, ","")&amp;IF(S742="","MRP, ",""))-2),IF(COUNTIF(Vendors!$B$3:$B$202,C742)=0,"Add vendor "&amp;C742&amp;" on the Vendors sheet",IF(ISNA(MATCH(H742,Codes!$A$2:$A$13,0)),"Pick the HSN Code from the list",IF(AND(E742&lt;&gt;"",COUNTIFS($C$3:$C$1002,C742,$E$3:$E$1002,E742,$F$3:$F$1002,"&lt;&gt;"&amp;F742)+COUNTIFS($C$3:$C$1002,C742,$E$3:$E$1002,E742,$G$3:$G$1002,"&lt;&gt;"&amp;G742)&gt;0),"Design "&amp;E742&amp;" has another Product Type or Category on another row",IF(COUNTIFS($F$3:$F$1002,F742,$G$3:$G$1002,G742,$H$3:$H$1002,"&lt;&gt;"&amp;H742)&gt;0,F742&amp;" + "&amp;G742&amp;" has another HSN Code on another row",IF(AND(V742&lt;&gt;"",U742=""),"Received Qty needs the Vendor Invoice No",IF(AND(U742&lt;&gt;"",COUNTIFS(Bills!$B$3:$B$302,U742,Bills!$C$3:$C$302,C742)=0),"Add bill "&amp;U742&amp;" of "&amp;C742&amp;" on the Bills sheet",IF(S742&lt;R742,"MRP is below the Purchase Rate","OK")))))))))</f>
        <v/>
      </c>
      <c r="B742" s="29"/>
      <c r="C742" s="22"/>
      <c r="D742" s="22"/>
      <c r="E742" s="24"/>
      <c r="F742" s="22"/>
      <c r="G742" s="22"/>
      <c r="H742" s="22"/>
      <c r="I742" s="30" t="str">
        <f>IF(H742="","",IFERROR(INDEX(Codes!$B$2:$B$13,MATCH(H742,Codes!$A$2:$A$13,0)),""))</f>
        <v/>
      </c>
      <c r="J742" s="23"/>
      <c r="K742" s="23"/>
      <c r="L742" s="23"/>
      <c r="M742" s="23"/>
      <c r="N742" s="23"/>
      <c r="O742" s="23"/>
      <c r="P742" s="23"/>
      <c r="Q742" s="31"/>
      <c r="R742" s="32"/>
      <c r="S742" s="32"/>
      <c r="T742" s="33" t="str">
        <f t="shared" si="22"/>
        <v/>
      </c>
      <c r="U742" s="34"/>
      <c r="V742" s="35"/>
      <c r="W742" s="33" t="str">
        <f t="shared" si="23"/>
        <v/>
      </c>
    </row>
    <row r="743" spans="1:23" x14ac:dyDescent="0.35">
      <c r="A743" s="21" t="str">
        <f>IF(COUNTA(B743:H743,J743:S743,U743:V743)=0,"",IF((IF(B743="","PO Ref, ","")&amp;IF(C743="","Vendor, ","")&amp;IF(D743="","Store, ","")&amp;IF(F743="","Product Type, ","")&amp;IF(G743="","Category, ","")&amp;IF(H743="","HSN Code, ","")&amp;IF(Q743="","Qty, ","")&amp;IF(R743="","Purchase Rate, ","")&amp;IF(S743="","MRP, ",""))&lt;&gt;"","Missing: "&amp;LEFT(IF(B743="","PO Ref, ","")&amp;IF(C743="","Vendor, ","")&amp;IF(D743="","Store, ","")&amp;IF(F743="","Product Type, ","")&amp;IF(G743="","Category, ","")&amp;IF(H743="","HSN Code, ","")&amp;IF(Q743="","Qty, ","")&amp;IF(R743="","Purchase Rate, ","")&amp;IF(S743="","MRP, ",""),LEN(IF(B743="","PO Ref, ","")&amp;IF(C743="","Vendor, ","")&amp;IF(D743="","Store, ","")&amp;IF(F743="","Product Type, ","")&amp;IF(G743="","Category, ","")&amp;IF(H743="","HSN Code, ","")&amp;IF(Q743="","Qty, ","")&amp;IF(R743="","Purchase Rate, ","")&amp;IF(S743="","MRP, ",""))-2),IF(COUNTIF(Vendors!$B$3:$B$202,C743)=0,"Add vendor "&amp;C743&amp;" on the Vendors sheet",IF(ISNA(MATCH(H743,Codes!$A$2:$A$13,0)),"Pick the HSN Code from the list",IF(AND(E743&lt;&gt;"",COUNTIFS($C$3:$C$1002,C743,$E$3:$E$1002,E743,$F$3:$F$1002,"&lt;&gt;"&amp;F743)+COUNTIFS($C$3:$C$1002,C743,$E$3:$E$1002,E743,$G$3:$G$1002,"&lt;&gt;"&amp;G743)&gt;0),"Design "&amp;E743&amp;" has another Product Type or Category on another row",IF(COUNTIFS($F$3:$F$1002,F743,$G$3:$G$1002,G743,$H$3:$H$1002,"&lt;&gt;"&amp;H743)&gt;0,F743&amp;" + "&amp;G743&amp;" has another HSN Code on another row",IF(AND(V743&lt;&gt;"",U743=""),"Received Qty needs the Vendor Invoice No",IF(AND(U743&lt;&gt;"",COUNTIFS(Bills!$B$3:$B$302,U743,Bills!$C$3:$C$302,C743)=0),"Add bill "&amp;U743&amp;" of "&amp;C743&amp;" on the Bills sheet",IF(S743&lt;R743,"MRP is below the Purchase Rate","OK")))))))))</f>
        <v/>
      </c>
      <c r="B743" s="29"/>
      <c r="C743" s="22"/>
      <c r="D743" s="22"/>
      <c r="E743" s="24"/>
      <c r="F743" s="22"/>
      <c r="G743" s="22"/>
      <c r="H743" s="22"/>
      <c r="I743" s="30" t="str">
        <f>IF(H743="","",IFERROR(INDEX(Codes!$B$2:$B$13,MATCH(H743,Codes!$A$2:$A$13,0)),""))</f>
        <v/>
      </c>
      <c r="J743" s="23"/>
      <c r="K743" s="23"/>
      <c r="L743" s="23"/>
      <c r="M743" s="23"/>
      <c r="N743" s="23"/>
      <c r="O743" s="23"/>
      <c r="P743" s="23"/>
      <c r="Q743" s="31"/>
      <c r="R743" s="32"/>
      <c r="S743" s="32"/>
      <c r="T743" s="33" t="str">
        <f t="shared" si="22"/>
        <v/>
      </c>
      <c r="U743" s="34"/>
      <c r="V743" s="35"/>
      <c r="W743" s="33" t="str">
        <f t="shared" si="23"/>
        <v/>
      </c>
    </row>
    <row r="744" spans="1:23" x14ac:dyDescent="0.35">
      <c r="A744" s="21" t="str">
        <f>IF(COUNTA(B744:H744,J744:S744,U744:V744)=0,"",IF((IF(B744="","PO Ref, ","")&amp;IF(C744="","Vendor, ","")&amp;IF(D744="","Store, ","")&amp;IF(F744="","Product Type, ","")&amp;IF(G744="","Category, ","")&amp;IF(H744="","HSN Code, ","")&amp;IF(Q744="","Qty, ","")&amp;IF(R744="","Purchase Rate, ","")&amp;IF(S744="","MRP, ",""))&lt;&gt;"","Missing: "&amp;LEFT(IF(B744="","PO Ref, ","")&amp;IF(C744="","Vendor, ","")&amp;IF(D744="","Store, ","")&amp;IF(F744="","Product Type, ","")&amp;IF(G744="","Category, ","")&amp;IF(H744="","HSN Code, ","")&amp;IF(Q744="","Qty, ","")&amp;IF(R744="","Purchase Rate, ","")&amp;IF(S744="","MRP, ",""),LEN(IF(B744="","PO Ref, ","")&amp;IF(C744="","Vendor, ","")&amp;IF(D744="","Store, ","")&amp;IF(F744="","Product Type, ","")&amp;IF(G744="","Category, ","")&amp;IF(H744="","HSN Code, ","")&amp;IF(Q744="","Qty, ","")&amp;IF(R744="","Purchase Rate, ","")&amp;IF(S744="","MRP, ",""))-2),IF(COUNTIF(Vendors!$B$3:$B$202,C744)=0,"Add vendor "&amp;C744&amp;" on the Vendors sheet",IF(ISNA(MATCH(H744,Codes!$A$2:$A$13,0)),"Pick the HSN Code from the list",IF(AND(E744&lt;&gt;"",COUNTIFS($C$3:$C$1002,C744,$E$3:$E$1002,E744,$F$3:$F$1002,"&lt;&gt;"&amp;F744)+COUNTIFS($C$3:$C$1002,C744,$E$3:$E$1002,E744,$G$3:$G$1002,"&lt;&gt;"&amp;G744)&gt;0),"Design "&amp;E744&amp;" has another Product Type or Category on another row",IF(COUNTIFS($F$3:$F$1002,F744,$G$3:$G$1002,G744,$H$3:$H$1002,"&lt;&gt;"&amp;H744)&gt;0,F744&amp;" + "&amp;G744&amp;" has another HSN Code on another row",IF(AND(V744&lt;&gt;"",U744=""),"Received Qty needs the Vendor Invoice No",IF(AND(U744&lt;&gt;"",COUNTIFS(Bills!$B$3:$B$302,U744,Bills!$C$3:$C$302,C744)=0),"Add bill "&amp;U744&amp;" of "&amp;C744&amp;" on the Bills sheet",IF(S744&lt;R744,"MRP is below the Purchase Rate","OK")))))))))</f>
        <v/>
      </c>
      <c r="B744" s="29"/>
      <c r="C744" s="22"/>
      <c r="D744" s="22"/>
      <c r="E744" s="24"/>
      <c r="F744" s="22"/>
      <c r="G744" s="22"/>
      <c r="H744" s="22"/>
      <c r="I744" s="30" t="str">
        <f>IF(H744="","",IFERROR(INDEX(Codes!$B$2:$B$13,MATCH(H744,Codes!$A$2:$A$13,0)),""))</f>
        <v/>
      </c>
      <c r="J744" s="23"/>
      <c r="K744" s="23"/>
      <c r="L744" s="23"/>
      <c r="M744" s="23"/>
      <c r="N744" s="23"/>
      <c r="O744" s="23"/>
      <c r="P744" s="23"/>
      <c r="Q744" s="31"/>
      <c r="R744" s="32"/>
      <c r="S744" s="32"/>
      <c r="T744" s="33" t="str">
        <f t="shared" si="22"/>
        <v/>
      </c>
      <c r="U744" s="34"/>
      <c r="V744" s="35"/>
      <c r="W744" s="33" t="str">
        <f t="shared" si="23"/>
        <v/>
      </c>
    </row>
    <row r="745" spans="1:23" x14ac:dyDescent="0.35">
      <c r="A745" s="21" t="str">
        <f>IF(COUNTA(B745:H745,J745:S745,U745:V745)=0,"",IF((IF(B745="","PO Ref, ","")&amp;IF(C745="","Vendor, ","")&amp;IF(D745="","Store, ","")&amp;IF(F745="","Product Type, ","")&amp;IF(G745="","Category, ","")&amp;IF(H745="","HSN Code, ","")&amp;IF(Q745="","Qty, ","")&amp;IF(R745="","Purchase Rate, ","")&amp;IF(S745="","MRP, ",""))&lt;&gt;"","Missing: "&amp;LEFT(IF(B745="","PO Ref, ","")&amp;IF(C745="","Vendor, ","")&amp;IF(D745="","Store, ","")&amp;IF(F745="","Product Type, ","")&amp;IF(G745="","Category, ","")&amp;IF(H745="","HSN Code, ","")&amp;IF(Q745="","Qty, ","")&amp;IF(R745="","Purchase Rate, ","")&amp;IF(S745="","MRP, ",""),LEN(IF(B745="","PO Ref, ","")&amp;IF(C745="","Vendor, ","")&amp;IF(D745="","Store, ","")&amp;IF(F745="","Product Type, ","")&amp;IF(G745="","Category, ","")&amp;IF(H745="","HSN Code, ","")&amp;IF(Q745="","Qty, ","")&amp;IF(R745="","Purchase Rate, ","")&amp;IF(S745="","MRP, ",""))-2),IF(COUNTIF(Vendors!$B$3:$B$202,C745)=0,"Add vendor "&amp;C745&amp;" on the Vendors sheet",IF(ISNA(MATCH(H745,Codes!$A$2:$A$13,0)),"Pick the HSN Code from the list",IF(AND(E745&lt;&gt;"",COUNTIFS($C$3:$C$1002,C745,$E$3:$E$1002,E745,$F$3:$F$1002,"&lt;&gt;"&amp;F745)+COUNTIFS($C$3:$C$1002,C745,$E$3:$E$1002,E745,$G$3:$G$1002,"&lt;&gt;"&amp;G745)&gt;0),"Design "&amp;E745&amp;" has another Product Type or Category on another row",IF(COUNTIFS($F$3:$F$1002,F745,$G$3:$G$1002,G745,$H$3:$H$1002,"&lt;&gt;"&amp;H745)&gt;0,F745&amp;" + "&amp;G745&amp;" has another HSN Code on another row",IF(AND(V745&lt;&gt;"",U745=""),"Received Qty needs the Vendor Invoice No",IF(AND(U745&lt;&gt;"",COUNTIFS(Bills!$B$3:$B$302,U745,Bills!$C$3:$C$302,C745)=0),"Add bill "&amp;U745&amp;" of "&amp;C745&amp;" on the Bills sheet",IF(S745&lt;R745,"MRP is below the Purchase Rate","OK")))))))))</f>
        <v/>
      </c>
      <c r="B745" s="29"/>
      <c r="C745" s="22"/>
      <c r="D745" s="22"/>
      <c r="E745" s="24"/>
      <c r="F745" s="22"/>
      <c r="G745" s="22"/>
      <c r="H745" s="22"/>
      <c r="I745" s="30" t="str">
        <f>IF(H745="","",IFERROR(INDEX(Codes!$B$2:$B$13,MATCH(H745,Codes!$A$2:$A$13,0)),""))</f>
        <v/>
      </c>
      <c r="J745" s="23"/>
      <c r="K745" s="23"/>
      <c r="L745" s="23"/>
      <c r="M745" s="23"/>
      <c r="N745" s="23"/>
      <c r="O745" s="23"/>
      <c r="P745" s="23"/>
      <c r="Q745" s="31"/>
      <c r="R745" s="32"/>
      <c r="S745" s="32"/>
      <c r="T745" s="33" t="str">
        <f t="shared" si="22"/>
        <v/>
      </c>
      <c r="U745" s="34"/>
      <c r="V745" s="35"/>
      <c r="W745" s="33" t="str">
        <f t="shared" si="23"/>
        <v/>
      </c>
    </row>
    <row r="746" spans="1:23" x14ac:dyDescent="0.35">
      <c r="A746" s="21" t="str">
        <f>IF(COUNTA(B746:H746,J746:S746,U746:V746)=0,"",IF((IF(B746="","PO Ref, ","")&amp;IF(C746="","Vendor, ","")&amp;IF(D746="","Store, ","")&amp;IF(F746="","Product Type, ","")&amp;IF(G746="","Category, ","")&amp;IF(H746="","HSN Code, ","")&amp;IF(Q746="","Qty, ","")&amp;IF(R746="","Purchase Rate, ","")&amp;IF(S746="","MRP, ",""))&lt;&gt;"","Missing: "&amp;LEFT(IF(B746="","PO Ref, ","")&amp;IF(C746="","Vendor, ","")&amp;IF(D746="","Store, ","")&amp;IF(F746="","Product Type, ","")&amp;IF(G746="","Category, ","")&amp;IF(H746="","HSN Code, ","")&amp;IF(Q746="","Qty, ","")&amp;IF(R746="","Purchase Rate, ","")&amp;IF(S746="","MRP, ",""),LEN(IF(B746="","PO Ref, ","")&amp;IF(C746="","Vendor, ","")&amp;IF(D746="","Store, ","")&amp;IF(F746="","Product Type, ","")&amp;IF(G746="","Category, ","")&amp;IF(H746="","HSN Code, ","")&amp;IF(Q746="","Qty, ","")&amp;IF(R746="","Purchase Rate, ","")&amp;IF(S746="","MRP, ",""))-2),IF(COUNTIF(Vendors!$B$3:$B$202,C746)=0,"Add vendor "&amp;C746&amp;" on the Vendors sheet",IF(ISNA(MATCH(H746,Codes!$A$2:$A$13,0)),"Pick the HSN Code from the list",IF(AND(E746&lt;&gt;"",COUNTIFS($C$3:$C$1002,C746,$E$3:$E$1002,E746,$F$3:$F$1002,"&lt;&gt;"&amp;F746)+COUNTIFS($C$3:$C$1002,C746,$E$3:$E$1002,E746,$G$3:$G$1002,"&lt;&gt;"&amp;G746)&gt;0),"Design "&amp;E746&amp;" has another Product Type or Category on another row",IF(COUNTIFS($F$3:$F$1002,F746,$G$3:$G$1002,G746,$H$3:$H$1002,"&lt;&gt;"&amp;H746)&gt;0,F746&amp;" + "&amp;G746&amp;" has another HSN Code on another row",IF(AND(V746&lt;&gt;"",U746=""),"Received Qty needs the Vendor Invoice No",IF(AND(U746&lt;&gt;"",COUNTIFS(Bills!$B$3:$B$302,U746,Bills!$C$3:$C$302,C746)=0),"Add bill "&amp;U746&amp;" of "&amp;C746&amp;" on the Bills sheet",IF(S746&lt;R746,"MRP is below the Purchase Rate","OK")))))))))</f>
        <v/>
      </c>
      <c r="B746" s="29"/>
      <c r="C746" s="22"/>
      <c r="D746" s="22"/>
      <c r="E746" s="24"/>
      <c r="F746" s="22"/>
      <c r="G746" s="22"/>
      <c r="H746" s="22"/>
      <c r="I746" s="30" t="str">
        <f>IF(H746="","",IFERROR(INDEX(Codes!$B$2:$B$13,MATCH(H746,Codes!$A$2:$A$13,0)),""))</f>
        <v/>
      </c>
      <c r="J746" s="23"/>
      <c r="K746" s="23"/>
      <c r="L746" s="23"/>
      <c r="M746" s="23"/>
      <c r="N746" s="23"/>
      <c r="O746" s="23"/>
      <c r="P746" s="23"/>
      <c r="Q746" s="31"/>
      <c r="R746" s="32"/>
      <c r="S746" s="32"/>
      <c r="T746" s="33" t="str">
        <f t="shared" si="22"/>
        <v/>
      </c>
      <c r="U746" s="34"/>
      <c r="V746" s="35"/>
      <c r="W746" s="33" t="str">
        <f t="shared" si="23"/>
        <v/>
      </c>
    </row>
    <row r="747" spans="1:23" x14ac:dyDescent="0.35">
      <c r="A747" s="21" t="str">
        <f>IF(COUNTA(B747:H747,J747:S747,U747:V747)=0,"",IF((IF(B747="","PO Ref, ","")&amp;IF(C747="","Vendor, ","")&amp;IF(D747="","Store, ","")&amp;IF(F747="","Product Type, ","")&amp;IF(G747="","Category, ","")&amp;IF(H747="","HSN Code, ","")&amp;IF(Q747="","Qty, ","")&amp;IF(R747="","Purchase Rate, ","")&amp;IF(S747="","MRP, ",""))&lt;&gt;"","Missing: "&amp;LEFT(IF(B747="","PO Ref, ","")&amp;IF(C747="","Vendor, ","")&amp;IF(D747="","Store, ","")&amp;IF(F747="","Product Type, ","")&amp;IF(G747="","Category, ","")&amp;IF(H747="","HSN Code, ","")&amp;IF(Q747="","Qty, ","")&amp;IF(R747="","Purchase Rate, ","")&amp;IF(S747="","MRP, ",""),LEN(IF(B747="","PO Ref, ","")&amp;IF(C747="","Vendor, ","")&amp;IF(D747="","Store, ","")&amp;IF(F747="","Product Type, ","")&amp;IF(G747="","Category, ","")&amp;IF(H747="","HSN Code, ","")&amp;IF(Q747="","Qty, ","")&amp;IF(R747="","Purchase Rate, ","")&amp;IF(S747="","MRP, ",""))-2),IF(COUNTIF(Vendors!$B$3:$B$202,C747)=0,"Add vendor "&amp;C747&amp;" on the Vendors sheet",IF(ISNA(MATCH(H747,Codes!$A$2:$A$13,0)),"Pick the HSN Code from the list",IF(AND(E747&lt;&gt;"",COUNTIFS($C$3:$C$1002,C747,$E$3:$E$1002,E747,$F$3:$F$1002,"&lt;&gt;"&amp;F747)+COUNTIFS($C$3:$C$1002,C747,$E$3:$E$1002,E747,$G$3:$G$1002,"&lt;&gt;"&amp;G747)&gt;0),"Design "&amp;E747&amp;" has another Product Type or Category on another row",IF(COUNTIFS($F$3:$F$1002,F747,$G$3:$G$1002,G747,$H$3:$H$1002,"&lt;&gt;"&amp;H747)&gt;0,F747&amp;" + "&amp;G747&amp;" has another HSN Code on another row",IF(AND(V747&lt;&gt;"",U747=""),"Received Qty needs the Vendor Invoice No",IF(AND(U747&lt;&gt;"",COUNTIFS(Bills!$B$3:$B$302,U747,Bills!$C$3:$C$302,C747)=0),"Add bill "&amp;U747&amp;" of "&amp;C747&amp;" on the Bills sheet",IF(S747&lt;R747,"MRP is below the Purchase Rate","OK")))))))))</f>
        <v/>
      </c>
      <c r="B747" s="29"/>
      <c r="C747" s="22"/>
      <c r="D747" s="22"/>
      <c r="E747" s="24"/>
      <c r="F747" s="22"/>
      <c r="G747" s="22"/>
      <c r="H747" s="22"/>
      <c r="I747" s="30" t="str">
        <f>IF(H747="","",IFERROR(INDEX(Codes!$B$2:$B$13,MATCH(H747,Codes!$A$2:$A$13,0)),""))</f>
        <v/>
      </c>
      <c r="J747" s="23"/>
      <c r="K747" s="23"/>
      <c r="L747" s="23"/>
      <c r="M747" s="23"/>
      <c r="N747" s="23"/>
      <c r="O747" s="23"/>
      <c r="P747" s="23"/>
      <c r="Q747" s="31"/>
      <c r="R747" s="32"/>
      <c r="S747" s="32"/>
      <c r="T747" s="33" t="str">
        <f t="shared" si="22"/>
        <v/>
      </c>
      <c r="U747" s="34"/>
      <c r="V747" s="35"/>
      <c r="W747" s="33" t="str">
        <f t="shared" si="23"/>
        <v/>
      </c>
    </row>
    <row r="748" spans="1:23" x14ac:dyDescent="0.35">
      <c r="A748" s="21" t="str">
        <f>IF(COUNTA(B748:H748,J748:S748,U748:V748)=0,"",IF((IF(B748="","PO Ref, ","")&amp;IF(C748="","Vendor, ","")&amp;IF(D748="","Store, ","")&amp;IF(F748="","Product Type, ","")&amp;IF(G748="","Category, ","")&amp;IF(H748="","HSN Code, ","")&amp;IF(Q748="","Qty, ","")&amp;IF(R748="","Purchase Rate, ","")&amp;IF(S748="","MRP, ",""))&lt;&gt;"","Missing: "&amp;LEFT(IF(B748="","PO Ref, ","")&amp;IF(C748="","Vendor, ","")&amp;IF(D748="","Store, ","")&amp;IF(F748="","Product Type, ","")&amp;IF(G748="","Category, ","")&amp;IF(H748="","HSN Code, ","")&amp;IF(Q748="","Qty, ","")&amp;IF(R748="","Purchase Rate, ","")&amp;IF(S748="","MRP, ",""),LEN(IF(B748="","PO Ref, ","")&amp;IF(C748="","Vendor, ","")&amp;IF(D748="","Store, ","")&amp;IF(F748="","Product Type, ","")&amp;IF(G748="","Category, ","")&amp;IF(H748="","HSN Code, ","")&amp;IF(Q748="","Qty, ","")&amp;IF(R748="","Purchase Rate, ","")&amp;IF(S748="","MRP, ",""))-2),IF(COUNTIF(Vendors!$B$3:$B$202,C748)=0,"Add vendor "&amp;C748&amp;" on the Vendors sheet",IF(ISNA(MATCH(H748,Codes!$A$2:$A$13,0)),"Pick the HSN Code from the list",IF(AND(E748&lt;&gt;"",COUNTIFS($C$3:$C$1002,C748,$E$3:$E$1002,E748,$F$3:$F$1002,"&lt;&gt;"&amp;F748)+COUNTIFS($C$3:$C$1002,C748,$E$3:$E$1002,E748,$G$3:$G$1002,"&lt;&gt;"&amp;G748)&gt;0),"Design "&amp;E748&amp;" has another Product Type or Category on another row",IF(COUNTIFS($F$3:$F$1002,F748,$G$3:$G$1002,G748,$H$3:$H$1002,"&lt;&gt;"&amp;H748)&gt;0,F748&amp;" + "&amp;G748&amp;" has another HSN Code on another row",IF(AND(V748&lt;&gt;"",U748=""),"Received Qty needs the Vendor Invoice No",IF(AND(U748&lt;&gt;"",COUNTIFS(Bills!$B$3:$B$302,U748,Bills!$C$3:$C$302,C748)=0),"Add bill "&amp;U748&amp;" of "&amp;C748&amp;" on the Bills sheet",IF(S748&lt;R748,"MRP is below the Purchase Rate","OK")))))))))</f>
        <v/>
      </c>
      <c r="B748" s="29"/>
      <c r="C748" s="22"/>
      <c r="D748" s="22"/>
      <c r="E748" s="24"/>
      <c r="F748" s="22"/>
      <c r="G748" s="22"/>
      <c r="H748" s="22"/>
      <c r="I748" s="30" t="str">
        <f>IF(H748="","",IFERROR(INDEX(Codes!$B$2:$B$13,MATCH(H748,Codes!$A$2:$A$13,0)),""))</f>
        <v/>
      </c>
      <c r="J748" s="23"/>
      <c r="K748" s="23"/>
      <c r="L748" s="23"/>
      <c r="M748" s="23"/>
      <c r="N748" s="23"/>
      <c r="O748" s="23"/>
      <c r="P748" s="23"/>
      <c r="Q748" s="31"/>
      <c r="R748" s="32"/>
      <c r="S748" s="32"/>
      <c r="T748" s="33" t="str">
        <f t="shared" si="22"/>
        <v/>
      </c>
      <c r="U748" s="34"/>
      <c r="V748" s="35"/>
      <c r="W748" s="33" t="str">
        <f t="shared" si="23"/>
        <v/>
      </c>
    </row>
    <row r="749" spans="1:23" x14ac:dyDescent="0.35">
      <c r="A749" s="21" t="str">
        <f>IF(COUNTA(B749:H749,J749:S749,U749:V749)=0,"",IF((IF(B749="","PO Ref, ","")&amp;IF(C749="","Vendor, ","")&amp;IF(D749="","Store, ","")&amp;IF(F749="","Product Type, ","")&amp;IF(G749="","Category, ","")&amp;IF(H749="","HSN Code, ","")&amp;IF(Q749="","Qty, ","")&amp;IF(R749="","Purchase Rate, ","")&amp;IF(S749="","MRP, ",""))&lt;&gt;"","Missing: "&amp;LEFT(IF(B749="","PO Ref, ","")&amp;IF(C749="","Vendor, ","")&amp;IF(D749="","Store, ","")&amp;IF(F749="","Product Type, ","")&amp;IF(G749="","Category, ","")&amp;IF(H749="","HSN Code, ","")&amp;IF(Q749="","Qty, ","")&amp;IF(R749="","Purchase Rate, ","")&amp;IF(S749="","MRP, ",""),LEN(IF(B749="","PO Ref, ","")&amp;IF(C749="","Vendor, ","")&amp;IF(D749="","Store, ","")&amp;IF(F749="","Product Type, ","")&amp;IF(G749="","Category, ","")&amp;IF(H749="","HSN Code, ","")&amp;IF(Q749="","Qty, ","")&amp;IF(R749="","Purchase Rate, ","")&amp;IF(S749="","MRP, ",""))-2),IF(COUNTIF(Vendors!$B$3:$B$202,C749)=0,"Add vendor "&amp;C749&amp;" on the Vendors sheet",IF(ISNA(MATCH(H749,Codes!$A$2:$A$13,0)),"Pick the HSN Code from the list",IF(AND(E749&lt;&gt;"",COUNTIFS($C$3:$C$1002,C749,$E$3:$E$1002,E749,$F$3:$F$1002,"&lt;&gt;"&amp;F749)+COUNTIFS($C$3:$C$1002,C749,$E$3:$E$1002,E749,$G$3:$G$1002,"&lt;&gt;"&amp;G749)&gt;0),"Design "&amp;E749&amp;" has another Product Type or Category on another row",IF(COUNTIFS($F$3:$F$1002,F749,$G$3:$G$1002,G749,$H$3:$H$1002,"&lt;&gt;"&amp;H749)&gt;0,F749&amp;" + "&amp;G749&amp;" has another HSN Code on another row",IF(AND(V749&lt;&gt;"",U749=""),"Received Qty needs the Vendor Invoice No",IF(AND(U749&lt;&gt;"",COUNTIFS(Bills!$B$3:$B$302,U749,Bills!$C$3:$C$302,C749)=0),"Add bill "&amp;U749&amp;" of "&amp;C749&amp;" on the Bills sheet",IF(S749&lt;R749,"MRP is below the Purchase Rate","OK")))))))))</f>
        <v/>
      </c>
      <c r="B749" s="29"/>
      <c r="C749" s="22"/>
      <c r="D749" s="22"/>
      <c r="E749" s="24"/>
      <c r="F749" s="22"/>
      <c r="G749" s="22"/>
      <c r="H749" s="22"/>
      <c r="I749" s="30" t="str">
        <f>IF(H749="","",IFERROR(INDEX(Codes!$B$2:$B$13,MATCH(H749,Codes!$A$2:$A$13,0)),""))</f>
        <v/>
      </c>
      <c r="J749" s="23"/>
      <c r="K749" s="23"/>
      <c r="L749" s="23"/>
      <c r="M749" s="23"/>
      <c r="N749" s="23"/>
      <c r="O749" s="23"/>
      <c r="P749" s="23"/>
      <c r="Q749" s="31"/>
      <c r="R749" s="32"/>
      <c r="S749" s="32"/>
      <c r="T749" s="33" t="str">
        <f t="shared" si="22"/>
        <v/>
      </c>
      <c r="U749" s="34"/>
      <c r="V749" s="35"/>
      <c r="W749" s="33" t="str">
        <f t="shared" si="23"/>
        <v/>
      </c>
    </row>
    <row r="750" spans="1:23" x14ac:dyDescent="0.35">
      <c r="A750" s="21" t="str">
        <f>IF(COUNTA(B750:H750,J750:S750,U750:V750)=0,"",IF((IF(B750="","PO Ref, ","")&amp;IF(C750="","Vendor, ","")&amp;IF(D750="","Store, ","")&amp;IF(F750="","Product Type, ","")&amp;IF(G750="","Category, ","")&amp;IF(H750="","HSN Code, ","")&amp;IF(Q750="","Qty, ","")&amp;IF(R750="","Purchase Rate, ","")&amp;IF(S750="","MRP, ",""))&lt;&gt;"","Missing: "&amp;LEFT(IF(B750="","PO Ref, ","")&amp;IF(C750="","Vendor, ","")&amp;IF(D750="","Store, ","")&amp;IF(F750="","Product Type, ","")&amp;IF(G750="","Category, ","")&amp;IF(H750="","HSN Code, ","")&amp;IF(Q750="","Qty, ","")&amp;IF(R750="","Purchase Rate, ","")&amp;IF(S750="","MRP, ",""),LEN(IF(B750="","PO Ref, ","")&amp;IF(C750="","Vendor, ","")&amp;IF(D750="","Store, ","")&amp;IF(F750="","Product Type, ","")&amp;IF(G750="","Category, ","")&amp;IF(H750="","HSN Code, ","")&amp;IF(Q750="","Qty, ","")&amp;IF(R750="","Purchase Rate, ","")&amp;IF(S750="","MRP, ",""))-2),IF(COUNTIF(Vendors!$B$3:$B$202,C750)=0,"Add vendor "&amp;C750&amp;" on the Vendors sheet",IF(ISNA(MATCH(H750,Codes!$A$2:$A$13,0)),"Pick the HSN Code from the list",IF(AND(E750&lt;&gt;"",COUNTIFS($C$3:$C$1002,C750,$E$3:$E$1002,E750,$F$3:$F$1002,"&lt;&gt;"&amp;F750)+COUNTIFS($C$3:$C$1002,C750,$E$3:$E$1002,E750,$G$3:$G$1002,"&lt;&gt;"&amp;G750)&gt;0),"Design "&amp;E750&amp;" has another Product Type or Category on another row",IF(COUNTIFS($F$3:$F$1002,F750,$G$3:$G$1002,G750,$H$3:$H$1002,"&lt;&gt;"&amp;H750)&gt;0,F750&amp;" + "&amp;G750&amp;" has another HSN Code on another row",IF(AND(V750&lt;&gt;"",U750=""),"Received Qty needs the Vendor Invoice No",IF(AND(U750&lt;&gt;"",COUNTIFS(Bills!$B$3:$B$302,U750,Bills!$C$3:$C$302,C750)=0),"Add bill "&amp;U750&amp;" of "&amp;C750&amp;" on the Bills sheet",IF(S750&lt;R750,"MRP is below the Purchase Rate","OK")))))))))</f>
        <v/>
      </c>
      <c r="B750" s="29"/>
      <c r="C750" s="22"/>
      <c r="D750" s="22"/>
      <c r="E750" s="24"/>
      <c r="F750" s="22"/>
      <c r="G750" s="22"/>
      <c r="H750" s="22"/>
      <c r="I750" s="30" t="str">
        <f>IF(H750="","",IFERROR(INDEX(Codes!$B$2:$B$13,MATCH(H750,Codes!$A$2:$A$13,0)),""))</f>
        <v/>
      </c>
      <c r="J750" s="23"/>
      <c r="K750" s="23"/>
      <c r="L750" s="23"/>
      <c r="M750" s="23"/>
      <c r="N750" s="23"/>
      <c r="O750" s="23"/>
      <c r="P750" s="23"/>
      <c r="Q750" s="31"/>
      <c r="R750" s="32"/>
      <c r="S750" s="32"/>
      <c r="T750" s="33" t="str">
        <f t="shared" si="22"/>
        <v/>
      </c>
      <c r="U750" s="34"/>
      <c r="V750" s="35"/>
      <c r="W750" s="33" t="str">
        <f t="shared" si="23"/>
        <v/>
      </c>
    </row>
    <row r="751" spans="1:23" x14ac:dyDescent="0.35">
      <c r="A751" s="21" t="str">
        <f>IF(COUNTA(B751:H751,J751:S751,U751:V751)=0,"",IF((IF(B751="","PO Ref, ","")&amp;IF(C751="","Vendor, ","")&amp;IF(D751="","Store, ","")&amp;IF(F751="","Product Type, ","")&amp;IF(G751="","Category, ","")&amp;IF(H751="","HSN Code, ","")&amp;IF(Q751="","Qty, ","")&amp;IF(R751="","Purchase Rate, ","")&amp;IF(S751="","MRP, ",""))&lt;&gt;"","Missing: "&amp;LEFT(IF(B751="","PO Ref, ","")&amp;IF(C751="","Vendor, ","")&amp;IF(D751="","Store, ","")&amp;IF(F751="","Product Type, ","")&amp;IF(G751="","Category, ","")&amp;IF(H751="","HSN Code, ","")&amp;IF(Q751="","Qty, ","")&amp;IF(R751="","Purchase Rate, ","")&amp;IF(S751="","MRP, ",""),LEN(IF(B751="","PO Ref, ","")&amp;IF(C751="","Vendor, ","")&amp;IF(D751="","Store, ","")&amp;IF(F751="","Product Type, ","")&amp;IF(G751="","Category, ","")&amp;IF(H751="","HSN Code, ","")&amp;IF(Q751="","Qty, ","")&amp;IF(R751="","Purchase Rate, ","")&amp;IF(S751="","MRP, ",""))-2),IF(COUNTIF(Vendors!$B$3:$B$202,C751)=0,"Add vendor "&amp;C751&amp;" on the Vendors sheet",IF(ISNA(MATCH(H751,Codes!$A$2:$A$13,0)),"Pick the HSN Code from the list",IF(AND(E751&lt;&gt;"",COUNTIFS($C$3:$C$1002,C751,$E$3:$E$1002,E751,$F$3:$F$1002,"&lt;&gt;"&amp;F751)+COUNTIFS($C$3:$C$1002,C751,$E$3:$E$1002,E751,$G$3:$G$1002,"&lt;&gt;"&amp;G751)&gt;0),"Design "&amp;E751&amp;" has another Product Type or Category on another row",IF(COUNTIFS($F$3:$F$1002,F751,$G$3:$G$1002,G751,$H$3:$H$1002,"&lt;&gt;"&amp;H751)&gt;0,F751&amp;" + "&amp;G751&amp;" has another HSN Code on another row",IF(AND(V751&lt;&gt;"",U751=""),"Received Qty needs the Vendor Invoice No",IF(AND(U751&lt;&gt;"",COUNTIFS(Bills!$B$3:$B$302,U751,Bills!$C$3:$C$302,C751)=0),"Add bill "&amp;U751&amp;" of "&amp;C751&amp;" on the Bills sheet",IF(S751&lt;R751,"MRP is below the Purchase Rate","OK")))))))))</f>
        <v/>
      </c>
      <c r="B751" s="29"/>
      <c r="C751" s="22"/>
      <c r="D751" s="22"/>
      <c r="E751" s="24"/>
      <c r="F751" s="22"/>
      <c r="G751" s="22"/>
      <c r="H751" s="22"/>
      <c r="I751" s="30" t="str">
        <f>IF(H751="","",IFERROR(INDEX(Codes!$B$2:$B$13,MATCH(H751,Codes!$A$2:$A$13,0)),""))</f>
        <v/>
      </c>
      <c r="J751" s="23"/>
      <c r="K751" s="23"/>
      <c r="L751" s="23"/>
      <c r="M751" s="23"/>
      <c r="N751" s="23"/>
      <c r="O751" s="23"/>
      <c r="P751" s="23"/>
      <c r="Q751" s="31"/>
      <c r="R751" s="32"/>
      <c r="S751" s="32"/>
      <c r="T751" s="33" t="str">
        <f t="shared" si="22"/>
        <v/>
      </c>
      <c r="U751" s="34"/>
      <c r="V751" s="35"/>
      <c r="W751" s="33" t="str">
        <f t="shared" si="23"/>
        <v/>
      </c>
    </row>
    <row r="752" spans="1:23" x14ac:dyDescent="0.35">
      <c r="A752" s="21" t="str">
        <f>IF(COUNTA(B752:H752,J752:S752,U752:V752)=0,"",IF((IF(B752="","PO Ref, ","")&amp;IF(C752="","Vendor, ","")&amp;IF(D752="","Store, ","")&amp;IF(F752="","Product Type, ","")&amp;IF(G752="","Category, ","")&amp;IF(H752="","HSN Code, ","")&amp;IF(Q752="","Qty, ","")&amp;IF(R752="","Purchase Rate, ","")&amp;IF(S752="","MRP, ",""))&lt;&gt;"","Missing: "&amp;LEFT(IF(B752="","PO Ref, ","")&amp;IF(C752="","Vendor, ","")&amp;IF(D752="","Store, ","")&amp;IF(F752="","Product Type, ","")&amp;IF(G752="","Category, ","")&amp;IF(H752="","HSN Code, ","")&amp;IF(Q752="","Qty, ","")&amp;IF(R752="","Purchase Rate, ","")&amp;IF(S752="","MRP, ",""),LEN(IF(B752="","PO Ref, ","")&amp;IF(C752="","Vendor, ","")&amp;IF(D752="","Store, ","")&amp;IF(F752="","Product Type, ","")&amp;IF(G752="","Category, ","")&amp;IF(H752="","HSN Code, ","")&amp;IF(Q752="","Qty, ","")&amp;IF(R752="","Purchase Rate, ","")&amp;IF(S752="","MRP, ",""))-2),IF(COUNTIF(Vendors!$B$3:$B$202,C752)=0,"Add vendor "&amp;C752&amp;" on the Vendors sheet",IF(ISNA(MATCH(H752,Codes!$A$2:$A$13,0)),"Pick the HSN Code from the list",IF(AND(E752&lt;&gt;"",COUNTIFS($C$3:$C$1002,C752,$E$3:$E$1002,E752,$F$3:$F$1002,"&lt;&gt;"&amp;F752)+COUNTIFS($C$3:$C$1002,C752,$E$3:$E$1002,E752,$G$3:$G$1002,"&lt;&gt;"&amp;G752)&gt;0),"Design "&amp;E752&amp;" has another Product Type or Category on another row",IF(COUNTIFS($F$3:$F$1002,F752,$G$3:$G$1002,G752,$H$3:$H$1002,"&lt;&gt;"&amp;H752)&gt;0,F752&amp;" + "&amp;G752&amp;" has another HSN Code on another row",IF(AND(V752&lt;&gt;"",U752=""),"Received Qty needs the Vendor Invoice No",IF(AND(U752&lt;&gt;"",COUNTIFS(Bills!$B$3:$B$302,U752,Bills!$C$3:$C$302,C752)=0),"Add bill "&amp;U752&amp;" of "&amp;C752&amp;" on the Bills sheet",IF(S752&lt;R752,"MRP is below the Purchase Rate","OK")))))))))</f>
        <v/>
      </c>
      <c r="B752" s="29"/>
      <c r="C752" s="22"/>
      <c r="D752" s="22"/>
      <c r="E752" s="24"/>
      <c r="F752" s="22"/>
      <c r="G752" s="22"/>
      <c r="H752" s="22"/>
      <c r="I752" s="30" t="str">
        <f>IF(H752="","",IFERROR(INDEX(Codes!$B$2:$B$13,MATCH(H752,Codes!$A$2:$A$13,0)),""))</f>
        <v/>
      </c>
      <c r="J752" s="23"/>
      <c r="K752" s="23"/>
      <c r="L752" s="23"/>
      <c r="M752" s="23"/>
      <c r="N752" s="23"/>
      <c r="O752" s="23"/>
      <c r="P752" s="23"/>
      <c r="Q752" s="31"/>
      <c r="R752" s="32"/>
      <c r="S752" s="32"/>
      <c r="T752" s="33" t="str">
        <f t="shared" si="22"/>
        <v/>
      </c>
      <c r="U752" s="34"/>
      <c r="V752" s="35"/>
      <c r="W752" s="33" t="str">
        <f t="shared" si="23"/>
        <v/>
      </c>
    </row>
    <row r="753" spans="1:23" x14ac:dyDescent="0.35">
      <c r="A753" s="21" t="str">
        <f>IF(COUNTA(B753:H753,J753:S753,U753:V753)=0,"",IF((IF(B753="","PO Ref, ","")&amp;IF(C753="","Vendor, ","")&amp;IF(D753="","Store, ","")&amp;IF(F753="","Product Type, ","")&amp;IF(G753="","Category, ","")&amp;IF(H753="","HSN Code, ","")&amp;IF(Q753="","Qty, ","")&amp;IF(R753="","Purchase Rate, ","")&amp;IF(S753="","MRP, ",""))&lt;&gt;"","Missing: "&amp;LEFT(IF(B753="","PO Ref, ","")&amp;IF(C753="","Vendor, ","")&amp;IF(D753="","Store, ","")&amp;IF(F753="","Product Type, ","")&amp;IF(G753="","Category, ","")&amp;IF(H753="","HSN Code, ","")&amp;IF(Q753="","Qty, ","")&amp;IF(R753="","Purchase Rate, ","")&amp;IF(S753="","MRP, ",""),LEN(IF(B753="","PO Ref, ","")&amp;IF(C753="","Vendor, ","")&amp;IF(D753="","Store, ","")&amp;IF(F753="","Product Type, ","")&amp;IF(G753="","Category, ","")&amp;IF(H753="","HSN Code, ","")&amp;IF(Q753="","Qty, ","")&amp;IF(R753="","Purchase Rate, ","")&amp;IF(S753="","MRP, ",""))-2),IF(COUNTIF(Vendors!$B$3:$B$202,C753)=0,"Add vendor "&amp;C753&amp;" on the Vendors sheet",IF(ISNA(MATCH(H753,Codes!$A$2:$A$13,0)),"Pick the HSN Code from the list",IF(AND(E753&lt;&gt;"",COUNTIFS($C$3:$C$1002,C753,$E$3:$E$1002,E753,$F$3:$F$1002,"&lt;&gt;"&amp;F753)+COUNTIFS($C$3:$C$1002,C753,$E$3:$E$1002,E753,$G$3:$G$1002,"&lt;&gt;"&amp;G753)&gt;0),"Design "&amp;E753&amp;" has another Product Type or Category on another row",IF(COUNTIFS($F$3:$F$1002,F753,$G$3:$G$1002,G753,$H$3:$H$1002,"&lt;&gt;"&amp;H753)&gt;0,F753&amp;" + "&amp;G753&amp;" has another HSN Code on another row",IF(AND(V753&lt;&gt;"",U753=""),"Received Qty needs the Vendor Invoice No",IF(AND(U753&lt;&gt;"",COUNTIFS(Bills!$B$3:$B$302,U753,Bills!$C$3:$C$302,C753)=0),"Add bill "&amp;U753&amp;" of "&amp;C753&amp;" on the Bills sheet",IF(S753&lt;R753,"MRP is below the Purchase Rate","OK")))))))))</f>
        <v/>
      </c>
      <c r="B753" s="29"/>
      <c r="C753" s="22"/>
      <c r="D753" s="22"/>
      <c r="E753" s="24"/>
      <c r="F753" s="22"/>
      <c r="G753" s="22"/>
      <c r="H753" s="22"/>
      <c r="I753" s="30" t="str">
        <f>IF(H753="","",IFERROR(INDEX(Codes!$B$2:$B$13,MATCH(H753,Codes!$A$2:$A$13,0)),""))</f>
        <v/>
      </c>
      <c r="J753" s="23"/>
      <c r="K753" s="23"/>
      <c r="L753" s="23"/>
      <c r="M753" s="23"/>
      <c r="N753" s="23"/>
      <c r="O753" s="23"/>
      <c r="P753" s="23"/>
      <c r="Q753" s="31"/>
      <c r="R753" s="32"/>
      <c r="S753" s="32"/>
      <c r="T753" s="33" t="str">
        <f t="shared" si="22"/>
        <v/>
      </c>
      <c r="U753" s="34"/>
      <c r="V753" s="35"/>
      <c r="W753" s="33" t="str">
        <f t="shared" si="23"/>
        <v/>
      </c>
    </row>
    <row r="754" spans="1:23" x14ac:dyDescent="0.35">
      <c r="A754" s="21" t="str">
        <f>IF(COUNTA(B754:H754,J754:S754,U754:V754)=0,"",IF((IF(B754="","PO Ref, ","")&amp;IF(C754="","Vendor, ","")&amp;IF(D754="","Store, ","")&amp;IF(F754="","Product Type, ","")&amp;IF(G754="","Category, ","")&amp;IF(H754="","HSN Code, ","")&amp;IF(Q754="","Qty, ","")&amp;IF(R754="","Purchase Rate, ","")&amp;IF(S754="","MRP, ",""))&lt;&gt;"","Missing: "&amp;LEFT(IF(B754="","PO Ref, ","")&amp;IF(C754="","Vendor, ","")&amp;IF(D754="","Store, ","")&amp;IF(F754="","Product Type, ","")&amp;IF(G754="","Category, ","")&amp;IF(H754="","HSN Code, ","")&amp;IF(Q754="","Qty, ","")&amp;IF(R754="","Purchase Rate, ","")&amp;IF(S754="","MRP, ",""),LEN(IF(B754="","PO Ref, ","")&amp;IF(C754="","Vendor, ","")&amp;IF(D754="","Store, ","")&amp;IF(F754="","Product Type, ","")&amp;IF(G754="","Category, ","")&amp;IF(H754="","HSN Code, ","")&amp;IF(Q754="","Qty, ","")&amp;IF(R754="","Purchase Rate, ","")&amp;IF(S754="","MRP, ",""))-2),IF(COUNTIF(Vendors!$B$3:$B$202,C754)=0,"Add vendor "&amp;C754&amp;" on the Vendors sheet",IF(ISNA(MATCH(H754,Codes!$A$2:$A$13,0)),"Pick the HSN Code from the list",IF(AND(E754&lt;&gt;"",COUNTIFS($C$3:$C$1002,C754,$E$3:$E$1002,E754,$F$3:$F$1002,"&lt;&gt;"&amp;F754)+COUNTIFS($C$3:$C$1002,C754,$E$3:$E$1002,E754,$G$3:$G$1002,"&lt;&gt;"&amp;G754)&gt;0),"Design "&amp;E754&amp;" has another Product Type or Category on another row",IF(COUNTIFS($F$3:$F$1002,F754,$G$3:$G$1002,G754,$H$3:$H$1002,"&lt;&gt;"&amp;H754)&gt;0,F754&amp;" + "&amp;G754&amp;" has another HSN Code on another row",IF(AND(V754&lt;&gt;"",U754=""),"Received Qty needs the Vendor Invoice No",IF(AND(U754&lt;&gt;"",COUNTIFS(Bills!$B$3:$B$302,U754,Bills!$C$3:$C$302,C754)=0),"Add bill "&amp;U754&amp;" of "&amp;C754&amp;" on the Bills sheet",IF(S754&lt;R754,"MRP is below the Purchase Rate","OK")))))))))</f>
        <v/>
      </c>
      <c r="B754" s="29"/>
      <c r="C754" s="22"/>
      <c r="D754" s="22"/>
      <c r="E754" s="24"/>
      <c r="F754" s="22"/>
      <c r="G754" s="22"/>
      <c r="H754" s="22"/>
      <c r="I754" s="30" t="str">
        <f>IF(H754="","",IFERROR(INDEX(Codes!$B$2:$B$13,MATCH(H754,Codes!$A$2:$A$13,0)),""))</f>
        <v/>
      </c>
      <c r="J754" s="23"/>
      <c r="K754" s="23"/>
      <c r="L754" s="23"/>
      <c r="M754" s="23"/>
      <c r="N754" s="23"/>
      <c r="O754" s="23"/>
      <c r="P754" s="23"/>
      <c r="Q754" s="31"/>
      <c r="R754" s="32"/>
      <c r="S754" s="32"/>
      <c r="T754" s="33" t="str">
        <f t="shared" si="22"/>
        <v/>
      </c>
      <c r="U754" s="34"/>
      <c r="V754" s="35"/>
      <c r="W754" s="33" t="str">
        <f t="shared" si="23"/>
        <v/>
      </c>
    </row>
    <row r="755" spans="1:23" x14ac:dyDescent="0.35">
      <c r="A755" s="21" t="str">
        <f>IF(COUNTA(B755:H755,J755:S755,U755:V755)=0,"",IF((IF(B755="","PO Ref, ","")&amp;IF(C755="","Vendor, ","")&amp;IF(D755="","Store, ","")&amp;IF(F755="","Product Type, ","")&amp;IF(G755="","Category, ","")&amp;IF(H755="","HSN Code, ","")&amp;IF(Q755="","Qty, ","")&amp;IF(R755="","Purchase Rate, ","")&amp;IF(S755="","MRP, ",""))&lt;&gt;"","Missing: "&amp;LEFT(IF(B755="","PO Ref, ","")&amp;IF(C755="","Vendor, ","")&amp;IF(D755="","Store, ","")&amp;IF(F755="","Product Type, ","")&amp;IF(G755="","Category, ","")&amp;IF(H755="","HSN Code, ","")&amp;IF(Q755="","Qty, ","")&amp;IF(R755="","Purchase Rate, ","")&amp;IF(S755="","MRP, ",""),LEN(IF(B755="","PO Ref, ","")&amp;IF(C755="","Vendor, ","")&amp;IF(D755="","Store, ","")&amp;IF(F755="","Product Type, ","")&amp;IF(G755="","Category, ","")&amp;IF(H755="","HSN Code, ","")&amp;IF(Q755="","Qty, ","")&amp;IF(R755="","Purchase Rate, ","")&amp;IF(S755="","MRP, ",""))-2),IF(COUNTIF(Vendors!$B$3:$B$202,C755)=0,"Add vendor "&amp;C755&amp;" on the Vendors sheet",IF(ISNA(MATCH(H755,Codes!$A$2:$A$13,0)),"Pick the HSN Code from the list",IF(AND(E755&lt;&gt;"",COUNTIFS($C$3:$C$1002,C755,$E$3:$E$1002,E755,$F$3:$F$1002,"&lt;&gt;"&amp;F755)+COUNTIFS($C$3:$C$1002,C755,$E$3:$E$1002,E755,$G$3:$G$1002,"&lt;&gt;"&amp;G755)&gt;0),"Design "&amp;E755&amp;" has another Product Type or Category on another row",IF(COUNTIFS($F$3:$F$1002,F755,$G$3:$G$1002,G755,$H$3:$H$1002,"&lt;&gt;"&amp;H755)&gt;0,F755&amp;" + "&amp;G755&amp;" has another HSN Code on another row",IF(AND(V755&lt;&gt;"",U755=""),"Received Qty needs the Vendor Invoice No",IF(AND(U755&lt;&gt;"",COUNTIFS(Bills!$B$3:$B$302,U755,Bills!$C$3:$C$302,C755)=0),"Add bill "&amp;U755&amp;" of "&amp;C755&amp;" on the Bills sheet",IF(S755&lt;R755,"MRP is below the Purchase Rate","OK")))))))))</f>
        <v/>
      </c>
      <c r="B755" s="29"/>
      <c r="C755" s="22"/>
      <c r="D755" s="22"/>
      <c r="E755" s="24"/>
      <c r="F755" s="22"/>
      <c r="G755" s="22"/>
      <c r="H755" s="22"/>
      <c r="I755" s="30" t="str">
        <f>IF(H755="","",IFERROR(INDEX(Codes!$B$2:$B$13,MATCH(H755,Codes!$A$2:$A$13,0)),""))</f>
        <v/>
      </c>
      <c r="J755" s="23"/>
      <c r="K755" s="23"/>
      <c r="L755" s="23"/>
      <c r="M755" s="23"/>
      <c r="N755" s="23"/>
      <c r="O755" s="23"/>
      <c r="P755" s="23"/>
      <c r="Q755" s="31"/>
      <c r="R755" s="32"/>
      <c r="S755" s="32"/>
      <c r="T755" s="33" t="str">
        <f t="shared" si="22"/>
        <v/>
      </c>
      <c r="U755" s="34"/>
      <c r="V755" s="35"/>
      <c r="W755" s="33" t="str">
        <f t="shared" si="23"/>
        <v/>
      </c>
    </row>
    <row r="756" spans="1:23" x14ac:dyDescent="0.35">
      <c r="A756" s="21" t="str">
        <f>IF(COUNTA(B756:H756,J756:S756,U756:V756)=0,"",IF((IF(B756="","PO Ref, ","")&amp;IF(C756="","Vendor, ","")&amp;IF(D756="","Store, ","")&amp;IF(F756="","Product Type, ","")&amp;IF(G756="","Category, ","")&amp;IF(H756="","HSN Code, ","")&amp;IF(Q756="","Qty, ","")&amp;IF(R756="","Purchase Rate, ","")&amp;IF(S756="","MRP, ",""))&lt;&gt;"","Missing: "&amp;LEFT(IF(B756="","PO Ref, ","")&amp;IF(C756="","Vendor, ","")&amp;IF(D756="","Store, ","")&amp;IF(F756="","Product Type, ","")&amp;IF(G756="","Category, ","")&amp;IF(H756="","HSN Code, ","")&amp;IF(Q756="","Qty, ","")&amp;IF(R756="","Purchase Rate, ","")&amp;IF(S756="","MRP, ",""),LEN(IF(B756="","PO Ref, ","")&amp;IF(C756="","Vendor, ","")&amp;IF(D756="","Store, ","")&amp;IF(F756="","Product Type, ","")&amp;IF(G756="","Category, ","")&amp;IF(H756="","HSN Code, ","")&amp;IF(Q756="","Qty, ","")&amp;IF(R756="","Purchase Rate, ","")&amp;IF(S756="","MRP, ",""))-2),IF(COUNTIF(Vendors!$B$3:$B$202,C756)=0,"Add vendor "&amp;C756&amp;" on the Vendors sheet",IF(ISNA(MATCH(H756,Codes!$A$2:$A$13,0)),"Pick the HSN Code from the list",IF(AND(E756&lt;&gt;"",COUNTIFS($C$3:$C$1002,C756,$E$3:$E$1002,E756,$F$3:$F$1002,"&lt;&gt;"&amp;F756)+COUNTIFS($C$3:$C$1002,C756,$E$3:$E$1002,E756,$G$3:$G$1002,"&lt;&gt;"&amp;G756)&gt;0),"Design "&amp;E756&amp;" has another Product Type or Category on another row",IF(COUNTIFS($F$3:$F$1002,F756,$G$3:$G$1002,G756,$H$3:$H$1002,"&lt;&gt;"&amp;H756)&gt;0,F756&amp;" + "&amp;G756&amp;" has another HSN Code on another row",IF(AND(V756&lt;&gt;"",U756=""),"Received Qty needs the Vendor Invoice No",IF(AND(U756&lt;&gt;"",COUNTIFS(Bills!$B$3:$B$302,U756,Bills!$C$3:$C$302,C756)=0),"Add bill "&amp;U756&amp;" of "&amp;C756&amp;" on the Bills sheet",IF(S756&lt;R756,"MRP is below the Purchase Rate","OK")))))))))</f>
        <v/>
      </c>
      <c r="B756" s="29"/>
      <c r="C756" s="22"/>
      <c r="D756" s="22"/>
      <c r="E756" s="24"/>
      <c r="F756" s="22"/>
      <c r="G756" s="22"/>
      <c r="H756" s="22"/>
      <c r="I756" s="30" t="str">
        <f>IF(H756="","",IFERROR(INDEX(Codes!$B$2:$B$13,MATCH(H756,Codes!$A$2:$A$13,0)),""))</f>
        <v/>
      </c>
      <c r="J756" s="23"/>
      <c r="K756" s="23"/>
      <c r="L756" s="23"/>
      <c r="M756" s="23"/>
      <c r="N756" s="23"/>
      <c r="O756" s="23"/>
      <c r="P756" s="23"/>
      <c r="Q756" s="31"/>
      <c r="R756" s="32"/>
      <c r="S756" s="32"/>
      <c r="T756" s="33" t="str">
        <f t="shared" si="22"/>
        <v/>
      </c>
      <c r="U756" s="34"/>
      <c r="V756" s="35"/>
      <c r="W756" s="33" t="str">
        <f t="shared" si="23"/>
        <v/>
      </c>
    </row>
    <row r="757" spans="1:23" x14ac:dyDescent="0.35">
      <c r="A757" s="21" t="str">
        <f>IF(COUNTA(B757:H757,J757:S757,U757:V757)=0,"",IF((IF(B757="","PO Ref, ","")&amp;IF(C757="","Vendor, ","")&amp;IF(D757="","Store, ","")&amp;IF(F757="","Product Type, ","")&amp;IF(G757="","Category, ","")&amp;IF(H757="","HSN Code, ","")&amp;IF(Q757="","Qty, ","")&amp;IF(R757="","Purchase Rate, ","")&amp;IF(S757="","MRP, ",""))&lt;&gt;"","Missing: "&amp;LEFT(IF(B757="","PO Ref, ","")&amp;IF(C757="","Vendor, ","")&amp;IF(D757="","Store, ","")&amp;IF(F757="","Product Type, ","")&amp;IF(G757="","Category, ","")&amp;IF(H757="","HSN Code, ","")&amp;IF(Q757="","Qty, ","")&amp;IF(R757="","Purchase Rate, ","")&amp;IF(S757="","MRP, ",""),LEN(IF(B757="","PO Ref, ","")&amp;IF(C757="","Vendor, ","")&amp;IF(D757="","Store, ","")&amp;IF(F757="","Product Type, ","")&amp;IF(G757="","Category, ","")&amp;IF(H757="","HSN Code, ","")&amp;IF(Q757="","Qty, ","")&amp;IF(R757="","Purchase Rate, ","")&amp;IF(S757="","MRP, ",""))-2),IF(COUNTIF(Vendors!$B$3:$B$202,C757)=0,"Add vendor "&amp;C757&amp;" on the Vendors sheet",IF(ISNA(MATCH(H757,Codes!$A$2:$A$13,0)),"Pick the HSN Code from the list",IF(AND(E757&lt;&gt;"",COUNTIFS($C$3:$C$1002,C757,$E$3:$E$1002,E757,$F$3:$F$1002,"&lt;&gt;"&amp;F757)+COUNTIFS($C$3:$C$1002,C757,$E$3:$E$1002,E757,$G$3:$G$1002,"&lt;&gt;"&amp;G757)&gt;0),"Design "&amp;E757&amp;" has another Product Type or Category on another row",IF(COUNTIFS($F$3:$F$1002,F757,$G$3:$G$1002,G757,$H$3:$H$1002,"&lt;&gt;"&amp;H757)&gt;0,F757&amp;" + "&amp;G757&amp;" has another HSN Code on another row",IF(AND(V757&lt;&gt;"",U757=""),"Received Qty needs the Vendor Invoice No",IF(AND(U757&lt;&gt;"",COUNTIFS(Bills!$B$3:$B$302,U757,Bills!$C$3:$C$302,C757)=0),"Add bill "&amp;U757&amp;" of "&amp;C757&amp;" on the Bills sheet",IF(S757&lt;R757,"MRP is below the Purchase Rate","OK")))))))))</f>
        <v/>
      </c>
      <c r="B757" s="29"/>
      <c r="C757" s="22"/>
      <c r="D757" s="22"/>
      <c r="E757" s="24"/>
      <c r="F757" s="22"/>
      <c r="G757" s="22"/>
      <c r="H757" s="22"/>
      <c r="I757" s="30" t="str">
        <f>IF(H757="","",IFERROR(INDEX(Codes!$B$2:$B$13,MATCH(H757,Codes!$A$2:$A$13,0)),""))</f>
        <v/>
      </c>
      <c r="J757" s="23"/>
      <c r="K757" s="23"/>
      <c r="L757" s="23"/>
      <c r="M757" s="23"/>
      <c r="N757" s="23"/>
      <c r="O757" s="23"/>
      <c r="P757" s="23"/>
      <c r="Q757" s="31"/>
      <c r="R757" s="32"/>
      <c r="S757" s="32"/>
      <c r="T757" s="33" t="str">
        <f t="shared" si="22"/>
        <v/>
      </c>
      <c r="U757" s="34"/>
      <c r="V757" s="35"/>
      <c r="W757" s="33" t="str">
        <f t="shared" si="23"/>
        <v/>
      </c>
    </row>
    <row r="758" spans="1:23" x14ac:dyDescent="0.35">
      <c r="A758" s="21" t="str">
        <f>IF(COUNTA(B758:H758,J758:S758,U758:V758)=0,"",IF((IF(B758="","PO Ref, ","")&amp;IF(C758="","Vendor, ","")&amp;IF(D758="","Store, ","")&amp;IF(F758="","Product Type, ","")&amp;IF(G758="","Category, ","")&amp;IF(H758="","HSN Code, ","")&amp;IF(Q758="","Qty, ","")&amp;IF(R758="","Purchase Rate, ","")&amp;IF(S758="","MRP, ",""))&lt;&gt;"","Missing: "&amp;LEFT(IF(B758="","PO Ref, ","")&amp;IF(C758="","Vendor, ","")&amp;IF(D758="","Store, ","")&amp;IF(F758="","Product Type, ","")&amp;IF(G758="","Category, ","")&amp;IF(H758="","HSN Code, ","")&amp;IF(Q758="","Qty, ","")&amp;IF(R758="","Purchase Rate, ","")&amp;IF(S758="","MRP, ",""),LEN(IF(B758="","PO Ref, ","")&amp;IF(C758="","Vendor, ","")&amp;IF(D758="","Store, ","")&amp;IF(F758="","Product Type, ","")&amp;IF(G758="","Category, ","")&amp;IF(H758="","HSN Code, ","")&amp;IF(Q758="","Qty, ","")&amp;IF(R758="","Purchase Rate, ","")&amp;IF(S758="","MRP, ",""))-2),IF(COUNTIF(Vendors!$B$3:$B$202,C758)=0,"Add vendor "&amp;C758&amp;" on the Vendors sheet",IF(ISNA(MATCH(H758,Codes!$A$2:$A$13,0)),"Pick the HSN Code from the list",IF(AND(E758&lt;&gt;"",COUNTIFS($C$3:$C$1002,C758,$E$3:$E$1002,E758,$F$3:$F$1002,"&lt;&gt;"&amp;F758)+COUNTIFS($C$3:$C$1002,C758,$E$3:$E$1002,E758,$G$3:$G$1002,"&lt;&gt;"&amp;G758)&gt;0),"Design "&amp;E758&amp;" has another Product Type or Category on another row",IF(COUNTIFS($F$3:$F$1002,F758,$G$3:$G$1002,G758,$H$3:$H$1002,"&lt;&gt;"&amp;H758)&gt;0,F758&amp;" + "&amp;G758&amp;" has another HSN Code on another row",IF(AND(V758&lt;&gt;"",U758=""),"Received Qty needs the Vendor Invoice No",IF(AND(U758&lt;&gt;"",COUNTIFS(Bills!$B$3:$B$302,U758,Bills!$C$3:$C$302,C758)=0),"Add bill "&amp;U758&amp;" of "&amp;C758&amp;" on the Bills sheet",IF(S758&lt;R758,"MRP is below the Purchase Rate","OK")))))))))</f>
        <v/>
      </c>
      <c r="B758" s="29"/>
      <c r="C758" s="22"/>
      <c r="D758" s="22"/>
      <c r="E758" s="24"/>
      <c r="F758" s="22"/>
      <c r="G758" s="22"/>
      <c r="H758" s="22"/>
      <c r="I758" s="30" t="str">
        <f>IF(H758="","",IFERROR(INDEX(Codes!$B$2:$B$13,MATCH(H758,Codes!$A$2:$A$13,0)),""))</f>
        <v/>
      </c>
      <c r="J758" s="23"/>
      <c r="K758" s="23"/>
      <c r="L758" s="23"/>
      <c r="M758" s="23"/>
      <c r="N758" s="23"/>
      <c r="O758" s="23"/>
      <c r="P758" s="23"/>
      <c r="Q758" s="31"/>
      <c r="R758" s="32"/>
      <c r="S758" s="32"/>
      <c r="T758" s="33" t="str">
        <f t="shared" si="22"/>
        <v/>
      </c>
      <c r="U758" s="34"/>
      <c r="V758" s="35"/>
      <c r="W758" s="33" t="str">
        <f t="shared" si="23"/>
        <v/>
      </c>
    </row>
    <row r="759" spans="1:23" x14ac:dyDescent="0.35">
      <c r="A759" s="21" t="str">
        <f>IF(COUNTA(B759:H759,J759:S759,U759:V759)=0,"",IF((IF(B759="","PO Ref, ","")&amp;IF(C759="","Vendor, ","")&amp;IF(D759="","Store, ","")&amp;IF(F759="","Product Type, ","")&amp;IF(G759="","Category, ","")&amp;IF(H759="","HSN Code, ","")&amp;IF(Q759="","Qty, ","")&amp;IF(R759="","Purchase Rate, ","")&amp;IF(S759="","MRP, ",""))&lt;&gt;"","Missing: "&amp;LEFT(IF(B759="","PO Ref, ","")&amp;IF(C759="","Vendor, ","")&amp;IF(D759="","Store, ","")&amp;IF(F759="","Product Type, ","")&amp;IF(G759="","Category, ","")&amp;IF(H759="","HSN Code, ","")&amp;IF(Q759="","Qty, ","")&amp;IF(R759="","Purchase Rate, ","")&amp;IF(S759="","MRP, ",""),LEN(IF(B759="","PO Ref, ","")&amp;IF(C759="","Vendor, ","")&amp;IF(D759="","Store, ","")&amp;IF(F759="","Product Type, ","")&amp;IF(G759="","Category, ","")&amp;IF(H759="","HSN Code, ","")&amp;IF(Q759="","Qty, ","")&amp;IF(R759="","Purchase Rate, ","")&amp;IF(S759="","MRP, ",""))-2),IF(COUNTIF(Vendors!$B$3:$B$202,C759)=0,"Add vendor "&amp;C759&amp;" on the Vendors sheet",IF(ISNA(MATCH(H759,Codes!$A$2:$A$13,0)),"Pick the HSN Code from the list",IF(AND(E759&lt;&gt;"",COUNTIFS($C$3:$C$1002,C759,$E$3:$E$1002,E759,$F$3:$F$1002,"&lt;&gt;"&amp;F759)+COUNTIFS($C$3:$C$1002,C759,$E$3:$E$1002,E759,$G$3:$G$1002,"&lt;&gt;"&amp;G759)&gt;0),"Design "&amp;E759&amp;" has another Product Type or Category on another row",IF(COUNTIFS($F$3:$F$1002,F759,$G$3:$G$1002,G759,$H$3:$H$1002,"&lt;&gt;"&amp;H759)&gt;0,F759&amp;" + "&amp;G759&amp;" has another HSN Code on another row",IF(AND(V759&lt;&gt;"",U759=""),"Received Qty needs the Vendor Invoice No",IF(AND(U759&lt;&gt;"",COUNTIFS(Bills!$B$3:$B$302,U759,Bills!$C$3:$C$302,C759)=0),"Add bill "&amp;U759&amp;" of "&amp;C759&amp;" on the Bills sheet",IF(S759&lt;R759,"MRP is below the Purchase Rate","OK")))))))))</f>
        <v/>
      </c>
      <c r="B759" s="29"/>
      <c r="C759" s="22"/>
      <c r="D759" s="22"/>
      <c r="E759" s="24"/>
      <c r="F759" s="22"/>
      <c r="G759" s="22"/>
      <c r="H759" s="22"/>
      <c r="I759" s="30" t="str">
        <f>IF(H759="","",IFERROR(INDEX(Codes!$B$2:$B$13,MATCH(H759,Codes!$A$2:$A$13,0)),""))</f>
        <v/>
      </c>
      <c r="J759" s="23"/>
      <c r="K759" s="23"/>
      <c r="L759" s="23"/>
      <c r="M759" s="23"/>
      <c r="N759" s="23"/>
      <c r="O759" s="23"/>
      <c r="P759" s="23"/>
      <c r="Q759" s="31"/>
      <c r="R759" s="32"/>
      <c r="S759" s="32"/>
      <c r="T759" s="33" t="str">
        <f t="shared" si="22"/>
        <v/>
      </c>
      <c r="U759" s="34"/>
      <c r="V759" s="35"/>
      <c r="W759" s="33" t="str">
        <f t="shared" si="23"/>
        <v/>
      </c>
    </row>
    <row r="760" spans="1:23" x14ac:dyDescent="0.35">
      <c r="A760" s="21" t="str">
        <f>IF(COUNTA(B760:H760,J760:S760,U760:V760)=0,"",IF((IF(B760="","PO Ref, ","")&amp;IF(C760="","Vendor, ","")&amp;IF(D760="","Store, ","")&amp;IF(F760="","Product Type, ","")&amp;IF(G760="","Category, ","")&amp;IF(H760="","HSN Code, ","")&amp;IF(Q760="","Qty, ","")&amp;IF(R760="","Purchase Rate, ","")&amp;IF(S760="","MRP, ",""))&lt;&gt;"","Missing: "&amp;LEFT(IF(B760="","PO Ref, ","")&amp;IF(C760="","Vendor, ","")&amp;IF(D760="","Store, ","")&amp;IF(F760="","Product Type, ","")&amp;IF(G760="","Category, ","")&amp;IF(H760="","HSN Code, ","")&amp;IF(Q760="","Qty, ","")&amp;IF(R760="","Purchase Rate, ","")&amp;IF(S760="","MRP, ",""),LEN(IF(B760="","PO Ref, ","")&amp;IF(C760="","Vendor, ","")&amp;IF(D760="","Store, ","")&amp;IF(F760="","Product Type, ","")&amp;IF(G760="","Category, ","")&amp;IF(H760="","HSN Code, ","")&amp;IF(Q760="","Qty, ","")&amp;IF(R760="","Purchase Rate, ","")&amp;IF(S760="","MRP, ",""))-2),IF(COUNTIF(Vendors!$B$3:$B$202,C760)=0,"Add vendor "&amp;C760&amp;" on the Vendors sheet",IF(ISNA(MATCH(H760,Codes!$A$2:$A$13,0)),"Pick the HSN Code from the list",IF(AND(E760&lt;&gt;"",COUNTIFS($C$3:$C$1002,C760,$E$3:$E$1002,E760,$F$3:$F$1002,"&lt;&gt;"&amp;F760)+COUNTIFS($C$3:$C$1002,C760,$E$3:$E$1002,E760,$G$3:$G$1002,"&lt;&gt;"&amp;G760)&gt;0),"Design "&amp;E760&amp;" has another Product Type or Category on another row",IF(COUNTIFS($F$3:$F$1002,F760,$G$3:$G$1002,G760,$H$3:$H$1002,"&lt;&gt;"&amp;H760)&gt;0,F760&amp;" + "&amp;G760&amp;" has another HSN Code on another row",IF(AND(V760&lt;&gt;"",U760=""),"Received Qty needs the Vendor Invoice No",IF(AND(U760&lt;&gt;"",COUNTIFS(Bills!$B$3:$B$302,U760,Bills!$C$3:$C$302,C760)=0),"Add bill "&amp;U760&amp;" of "&amp;C760&amp;" on the Bills sheet",IF(S760&lt;R760,"MRP is below the Purchase Rate","OK")))))))))</f>
        <v/>
      </c>
      <c r="B760" s="29"/>
      <c r="C760" s="22"/>
      <c r="D760" s="22"/>
      <c r="E760" s="24"/>
      <c r="F760" s="22"/>
      <c r="G760" s="22"/>
      <c r="H760" s="22"/>
      <c r="I760" s="30" t="str">
        <f>IF(H760="","",IFERROR(INDEX(Codes!$B$2:$B$13,MATCH(H760,Codes!$A$2:$A$13,0)),""))</f>
        <v/>
      </c>
      <c r="J760" s="23"/>
      <c r="K760" s="23"/>
      <c r="L760" s="23"/>
      <c r="M760" s="23"/>
      <c r="N760" s="23"/>
      <c r="O760" s="23"/>
      <c r="P760" s="23"/>
      <c r="Q760" s="31"/>
      <c r="R760" s="32"/>
      <c r="S760" s="32"/>
      <c r="T760" s="33" t="str">
        <f t="shared" si="22"/>
        <v/>
      </c>
      <c r="U760" s="34"/>
      <c r="V760" s="35"/>
      <c r="W760" s="33" t="str">
        <f t="shared" si="23"/>
        <v/>
      </c>
    </row>
    <row r="761" spans="1:23" x14ac:dyDescent="0.35">
      <c r="A761" s="21" t="str">
        <f>IF(COUNTA(B761:H761,J761:S761,U761:V761)=0,"",IF((IF(B761="","PO Ref, ","")&amp;IF(C761="","Vendor, ","")&amp;IF(D761="","Store, ","")&amp;IF(F761="","Product Type, ","")&amp;IF(G761="","Category, ","")&amp;IF(H761="","HSN Code, ","")&amp;IF(Q761="","Qty, ","")&amp;IF(R761="","Purchase Rate, ","")&amp;IF(S761="","MRP, ",""))&lt;&gt;"","Missing: "&amp;LEFT(IF(B761="","PO Ref, ","")&amp;IF(C761="","Vendor, ","")&amp;IF(D761="","Store, ","")&amp;IF(F761="","Product Type, ","")&amp;IF(G761="","Category, ","")&amp;IF(H761="","HSN Code, ","")&amp;IF(Q761="","Qty, ","")&amp;IF(R761="","Purchase Rate, ","")&amp;IF(S761="","MRP, ",""),LEN(IF(B761="","PO Ref, ","")&amp;IF(C761="","Vendor, ","")&amp;IF(D761="","Store, ","")&amp;IF(F761="","Product Type, ","")&amp;IF(G761="","Category, ","")&amp;IF(H761="","HSN Code, ","")&amp;IF(Q761="","Qty, ","")&amp;IF(R761="","Purchase Rate, ","")&amp;IF(S761="","MRP, ",""))-2),IF(COUNTIF(Vendors!$B$3:$B$202,C761)=0,"Add vendor "&amp;C761&amp;" on the Vendors sheet",IF(ISNA(MATCH(H761,Codes!$A$2:$A$13,0)),"Pick the HSN Code from the list",IF(AND(E761&lt;&gt;"",COUNTIFS($C$3:$C$1002,C761,$E$3:$E$1002,E761,$F$3:$F$1002,"&lt;&gt;"&amp;F761)+COUNTIFS($C$3:$C$1002,C761,$E$3:$E$1002,E761,$G$3:$G$1002,"&lt;&gt;"&amp;G761)&gt;0),"Design "&amp;E761&amp;" has another Product Type or Category on another row",IF(COUNTIFS($F$3:$F$1002,F761,$G$3:$G$1002,G761,$H$3:$H$1002,"&lt;&gt;"&amp;H761)&gt;0,F761&amp;" + "&amp;G761&amp;" has another HSN Code on another row",IF(AND(V761&lt;&gt;"",U761=""),"Received Qty needs the Vendor Invoice No",IF(AND(U761&lt;&gt;"",COUNTIFS(Bills!$B$3:$B$302,U761,Bills!$C$3:$C$302,C761)=0),"Add bill "&amp;U761&amp;" of "&amp;C761&amp;" on the Bills sheet",IF(S761&lt;R761,"MRP is below the Purchase Rate","OK")))))))))</f>
        <v/>
      </c>
      <c r="B761" s="29"/>
      <c r="C761" s="22"/>
      <c r="D761" s="22"/>
      <c r="E761" s="24"/>
      <c r="F761" s="22"/>
      <c r="G761" s="22"/>
      <c r="H761" s="22"/>
      <c r="I761" s="30" t="str">
        <f>IF(H761="","",IFERROR(INDEX(Codes!$B$2:$B$13,MATCH(H761,Codes!$A$2:$A$13,0)),""))</f>
        <v/>
      </c>
      <c r="J761" s="23"/>
      <c r="K761" s="23"/>
      <c r="L761" s="23"/>
      <c r="M761" s="23"/>
      <c r="N761" s="23"/>
      <c r="O761" s="23"/>
      <c r="P761" s="23"/>
      <c r="Q761" s="31"/>
      <c r="R761" s="32"/>
      <c r="S761" s="32"/>
      <c r="T761" s="33" t="str">
        <f t="shared" si="22"/>
        <v/>
      </c>
      <c r="U761" s="34"/>
      <c r="V761" s="35"/>
      <c r="W761" s="33" t="str">
        <f t="shared" si="23"/>
        <v/>
      </c>
    </row>
    <row r="762" spans="1:23" x14ac:dyDescent="0.35">
      <c r="A762" s="21" t="str">
        <f>IF(COUNTA(B762:H762,J762:S762,U762:V762)=0,"",IF((IF(B762="","PO Ref, ","")&amp;IF(C762="","Vendor, ","")&amp;IF(D762="","Store, ","")&amp;IF(F762="","Product Type, ","")&amp;IF(G762="","Category, ","")&amp;IF(H762="","HSN Code, ","")&amp;IF(Q762="","Qty, ","")&amp;IF(R762="","Purchase Rate, ","")&amp;IF(S762="","MRP, ",""))&lt;&gt;"","Missing: "&amp;LEFT(IF(B762="","PO Ref, ","")&amp;IF(C762="","Vendor, ","")&amp;IF(D762="","Store, ","")&amp;IF(F762="","Product Type, ","")&amp;IF(G762="","Category, ","")&amp;IF(H762="","HSN Code, ","")&amp;IF(Q762="","Qty, ","")&amp;IF(R762="","Purchase Rate, ","")&amp;IF(S762="","MRP, ",""),LEN(IF(B762="","PO Ref, ","")&amp;IF(C762="","Vendor, ","")&amp;IF(D762="","Store, ","")&amp;IF(F762="","Product Type, ","")&amp;IF(G762="","Category, ","")&amp;IF(H762="","HSN Code, ","")&amp;IF(Q762="","Qty, ","")&amp;IF(R762="","Purchase Rate, ","")&amp;IF(S762="","MRP, ",""))-2),IF(COUNTIF(Vendors!$B$3:$B$202,C762)=0,"Add vendor "&amp;C762&amp;" on the Vendors sheet",IF(ISNA(MATCH(H762,Codes!$A$2:$A$13,0)),"Pick the HSN Code from the list",IF(AND(E762&lt;&gt;"",COUNTIFS($C$3:$C$1002,C762,$E$3:$E$1002,E762,$F$3:$F$1002,"&lt;&gt;"&amp;F762)+COUNTIFS($C$3:$C$1002,C762,$E$3:$E$1002,E762,$G$3:$G$1002,"&lt;&gt;"&amp;G762)&gt;0),"Design "&amp;E762&amp;" has another Product Type or Category on another row",IF(COUNTIFS($F$3:$F$1002,F762,$G$3:$G$1002,G762,$H$3:$H$1002,"&lt;&gt;"&amp;H762)&gt;0,F762&amp;" + "&amp;G762&amp;" has another HSN Code on another row",IF(AND(V762&lt;&gt;"",U762=""),"Received Qty needs the Vendor Invoice No",IF(AND(U762&lt;&gt;"",COUNTIFS(Bills!$B$3:$B$302,U762,Bills!$C$3:$C$302,C762)=0),"Add bill "&amp;U762&amp;" of "&amp;C762&amp;" on the Bills sheet",IF(S762&lt;R762,"MRP is below the Purchase Rate","OK")))))))))</f>
        <v/>
      </c>
      <c r="B762" s="29"/>
      <c r="C762" s="22"/>
      <c r="D762" s="22"/>
      <c r="E762" s="24"/>
      <c r="F762" s="22"/>
      <c r="G762" s="22"/>
      <c r="H762" s="22"/>
      <c r="I762" s="30" t="str">
        <f>IF(H762="","",IFERROR(INDEX(Codes!$B$2:$B$13,MATCH(H762,Codes!$A$2:$A$13,0)),""))</f>
        <v/>
      </c>
      <c r="J762" s="23"/>
      <c r="K762" s="23"/>
      <c r="L762" s="23"/>
      <c r="M762" s="23"/>
      <c r="N762" s="23"/>
      <c r="O762" s="23"/>
      <c r="P762" s="23"/>
      <c r="Q762" s="31"/>
      <c r="R762" s="32"/>
      <c r="S762" s="32"/>
      <c r="T762" s="33" t="str">
        <f t="shared" si="22"/>
        <v/>
      </c>
      <c r="U762" s="34"/>
      <c r="V762" s="35"/>
      <c r="W762" s="33" t="str">
        <f t="shared" si="23"/>
        <v/>
      </c>
    </row>
    <row r="763" spans="1:23" x14ac:dyDescent="0.35">
      <c r="A763" s="21" t="str">
        <f>IF(COUNTA(B763:H763,J763:S763,U763:V763)=0,"",IF((IF(B763="","PO Ref, ","")&amp;IF(C763="","Vendor, ","")&amp;IF(D763="","Store, ","")&amp;IF(F763="","Product Type, ","")&amp;IF(G763="","Category, ","")&amp;IF(H763="","HSN Code, ","")&amp;IF(Q763="","Qty, ","")&amp;IF(R763="","Purchase Rate, ","")&amp;IF(S763="","MRP, ",""))&lt;&gt;"","Missing: "&amp;LEFT(IF(B763="","PO Ref, ","")&amp;IF(C763="","Vendor, ","")&amp;IF(D763="","Store, ","")&amp;IF(F763="","Product Type, ","")&amp;IF(G763="","Category, ","")&amp;IF(H763="","HSN Code, ","")&amp;IF(Q763="","Qty, ","")&amp;IF(R763="","Purchase Rate, ","")&amp;IF(S763="","MRP, ",""),LEN(IF(B763="","PO Ref, ","")&amp;IF(C763="","Vendor, ","")&amp;IF(D763="","Store, ","")&amp;IF(F763="","Product Type, ","")&amp;IF(G763="","Category, ","")&amp;IF(H763="","HSN Code, ","")&amp;IF(Q763="","Qty, ","")&amp;IF(R763="","Purchase Rate, ","")&amp;IF(S763="","MRP, ",""))-2),IF(COUNTIF(Vendors!$B$3:$B$202,C763)=0,"Add vendor "&amp;C763&amp;" on the Vendors sheet",IF(ISNA(MATCH(H763,Codes!$A$2:$A$13,0)),"Pick the HSN Code from the list",IF(AND(E763&lt;&gt;"",COUNTIFS($C$3:$C$1002,C763,$E$3:$E$1002,E763,$F$3:$F$1002,"&lt;&gt;"&amp;F763)+COUNTIFS($C$3:$C$1002,C763,$E$3:$E$1002,E763,$G$3:$G$1002,"&lt;&gt;"&amp;G763)&gt;0),"Design "&amp;E763&amp;" has another Product Type or Category on another row",IF(COUNTIFS($F$3:$F$1002,F763,$G$3:$G$1002,G763,$H$3:$H$1002,"&lt;&gt;"&amp;H763)&gt;0,F763&amp;" + "&amp;G763&amp;" has another HSN Code on another row",IF(AND(V763&lt;&gt;"",U763=""),"Received Qty needs the Vendor Invoice No",IF(AND(U763&lt;&gt;"",COUNTIFS(Bills!$B$3:$B$302,U763,Bills!$C$3:$C$302,C763)=0),"Add bill "&amp;U763&amp;" of "&amp;C763&amp;" on the Bills sheet",IF(S763&lt;R763,"MRP is below the Purchase Rate","OK")))))))))</f>
        <v/>
      </c>
      <c r="B763" s="29"/>
      <c r="C763" s="22"/>
      <c r="D763" s="22"/>
      <c r="E763" s="24"/>
      <c r="F763" s="22"/>
      <c r="G763" s="22"/>
      <c r="H763" s="22"/>
      <c r="I763" s="30" t="str">
        <f>IF(H763="","",IFERROR(INDEX(Codes!$B$2:$B$13,MATCH(H763,Codes!$A$2:$A$13,0)),""))</f>
        <v/>
      </c>
      <c r="J763" s="23"/>
      <c r="K763" s="23"/>
      <c r="L763" s="23"/>
      <c r="M763" s="23"/>
      <c r="N763" s="23"/>
      <c r="O763" s="23"/>
      <c r="P763" s="23"/>
      <c r="Q763" s="31"/>
      <c r="R763" s="32"/>
      <c r="S763" s="32"/>
      <c r="T763" s="33" t="str">
        <f t="shared" si="22"/>
        <v/>
      </c>
      <c r="U763" s="34"/>
      <c r="V763" s="35"/>
      <c r="W763" s="33" t="str">
        <f t="shared" si="23"/>
        <v/>
      </c>
    </row>
    <row r="764" spans="1:23" x14ac:dyDescent="0.35">
      <c r="A764" s="21" t="str">
        <f>IF(COUNTA(B764:H764,J764:S764,U764:V764)=0,"",IF((IF(B764="","PO Ref, ","")&amp;IF(C764="","Vendor, ","")&amp;IF(D764="","Store, ","")&amp;IF(F764="","Product Type, ","")&amp;IF(G764="","Category, ","")&amp;IF(H764="","HSN Code, ","")&amp;IF(Q764="","Qty, ","")&amp;IF(R764="","Purchase Rate, ","")&amp;IF(S764="","MRP, ",""))&lt;&gt;"","Missing: "&amp;LEFT(IF(B764="","PO Ref, ","")&amp;IF(C764="","Vendor, ","")&amp;IF(D764="","Store, ","")&amp;IF(F764="","Product Type, ","")&amp;IF(G764="","Category, ","")&amp;IF(H764="","HSN Code, ","")&amp;IF(Q764="","Qty, ","")&amp;IF(R764="","Purchase Rate, ","")&amp;IF(S764="","MRP, ",""),LEN(IF(B764="","PO Ref, ","")&amp;IF(C764="","Vendor, ","")&amp;IF(D764="","Store, ","")&amp;IF(F764="","Product Type, ","")&amp;IF(G764="","Category, ","")&amp;IF(H764="","HSN Code, ","")&amp;IF(Q764="","Qty, ","")&amp;IF(R764="","Purchase Rate, ","")&amp;IF(S764="","MRP, ",""))-2),IF(COUNTIF(Vendors!$B$3:$B$202,C764)=0,"Add vendor "&amp;C764&amp;" on the Vendors sheet",IF(ISNA(MATCH(H764,Codes!$A$2:$A$13,0)),"Pick the HSN Code from the list",IF(AND(E764&lt;&gt;"",COUNTIFS($C$3:$C$1002,C764,$E$3:$E$1002,E764,$F$3:$F$1002,"&lt;&gt;"&amp;F764)+COUNTIFS($C$3:$C$1002,C764,$E$3:$E$1002,E764,$G$3:$G$1002,"&lt;&gt;"&amp;G764)&gt;0),"Design "&amp;E764&amp;" has another Product Type or Category on another row",IF(COUNTIFS($F$3:$F$1002,F764,$G$3:$G$1002,G764,$H$3:$H$1002,"&lt;&gt;"&amp;H764)&gt;0,F764&amp;" + "&amp;G764&amp;" has another HSN Code on another row",IF(AND(V764&lt;&gt;"",U764=""),"Received Qty needs the Vendor Invoice No",IF(AND(U764&lt;&gt;"",COUNTIFS(Bills!$B$3:$B$302,U764,Bills!$C$3:$C$302,C764)=0),"Add bill "&amp;U764&amp;" of "&amp;C764&amp;" on the Bills sheet",IF(S764&lt;R764,"MRP is below the Purchase Rate","OK")))))))))</f>
        <v/>
      </c>
      <c r="B764" s="29"/>
      <c r="C764" s="22"/>
      <c r="D764" s="22"/>
      <c r="E764" s="24"/>
      <c r="F764" s="22"/>
      <c r="G764" s="22"/>
      <c r="H764" s="22"/>
      <c r="I764" s="30" t="str">
        <f>IF(H764="","",IFERROR(INDEX(Codes!$B$2:$B$13,MATCH(H764,Codes!$A$2:$A$13,0)),""))</f>
        <v/>
      </c>
      <c r="J764" s="23"/>
      <c r="K764" s="23"/>
      <c r="L764" s="23"/>
      <c r="M764" s="23"/>
      <c r="N764" s="23"/>
      <c r="O764" s="23"/>
      <c r="P764" s="23"/>
      <c r="Q764" s="31"/>
      <c r="R764" s="32"/>
      <c r="S764" s="32"/>
      <c r="T764" s="33" t="str">
        <f t="shared" si="22"/>
        <v/>
      </c>
      <c r="U764" s="34"/>
      <c r="V764" s="35"/>
      <c r="W764" s="33" t="str">
        <f t="shared" si="23"/>
        <v/>
      </c>
    </row>
    <row r="765" spans="1:23" x14ac:dyDescent="0.35">
      <c r="A765" s="21" t="str">
        <f>IF(COUNTA(B765:H765,J765:S765,U765:V765)=0,"",IF((IF(B765="","PO Ref, ","")&amp;IF(C765="","Vendor, ","")&amp;IF(D765="","Store, ","")&amp;IF(F765="","Product Type, ","")&amp;IF(G765="","Category, ","")&amp;IF(H765="","HSN Code, ","")&amp;IF(Q765="","Qty, ","")&amp;IF(R765="","Purchase Rate, ","")&amp;IF(S765="","MRP, ",""))&lt;&gt;"","Missing: "&amp;LEFT(IF(B765="","PO Ref, ","")&amp;IF(C765="","Vendor, ","")&amp;IF(D765="","Store, ","")&amp;IF(F765="","Product Type, ","")&amp;IF(G765="","Category, ","")&amp;IF(H765="","HSN Code, ","")&amp;IF(Q765="","Qty, ","")&amp;IF(R765="","Purchase Rate, ","")&amp;IF(S765="","MRP, ",""),LEN(IF(B765="","PO Ref, ","")&amp;IF(C765="","Vendor, ","")&amp;IF(D765="","Store, ","")&amp;IF(F765="","Product Type, ","")&amp;IF(G765="","Category, ","")&amp;IF(H765="","HSN Code, ","")&amp;IF(Q765="","Qty, ","")&amp;IF(R765="","Purchase Rate, ","")&amp;IF(S765="","MRP, ",""))-2),IF(COUNTIF(Vendors!$B$3:$B$202,C765)=0,"Add vendor "&amp;C765&amp;" on the Vendors sheet",IF(ISNA(MATCH(H765,Codes!$A$2:$A$13,0)),"Pick the HSN Code from the list",IF(AND(E765&lt;&gt;"",COUNTIFS($C$3:$C$1002,C765,$E$3:$E$1002,E765,$F$3:$F$1002,"&lt;&gt;"&amp;F765)+COUNTIFS($C$3:$C$1002,C765,$E$3:$E$1002,E765,$G$3:$G$1002,"&lt;&gt;"&amp;G765)&gt;0),"Design "&amp;E765&amp;" has another Product Type or Category on another row",IF(COUNTIFS($F$3:$F$1002,F765,$G$3:$G$1002,G765,$H$3:$H$1002,"&lt;&gt;"&amp;H765)&gt;0,F765&amp;" + "&amp;G765&amp;" has another HSN Code on another row",IF(AND(V765&lt;&gt;"",U765=""),"Received Qty needs the Vendor Invoice No",IF(AND(U765&lt;&gt;"",COUNTIFS(Bills!$B$3:$B$302,U765,Bills!$C$3:$C$302,C765)=0),"Add bill "&amp;U765&amp;" of "&amp;C765&amp;" on the Bills sheet",IF(S765&lt;R765,"MRP is below the Purchase Rate","OK")))))))))</f>
        <v/>
      </c>
      <c r="B765" s="29"/>
      <c r="C765" s="22"/>
      <c r="D765" s="22"/>
      <c r="E765" s="24"/>
      <c r="F765" s="22"/>
      <c r="G765" s="22"/>
      <c r="H765" s="22"/>
      <c r="I765" s="30" t="str">
        <f>IF(H765="","",IFERROR(INDEX(Codes!$B$2:$B$13,MATCH(H765,Codes!$A$2:$A$13,0)),""))</f>
        <v/>
      </c>
      <c r="J765" s="23"/>
      <c r="K765" s="23"/>
      <c r="L765" s="23"/>
      <c r="M765" s="23"/>
      <c r="N765" s="23"/>
      <c r="O765" s="23"/>
      <c r="P765" s="23"/>
      <c r="Q765" s="31"/>
      <c r="R765" s="32"/>
      <c r="S765" s="32"/>
      <c r="T765" s="33" t="str">
        <f t="shared" si="22"/>
        <v/>
      </c>
      <c r="U765" s="34"/>
      <c r="V765" s="35"/>
      <c r="W765" s="33" t="str">
        <f t="shared" si="23"/>
        <v/>
      </c>
    </row>
    <row r="766" spans="1:23" x14ac:dyDescent="0.35">
      <c r="A766" s="21" t="str">
        <f>IF(COUNTA(B766:H766,J766:S766,U766:V766)=0,"",IF((IF(B766="","PO Ref, ","")&amp;IF(C766="","Vendor, ","")&amp;IF(D766="","Store, ","")&amp;IF(F766="","Product Type, ","")&amp;IF(G766="","Category, ","")&amp;IF(H766="","HSN Code, ","")&amp;IF(Q766="","Qty, ","")&amp;IF(R766="","Purchase Rate, ","")&amp;IF(S766="","MRP, ",""))&lt;&gt;"","Missing: "&amp;LEFT(IF(B766="","PO Ref, ","")&amp;IF(C766="","Vendor, ","")&amp;IF(D766="","Store, ","")&amp;IF(F766="","Product Type, ","")&amp;IF(G766="","Category, ","")&amp;IF(H766="","HSN Code, ","")&amp;IF(Q766="","Qty, ","")&amp;IF(R766="","Purchase Rate, ","")&amp;IF(S766="","MRP, ",""),LEN(IF(B766="","PO Ref, ","")&amp;IF(C766="","Vendor, ","")&amp;IF(D766="","Store, ","")&amp;IF(F766="","Product Type, ","")&amp;IF(G766="","Category, ","")&amp;IF(H766="","HSN Code, ","")&amp;IF(Q766="","Qty, ","")&amp;IF(R766="","Purchase Rate, ","")&amp;IF(S766="","MRP, ",""))-2),IF(COUNTIF(Vendors!$B$3:$B$202,C766)=0,"Add vendor "&amp;C766&amp;" on the Vendors sheet",IF(ISNA(MATCH(H766,Codes!$A$2:$A$13,0)),"Pick the HSN Code from the list",IF(AND(E766&lt;&gt;"",COUNTIFS($C$3:$C$1002,C766,$E$3:$E$1002,E766,$F$3:$F$1002,"&lt;&gt;"&amp;F766)+COUNTIFS($C$3:$C$1002,C766,$E$3:$E$1002,E766,$G$3:$G$1002,"&lt;&gt;"&amp;G766)&gt;0),"Design "&amp;E766&amp;" has another Product Type or Category on another row",IF(COUNTIFS($F$3:$F$1002,F766,$G$3:$G$1002,G766,$H$3:$H$1002,"&lt;&gt;"&amp;H766)&gt;0,F766&amp;" + "&amp;G766&amp;" has another HSN Code on another row",IF(AND(V766&lt;&gt;"",U766=""),"Received Qty needs the Vendor Invoice No",IF(AND(U766&lt;&gt;"",COUNTIFS(Bills!$B$3:$B$302,U766,Bills!$C$3:$C$302,C766)=0),"Add bill "&amp;U766&amp;" of "&amp;C766&amp;" on the Bills sheet",IF(S766&lt;R766,"MRP is below the Purchase Rate","OK")))))))))</f>
        <v/>
      </c>
      <c r="B766" s="29"/>
      <c r="C766" s="22"/>
      <c r="D766" s="22"/>
      <c r="E766" s="24"/>
      <c r="F766" s="22"/>
      <c r="G766" s="22"/>
      <c r="H766" s="22"/>
      <c r="I766" s="30" t="str">
        <f>IF(H766="","",IFERROR(INDEX(Codes!$B$2:$B$13,MATCH(H766,Codes!$A$2:$A$13,0)),""))</f>
        <v/>
      </c>
      <c r="J766" s="23"/>
      <c r="K766" s="23"/>
      <c r="L766" s="23"/>
      <c r="M766" s="23"/>
      <c r="N766" s="23"/>
      <c r="O766" s="23"/>
      <c r="P766" s="23"/>
      <c r="Q766" s="31"/>
      <c r="R766" s="32"/>
      <c r="S766" s="32"/>
      <c r="T766" s="33" t="str">
        <f t="shared" si="22"/>
        <v/>
      </c>
      <c r="U766" s="34"/>
      <c r="V766" s="35"/>
      <c r="W766" s="33" t="str">
        <f t="shared" si="23"/>
        <v/>
      </c>
    </row>
    <row r="767" spans="1:23" x14ac:dyDescent="0.35">
      <c r="A767" s="21" t="str">
        <f>IF(COUNTA(B767:H767,J767:S767,U767:V767)=0,"",IF((IF(B767="","PO Ref, ","")&amp;IF(C767="","Vendor, ","")&amp;IF(D767="","Store, ","")&amp;IF(F767="","Product Type, ","")&amp;IF(G767="","Category, ","")&amp;IF(H767="","HSN Code, ","")&amp;IF(Q767="","Qty, ","")&amp;IF(R767="","Purchase Rate, ","")&amp;IF(S767="","MRP, ",""))&lt;&gt;"","Missing: "&amp;LEFT(IF(B767="","PO Ref, ","")&amp;IF(C767="","Vendor, ","")&amp;IF(D767="","Store, ","")&amp;IF(F767="","Product Type, ","")&amp;IF(G767="","Category, ","")&amp;IF(H767="","HSN Code, ","")&amp;IF(Q767="","Qty, ","")&amp;IF(R767="","Purchase Rate, ","")&amp;IF(S767="","MRP, ",""),LEN(IF(B767="","PO Ref, ","")&amp;IF(C767="","Vendor, ","")&amp;IF(D767="","Store, ","")&amp;IF(F767="","Product Type, ","")&amp;IF(G767="","Category, ","")&amp;IF(H767="","HSN Code, ","")&amp;IF(Q767="","Qty, ","")&amp;IF(R767="","Purchase Rate, ","")&amp;IF(S767="","MRP, ",""))-2),IF(COUNTIF(Vendors!$B$3:$B$202,C767)=0,"Add vendor "&amp;C767&amp;" on the Vendors sheet",IF(ISNA(MATCH(H767,Codes!$A$2:$A$13,0)),"Pick the HSN Code from the list",IF(AND(E767&lt;&gt;"",COUNTIFS($C$3:$C$1002,C767,$E$3:$E$1002,E767,$F$3:$F$1002,"&lt;&gt;"&amp;F767)+COUNTIFS($C$3:$C$1002,C767,$E$3:$E$1002,E767,$G$3:$G$1002,"&lt;&gt;"&amp;G767)&gt;0),"Design "&amp;E767&amp;" has another Product Type or Category on another row",IF(COUNTIFS($F$3:$F$1002,F767,$G$3:$G$1002,G767,$H$3:$H$1002,"&lt;&gt;"&amp;H767)&gt;0,F767&amp;" + "&amp;G767&amp;" has another HSN Code on another row",IF(AND(V767&lt;&gt;"",U767=""),"Received Qty needs the Vendor Invoice No",IF(AND(U767&lt;&gt;"",COUNTIFS(Bills!$B$3:$B$302,U767,Bills!$C$3:$C$302,C767)=0),"Add bill "&amp;U767&amp;" of "&amp;C767&amp;" on the Bills sheet",IF(S767&lt;R767,"MRP is below the Purchase Rate","OK")))))))))</f>
        <v/>
      </c>
      <c r="B767" s="29"/>
      <c r="C767" s="22"/>
      <c r="D767" s="22"/>
      <c r="E767" s="24"/>
      <c r="F767" s="22"/>
      <c r="G767" s="22"/>
      <c r="H767" s="22"/>
      <c r="I767" s="30" t="str">
        <f>IF(H767="","",IFERROR(INDEX(Codes!$B$2:$B$13,MATCH(H767,Codes!$A$2:$A$13,0)),""))</f>
        <v/>
      </c>
      <c r="J767" s="23"/>
      <c r="K767" s="23"/>
      <c r="L767" s="23"/>
      <c r="M767" s="23"/>
      <c r="N767" s="23"/>
      <c r="O767" s="23"/>
      <c r="P767" s="23"/>
      <c r="Q767" s="31"/>
      <c r="R767" s="32"/>
      <c r="S767" s="32"/>
      <c r="T767" s="33" t="str">
        <f t="shared" si="22"/>
        <v/>
      </c>
      <c r="U767" s="34"/>
      <c r="V767" s="35"/>
      <c r="W767" s="33" t="str">
        <f t="shared" si="23"/>
        <v/>
      </c>
    </row>
    <row r="768" spans="1:23" x14ac:dyDescent="0.35">
      <c r="A768" s="21" t="str">
        <f>IF(COUNTA(B768:H768,J768:S768,U768:V768)=0,"",IF((IF(B768="","PO Ref, ","")&amp;IF(C768="","Vendor, ","")&amp;IF(D768="","Store, ","")&amp;IF(F768="","Product Type, ","")&amp;IF(G768="","Category, ","")&amp;IF(H768="","HSN Code, ","")&amp;IF(Q768="","Qty, ","")&amp;IF(R768="","Purchase Rate, ","")&amp;IF(S768="","MRP, ",""))&lt;&gt;"","Missing: "&amp;LEFT(IF(B768="","PO Ref, ","")&amp;IF(C768="","Vendor, ","")&amp;IF(D768="","Store, ","")&amp;IF(F768="","Product Type, ","")&amp;IF(G768="","Category, ","")&amp;IF(H768="","HSN Code, ","")&amp;IF(Q768="","Qty, ","")&amp;IF(R768="","Purchase Rate, ","")&amp;IF(S768="","MRP, ",""),LEN(IF(B768="","PO Ref, ","")&amp;IF(C768="","Vendor, ","")&amp;IF(D768="","Store, ","")&amp;IF(F768="","Product Type, ","")&amp;IF(G768="","Category, ","")&amp;IF(H768="","HSN Code, ","")&amp;IF(Q768="","Qty, ","")&amp;IF(R768="","Purchase Rate, ","")&amp;IF(S768="","MRP, ",""))-2),IF(COUNTIF(Vendors!$B$3:$B$202,C768)=0,"Add vendor "&amp;C768&amp;" on the Vendors sheet",IF(ISNA(MATCH(H768,Codes!$A$2:$A$13,0)),"Pick the HSN Code from the list",IF(AND(E768&lt;&gt;"",COUNTIFS($C$3:$C$1002,C768,$E$3:$E$1002,E768,$F$3:$F$1002,"&lt;&gt;"&amp;F768)+COUNTIFS($C$3:$C$1002,C768,$E$3:$E$1002,E768,$G$3:$G$1002,"&lt;&gt;"&amp;G768)&gt;0),"Design "&amp;E768&amp;" has another Product Type or Category on another row",IF(COUNTIFS($F$3:$F$1002,F768,$G$3:$G$1002,G768,$H$3:$H$1002,"&lt;&gt;"&amp;H768)&gt;0,F768&amp;" + "&amp;G768&amp;" has another HSN Code on another row",IF(AND(V768&lt;&gt;"",U768=""),"Received Qty needs the Vendor Invoice No",IF(AND(U768&lt;&gt;"",COUNTIFS(Bills!$B$3:$B$302,U768,Bills!$C$3:$C$302,C768)=0),"Add bill "&amp;U768&amp;" of "&amp;C768&amp;" on the Bills sheet",IF(S768&lt;R768,"MRP is below the Purchase Rate","OK")))))))))</f>
        <v/>
      </c>
      <c r="B768" s="29"/>
      <c r="C768" s="22"/>
      <c r="D768" s="22"/>
      <c r="E768" s="24"/>
      <c r="F768" s="22"/>
      <c r="G768" s="22"/>
      <c r="H768" s="22"/>
      <c r="I768" s="30" t="str">
        <f>IF(H768="","",IFERROR(INDEX(Codes!$B$2:$B$13,MATCH(H768,Codes!$A$2:$A$13,0)),""))</f>
        <v/>
      </c>
      <c r="J768" s="23"/>
      <c r="K768" s="23"/>
      <c r="L768" s="23"/>
      <c r="M768" s="23"/>
      <c r="N768" s="23"/>
      <c r="O768" s="23"/>
      <c r="P768" s="23"/>
      <c r="Q768" s="31"/>
      <c r="R768" s="32"/>
      <c r="S768" s="32"/>
      <c r="T768" s="33" t="str">
        <f t="shared" si="22"/>
        <v/>
      </c>
      <c r="U768" s="34"/>
      <c r="V768" s="35"/>
      <c r="W768" s="33" t="str">
        <f t="shared" si="23"/>
        <v/>
      </c>
    </row>
    <row r="769" spans="1:23" x14ac:dyDescent="0.35">
      <c r="A769" s="21" t="str">
        <f>IF(COUNTA(B769:H769,J769:S769,U769:V769)=0,"",IF((IF(B769="","PO Ref, ","")&amp;IF(C769="","Vendor, ","")&amp;IF(D769="","Store, ","")&amp;IF(F769="","Product Type, ","")&amp;IF(G769="","Category, ","")&amp;IF(H769="","HSN Code, ","")&amp;IF(Q769="","Qty, ","")&amp;IF(R769="","Purchase Rate, ","")&amp;IF(S769="","MRP, ",""))&lt;&gt;"","Missing: "&amp;LEFT(IF(B769="","PO Ref, ","")&amp;IF(C769="","Vendor, ","")&amp;IF(D769="","Store, ","")&amp;IF(F769="","Product Type, ","")&amp;IF(G769="","Category, ","")&amp;IF(H769="","HSN Code, ","")&amp;IF(Q769="","Qty, ","")&amp;IF(R769="","Purchase Rate, ","")&amp;IF(S769="","MRP, ",""),LEN(IF(B769="","PO Ref, ","")&amp;IF(C769="","Vendor, ","")&amp;IF(D769="","Store, ","")&amp;IF(F769="","Product Type, ","")&amp;IF(G769="","Category, ","")&amp;IF(H769="","HSN Code, ","")&amp;IF(Q769="","Qty, ","")&amp;IF(R769="","Purchase Rate, ","")&amp;IF(S769="","MRP, ",""))-2),IF(COUNTIF(Vendors!$B$3:$B$202,C769)=0,"Add vendor "&amp;C769&amp;" on the Vendors sheet",IF(ISNA(MATCH(H769,Codes!$A$2:$A$13,0)),"Pick the HSN Code from the list",IF(AND(E769&lt;&gt;"",COUNTIFS($C$3:$C$1002,C769,$E$3:$E$1002,E769,$F$3:$F$1002,"&lt;&gt;"&amp;F769)+COUNTIFS($C$3:$C$1002,C769,$E$3:$E$1002,E769,$G$3:$G$1002,"&lt;&gt;"&amp;G769)&gt;0),"Design "&amp;E769&amp;" has another Product Type or Category on another row",IF(COUNTIFS($F$3:$F$1002,F769,$G$3:$G$1002,G769,$H$3:$H$1002,"&lt;&gt;"&amp;H769)&gt;0,F769&amp;" + "&amp;G769&amp;" has another HSN Code on another row",IF(AND(V769&lt;&gt;"",U769=""),"Received Qty needs the Vendor Invoice No",IF(AND(U769&lt;&gt;"",COUNTIFS(Bills!$B$3:$B$302,U769,Bills!$C$3:$C$302,C769)=0),"Add bill "&amp;U769&amp;" of "&amp;C769&amp;" on the Bills sheet",IF(S769&lt;R769,"MRP is below the Purchase Rate","OK")))))))))</f>
        <v/>
      </c>
      <c r="B769" s="29"/>
      <c r="C769" s="22"/>
      <c r="D769" s="22"/>
      <c r="E769" s="24"/>
      <c r="F769" s="22"/>
      <c r="G769" s="22"/>
      <c r="H769" s="22"/>
      <c r="I769" s="30" t="str">
        <f>IF(H769="","",IFERROR(INDEX(Codes!$B$2:$B$13,MATCH(H769,Codes!$A$2:$A$13,0)),""))</f>
        <v/>
      </c>
      <c r="J769" s="23"/>
      <c r="K769" s="23"/>
      <c r="L769" s="23"/>
      <c r="M769" s="23"/>
      <c r="N769" s="23"/>
      <c r="O769" s="23"/>
      <c r="P769" s="23"/>
      <c r="Q769" s="31"/>
      <c r="R769" s="32"/>
      <c r="S769" s="32"/>
      <c r="T769" s="33" t="str">
        <f t="shared" si="22"/>
        <v/>
      </c>
      <c r="U769" s="34"/>
      <c r="V769" s="35"/>
      <c r="W769" s="33" t="str">
        <f t="shared" si="23"/>
        <v/>
      </c>
    </row>
    <row r="770" spans="1:23" x14ac:dyDescent="0.35">
      <c r="A770" s="21" t="str">
        <f>IF(COUNTA(B770:H770,J770:S770,U770:V770)=0,"",IF((IF(B770="","PO Ref, ","")&amp;IF(C770="","Vendor, ","")&amp;IF(D770="","Store, ","")&amp;IF(F770="","Product Type, ","")&amp;IF(G770="","Category, ","")&amp;IF(H770="","HSN Code, ","")&amp;IF(Q770="","Qty, ","")&amp;IF(R770="","Purchase Rate, ","")&amp;IF(S770="","MRP, ",""))&lt;&gt;"","Missing: "&amp;LEFT(IF(B770="","PO Ref, ","")&amp;IF(C770="","Vendor, ","")&amp;IF(D770="","Store, ","")&amp;IF(F770="","Product Type, ","")&amp;IF(G770="","Category, ","")&amp;IF(H770="","HSN Code, ","")&amp;IF(Q770="","Qty, ","")&amp;IF(R770="","Purchase Rate, ","")&amp;IF(S770="","MRP, ",""),LEN(IF(B770="","PO Ref, ","")&amp;IF(C770="","Vendor, ","")&amp;IF(D770="","Store, ","")&amp;IF(F770="","Product Type, ","")&amp;IF(G770="","Category, ","")&amp;IF(H770="","HSN Code, ","")&amp;IF(Q770="","Qty, ","")&amp;IF(R770="","Purchase Rate, ","")&amp;IF(S770="","MRP, ",""))-2),IF(COUNTIF(Vendors!$B$3:$B$202,C770)=0,"Add vendor "&amp;C770&amp;" on the Vendors sheet",IF(ISNA(MATCH(H770,Codes!$A$2:$A$13,0)),"Pick the HSN Code from the list",IF(AND(E770&lt;&gt;"",COUNTIFS($C$3:$C$1002,C770,$E$3:$E$1002,E770,$F$3:$F$1002,"&lt;&gt;"&amp;F770)+COUNTIFS($C$3:$C$1002,C770,$E$3:$E$1002,E770,$G$3:$G$1002,"&lt;&gt;"&amp;G770)&gt;0),"Design "&amp;E770&amp;" has another Product Type or Category on another row",IF(COUNTIFS($F$3:$F$1002,F770,$G$3:$G$1002,G770,$H$3:$H$1002,"&lt;&gt;"&amp;H770)&gt;0,F770&amp;" + "&amp;G770&amp;" has another HSN Code on another row",IF(AND(V770&lt;&gt;"",U770=""),"Received Qty needs the Vendor Invoice No",IF(AND(U770&lt;&gt;"",COUNTIFS(Bills!$B$3:$B$302,U770,Bills!$C$3:$C$302,C770)=0),"Add bill "&amp;U770&amp;" of "&amp;C770&amp;" on the Bills sheet",IF(S770&lt;R770,"MRP is below the Purchase Rate","OK")))))))))</f>
        <v/>
      </c>
      <c r="B770" s="29"/>
      <c r="C770" s="22"/>
      <c r="D770" s="22"/>
      <c r="E770" s="24"/>
      <c r="F770" s="22"/>
      <c r="G770" s="22"/>
      <c r="H770" s="22"/>
      <c r="I770" s="30" t="str">
        <f>IF(H770="","",IFERROR(INDEX(Codes!$B$2:$B$13,MATCH(H770,Codes!$A$2:$A$13,0)),""))</f>
        <v/>
      </c>
      <c r="J770" s="23"/>
      <c r="K770" s="23"/>
      <c r="L770" s="23"/>
      <c r="M770" s="23"/>
      <c r="N770" s="23"/>
      <c r="O770" s="23"/>
      <c r="P770" s="23"/>
      <c r="Q770" s="31"/>
      <c r="R770" s="32"/>
      <c r="S770" s="32"/>
      <c r="T770" s="33" t="str">
        <f t="shared" si="22"/>
        <v/>
      </c>
      <c r="U770" s="34"/>
      <c r="V770" s="35"/>
      <c r="W770" s="33" t="str">
        <f t="shared" si="23"/>
        <v/>
      </c>
    </row>
    <row r="771" spans="1:23" x14ac:dyDescent="0.35">
      <c r="A771" s="21" t="str">
        <f>IF(COUNTA(B771:H771,J771:S771,U771:V771)=0,"",IF((IF(B771="","PO Ref, ","")&amp;IF(C771="","Vendor, ","")&amp;IF(D771="","Store, ","")&amp;IF(F771="","Product Type, ","")&amp;IF(G771="","Category, ","")&amp;IF(H771="","HSN Code, ","")&amp;IF(Q771="","Qty, ","")&amp;IF(R771="","Purchase Rate, ","")&amp;IF(S771="","MRP, ",""))&lt;&gt;"","Missing: "&amp;LEFT(IF(B771="","PO Ref, ","")&amp;IF(C771="","Vendor, ","")&amp;IF(D771="","Store, ","")&amp;IF(F771="","Product Type, ","")&amp;IF(G771="","Category, ","")&amp;IF(H771="","HSN Code, ","")&amp;IF(Q771="","Qty, ","")&amp;IF(R771="","Purchase Rate, ","")&amp;IF(S771="","MRP, ",""),LEN(IF(B771="","PO Ref, ","")&amp;IF(C771="","Vendor, ","")&amp;IF(D771="","Store, ","")&amp;IF(F771="","Product Type, ","")&amp;IF(G771="","Category, ","")&amp;IF(H771="","HSN Code, ","")&amp;IF(Q771="","Qty, ","")&amp;IF(R771="","Purchase Rate, ","")&amp;IF(S771="","MRP, ",""))-2),IF(COUNTIF(Vendors!$B$3:$B$202,C771)=0,"Add vendor "&amp;C771&amp;" on the Vendors sheet",IF(ISNA(MATCH(H771,Codes!$A$2:$A$13,0)),"Pick the HSN Code from the list",IF(AND(E771&lt;&gt;"",COUNTIFS($C$3:$C$1002,C771,$E$3:$E$1002,E771,$F$3:$F$1002,"&lt;&gt;"&amp;F771)+COUNTIFS($C$3:$C$1002,C771,$E$3:$E$1002,E771,$G$3:$G$1002,"&lt;&gt;"&amp;G771)&gt;0),"Design "&amp;E771&amp;" has another Product Type or Category on another row",IF(COUNTIFS($F$3:$F$1002,F771,$G$3:$G$1002,G771,$H$3:$H$1002,"&lt;&gt;"&amp;H771)&gt;0,F771&amp;" + "&amp;G771&amp;" has another HSN Code on another row",IF(AND(V771&lt;&gt;"",U771=""),"Received Qty needs the Vendor Invoice No",IF(AND(U771&lt;&gt;"",COUNTIFS(Bills!$B$3:$B$302,U771,Bills!$C$3:$C$302,C771)=0),"Add bill "&amp;U771&amp;" of "&amp;C771&amp;" on the Bills sheet",IF(S771&lt;R771,"MRP is below the Purchase Rate","OK")))))))))</f>
        <v/>
      </c>
      <c r="B771" s="29"/>
      <c r="C771" s="22"/>
      <c r="D771" s="22"/>
      <c r="E771" s="24"/>
      <c r="F771" s="22"/>
      <c r="G771" s="22"/>
      <c r="H771" s="22"/>
      <c r="I771" s="30" t="str">
        <f>IF(H771="","",IFERROR(INDEX(Codes!$B$2:$B$13,MATCH(H771,Codes!$A$2:$A$13,0)),""))</f>
        <v/>
      </c>
      <c r="J771" s="23"/>
      <c r="K771" s="23"/>
      <c r="L771" s="23"/>
      <c r="M771" s="23"/>
      <c r="N771" s="23"/>
      <c r="O771" s="23"/>
      <c r="P771" s="23"/>
      <c r="Q771" s="31"/>
      <c r="R771" s="32"/>
      <c r="S771" s="32"/>
      <c r="T771" s="33" t="str">
        <f t="shared" ref="T771:T834" si="24">IF(OR(Q771="",R771=""),"",Q771*R771)</f>
        <v/>
      </c>
      <c r="U771" s="34"/>
      <c r="V771" s="35"/>
      <c r="W771" s="33" t="str">
        <f t="shared" ref="W771:W834" si="25">IF(OR(U771="",R771=""),"",IF(V771="",Q771,V771)*R771)</f>
        <v/>
      </c>
    </row>
    <row r="772" spans="1:23" x14ac:dyDescent="0.35">
      <c r="A772" s="21" t="str">
        <f>IF(COUNTA(B772:H772,J772:S772,U772:V772)=0,"",IF((IF(B772="","PO Ref, ","")&amp;IF(C772="","Vendor, ","")&amp;IF(D772="","Store, ","")&amp;IF(F772="","Product Type, ","")&amp;IF(G772="","Category, ","")&amp;IF(H772="","HSN Code, ","")&amp;IF(Q772="","Qty, ","")&amp;IF(R772="","Purchase Rate, ","")&amp;IF(S772="","MRP, ",""))&lt;&gt;"","Missing: "&amp;LEFT(IF(B772="","PO Ref, ","")&amp;IF(C772="","Vendor, ","")&amp;IF(D772="","Store, ","")&amp;IF(F772="","Product Type, ","")&amp;IF(G772="","Category, ","")&amp;IF(H772="","HSN Code, ","")&amp;IF(Q772="","Qty, ","")&amp;IF(R772="","Purchase Rate, ","")&amp;IF(S772="","MRP, ",""),LEN(IF(B772="","PO Ref, ","")&amp;IF(C772="","Vendor, ","")&amp;IF(D772="","Store, ","")&amp;IF(F772="","Product Type, ","")&amp;IF(G772="","Category, ","")&amp;IF(H772="","HSN Code, ","")&amp;IF(Q772="","Qty, ","")&amp;IF(R772="","Purchase Rate, ","")&amp;IF(S772="","MRP, ",""))-2),IF(COUNTIF(Vendors!$B$3:$B$202,C772)=0,"Add vendor "&amp;C772&amp;" on the Vendors sheet",IF(ISNA(MATCH(H772,Codes!$A$2:$A$13,0)),"Pick the HSN Code from the list",IF(AND(E772&lt;&gt;"",COUNTIFS($C$3:$C$1002,C772,$E$3:$E$1002,E772,$F$3:$F$1002,"&lt;&gt;"&amp;F772)+COUNTIFS($C$3:$C$1002,C772,$E$3:$E$1002,E772,$G$3:$G$1002,"&lt;&gt;"&amp;G772)&gt;0),"Design "&amp;E772&amp;" has another Product Type or Category on another row",IF(COUNTIFS($F$3:$F$1002,F772,$G$3:$G$1002,G772,$H$3:$H$1002,"&lt;&gt;"&amp;H772)&gt;0,F772&amp;" + "&amp;G772&amp;" has another HSN Code on another row",IF(AND(V772&lt;&gt;"",U772=""),"Received Qty needs the Vendor Invoice No",IF(AND(U772&lt;&gt;"",COUNTIFS(Bills!$B$3:$B$302,U772,Bills!$C$3:$C$302,C772)=0),"Add bill "&amp;U772&amp;" of "&amp;C772&amp;" on the Bills sheet",IF(S772&lt;R772,"MRP is below the Purchase Rate","OK")))))))))</f>
        <v/>
      </c>
      <c r="B772" s="29"/>
      <c r="C772" s="22"/>
      <c r="D772" s="22"/>
      <c r="E772" s="24"/>
      <c r="F772" s="22"/>
      <c r="G772" s="22"/>
      <c r="H772" s="22"/>
      <c r="I772" s="30" t="str">
        <f>IF(H772="","",IFERROR(INDEX(Codes!$B$2:$B$13,MATCH(H772,Codes!$A$2:$A$13,0)),""))</f>
        <v/>
      </c>
      <c r="J772" s="23"/>
      <c r="K772" s="23"/>
      <c r="L772" s="23"/>
      <c r="M772" s="23"/>
      <c r="N772" s="23"/>
      <c r="O772" s="23"/>
      <c r="P772" s="23"/>
      <c r="Q772" s="31"/>
      <c r="R772" s="32"/>
      <c r="S772" s="32"/>
      <c r="T772" s="33" t="str">
        <f t="shared" si="24"/>
        <v/>
      </c>
      <c r="U772" s="34"/>
      <c r="V772" s="35"/>
      <c r="W772" s="33" t="str">
        <f t="shared" si="25"/>
        <v/>
      </c>
    </row>
    <row r="773" spans="1:23" x14ac:dyDescent="0.35">
      <c r="A773" s="21" t="str">
        <f>IF(COUNTA(B773:H773,J773:S773,U773:V773)=0,"",IF((IF(B773="","PO Ref, ","")&amp;IF(C773="","Vendor, ","")&amp;IF(D773="","Store, ","")&amp;IF(F773="","Product Type, ","")&amp;IF(G773="","Category, ","")&amp;IF(H773="","HSN Code, ","")&amp;IF(Q773="","Qty, ","")&amp;IF(R773="","Purchase Rate, ","")&amp;IF(S773="","MRP, ",""))&lt;&gt;"","Missing: "&amp;LEFT(IF(B773="","PO Ref, ","")&amp;IF(C773="","Vendor, ","")&amp;IF(D773="","Store, ","")&amp;IF(F773="","Product Type, ","")&amp;IF(G773="","Category, ","")&amp;IF(H773="","HSN Code, ","")&amp;IF(Q773="","Qty, ","")&amp;IF(R773="","Purchase Rate, ","")&amp;IF(S773="","MRP, ",""),LEN(IF(B773="","PO Ref, ","")&amp;IF(C773="","Vendor, ","")&amp;IF(D773="","Store, ","")&amp;IF(F773="","Product Type, ","")&amp;IF(G773="","Category, ","")&amp;IF(H773="","HSN Code, ","")&amp;IF(Q773="","Qty, ","")&amp;IF(R773="","Purchase Rate, ","")&amp;IF(S773="","MRP, ",""))-2),IF(COUNTIF(Vendors!$B$3:$B$202,C773)=0,"Add vendor "&amp;C773&amp;" on the Vendors sheet",IF(ISNA(MATCH(H773,Codes!$A$2:$A$13,0)),"Pick the HSN Code from the list",IF(AND(E773&lt;&gt;"",COUNTIFS($C$3:$C$1002,C773,$E$3:$E$1002,E773,$F$3:$F$1002,"&lt;&gt;"&amp;F773)+COUNTIFS($C$3:$C$1002,C773,$E$3:$E$1002,E773,$G$3:$G$1002,"&lt;&gt;"&amp;G773)&gt;0),"Design "&amp;E773&amp;" has another Product Type or Category on another row",IF(COUNTIFS($F$3:$F$1002,F773,$G$3:$G$1002,G773,$H$3:$H$1002,"&lt;&gt;"&amp;H773)&gt;0,F773&amp;" + "&amp;G773&amp;" has another HSN Code on another row",IF(AND(V773&lt;&gt;"",U773=""),"Received Qty needs the Vendor Invoice No",IF(AND(U773&lt;&gt;"",COUNTIFS(Bills!$B$3:$B$302,U773,Bills!$C$3:$C$302,C773)=0),"Add bill "&amp;U773&amp;" of "&amp;C773&amp;" on the Bills sheet",IF(S773&lt;R773,"MRP is below the Purchase Rate","OK")))))))))</f>
        <v/>
      </c>
      <c r="B773" s="29"/>
      <c r="C773" s="22"/>
      <c r="D773" s="22"/>
      <c r="E773" s="24"/>
      <c r="F773" s="22"/>
      <c r="G773" s="22"/>
      <c r="H773" s="22"/>
      <c r="I773" s="30" t="str">
        <f>IF(H773="","",IFERROR(INDEX(Codes!$B$2:$B$13,MATCH(H773,Codes!$A$2:$A$13,0)),""))</f>
        <v/>
      </c>
      <c r="J773" s="23"/>
      <c r="K773" s="23"/>
      <c r="L773" s="23"/>
      <c r="M773" s="23"/>
      <c r="N773" s="23"/>
      <c r="O773" s="23"/>
      <c r="P773" s="23"/>
      <c r="Q773" s="31"/>
      <c r="R773" s="32"/>
      <c r="S773" s="32"/>
      <c r="T773" s="33" t="str">
        <f t="shared" si="24"/>
        <v/>
      </c>
      <c r="U773" s="34"/>
      <c r="V773" s="35"/>
      <c r="W773" s="33" t="str">
        <f t="shared" si="25"/>
        <v/>
      </c>
    </row>
    <row r="774" spans="1:23" x14ac:dyDescent="0.35">
      <c r="A774" s="21" t="str">
        <f>IF(COUNTA(B774:H774,J774:S774,U774:V774)=0,"",IF((IF(B774="","PO Ref, ","")&amp;IF(C774="","Vendor, ","")&amp;IF(D774="","Store, ","")&amp;IF(F774="","Product Type, ","")&amp;IF(G774="","Category, ","")&amp;IF(H774="","HSN Code, ","")&amp;IF(Q774="","Qty, ","")&amp;IF(R774="","Purchase Rate, ","")&amp;IF(S774="","MRP, ",""))&lt;&gt;"","Missing: "&amp;LEFT(IF(B774="","PO Ref, ","")&amp;IF(C774="","Vendor, ","")&amp;IF(D774="","Store, ","")&amp;IF(F774="","Product Type, ","")&amp;IF(G774="","Category, ","")&amp;IF(H774="","HSN Code, ","")&amp;IF(Q774="","Qty, ","")&amp;IF(R774="","Purchase Rate, ","")&amp;IF(S774="","MRP, ",""),LEN(IF(B774="","PO Ref, ","")&amp;IF(C774="","Vendor, ","")&amp;IF(D774="","Store, ","")&amp;IF(F774="","Product Type, ","")&amp;IF(G774="","Category, ","")&amp;IF(H774="","HSN Code, ","")&amp;IF(Q774="","Qty, ","")&amp;IF(R774="","Purchase Rate, ","")&amp;IF(S774="","MRP, ",""))-2),IF(COUNTIF(Vendors!$B$3:$B$202,C774)=0,"Add vendor "&amp;C774&amp;" on the Vendors sheet",IF(ISNA(MATCH(H774,Codes!$A$2:$A$13,0)),"Pick the HSN Code from the list",IF(AND(E774&lt;&gt;"",COUNTIFS($C$3:$C$1002,C774,$E$3:$E$1002,E774,$F$3:$F$1002,"&lt;&gt;"&amp;F774)+COUNTIFS($C$3:$C$1002,C774,$E$3:$E$1002,E774,$G$3:$G$1002,"&lt;&gt;"&amp;G774)&gt;0),"Design "&amp;E774&amp;" has another Product Type or Category on another row",IF(COUNTIFS($F$3:$F$1002,F774,$G$3:$G$1002,G774,$H$3:$H$1002,"&lt;&gt;"&amp;H774)&gt;0,F774&amp;" + "&amp;G774&amp;" has another HSN Code on another row",IF(AND(V774&lt;&gt;"",U774=""),"Received Qty needs the Vendor Invoice No",IF(AND(U774&lt;&gt;"",COUNTIFS(Bills!$B$3:$B$302,U774,Bills!$C$3:$C$302,C774)=0),"Add bill "&amp;U774&amp;" of "&amp;C774&amp;" on the Bills sheet",IF(S774&lt;R774,"MRP is below the Purchase Rate","OK")))))))))</f>
        <v/>
      </c>
      <c r="B774" s="29"/>
      <c r="C774" s="22"/>
      <c r="D774" s="22"/>
      <c r="E774" s="24"/>
      <c r="F774" s="22"/>
      <c r="G774" s="22"/>
      <c r="H774" s="22"/>
      <c r="I774" s="30" t="str">
        <f>IF(H774="","",IFERROR(INDEX(Codes!$B$2:$B$13,MATCH(H774,Codes!$A$2:$A$13,0)),""))</f>
        <v/>
      </c>
      <c r="J774" s="23"/>
      <c r="K774" s="23"/>
      <c r="L774" s="23"/>
      <c r="M774" s="23"/>
      <c r="N774" s="23"/>
      <c r="O774" s="23"/>
      <c r="P774" s="23"/>
      <c r="Q774" s="31"/>
      <c r="R774" s="32"/>
      <c r="S774" s="32"/>
      <c r="T774" s="33" t="str">
        <f t="shared" si="24"/>
        <v/>
      </c>
      <c r="U774" s="34"/>
      <c r="V774" s="35"/>
      <c r="W774" s="33" t="str">
        <f t="shared" si="25"/>
        <v/>
      </c>
    </row>
    <row r="775" spans="1:23" x14ac:dyDescent="0.35">
      <c r="A775" s="21" t="str">
        <f>IF(COUNTA(B775:H775,J775:S775,U775:V775)=0,"",IF((IF(B775="","PO Ref, ","")&amp;IF(C775="","Vendor, ","")&amp;IF(D775="","Store, ","")&amp;IF(F775="","Product Type, ","")&amp;IF(G775="","Category, ","")&amp;IF(H775="","HSN Code, ","")&amp;IF(Q775="","Qty, ","")&amp;IF(R775="","Purchase Rate, ","")&amp;IF(S775="","MRP, ",""))&lt;&gt;"","Missing: "&amp;LEFT(IF(B775="","PO Ref, ","")&amp;IF(C775="","Vendor, ","")&amp;IF(D775="","Store, ","")&amp;IF(F775="","Product Type, ","")&amp;IF(G775="","Category, ","")&amp;IF(H775="","HSN Code, ","")&amp;IF(Q775="","Qty, ","")&amp;IF(R775="","Purchase Rate, ","")&amp;IF(S775="","MRP, ",""),LEN(IF(B775="","PO Ref, ","")&amp;IF(C775="","Vendor, ","")&amp;IF(D775="","Store, ","")&amp;IF(F775="","Product Type, ","")&amp;IF(G775="","Category, ","")&amp;IF(H775="","HSN Code, ","")&amp;IF(Q775="","Qty, ","")&amp;IF(R775="","Purchase Rate, ","")&amp;IF(S775="","MRP, ",""))-2),IF(COUNTIF(Vendors!$B$3:$B$202,C775)=0,"Add vendor "&amp;C775&amp;" on the Vendors sheet",IF(ISNA(MATCH(H775,Codes!$A$2:$A$13,0)),"Pick the HSN Code from the list",IF(AND(E775&lt;&gt;"",COUNTIFS($C$3:$C$1002,C775,$E$3:$E$1002,E775,$F$3:$F$1002,"&lt;&gt;"&amp;F775)+COUNTIFS($C$3:$C$1002,C775,$E$3:$E$1002,E775,$G$3:$G$1002,"&lt;&gt;"&amp;G775)&gt;0),"Design "&amp;E775&amp;" has another Product Type or Category on another row",IF(COUNTIFS($F$3:$F$1002,F775,$G$3:$G$1002,G775,$H$3:$H$1002,"&lt;&gt;"&amp;H775)&gt;0,F775&amp;" + "&amp;G775&amp;" has another HSN Code on another row",IF(AND(V775&lt;&gt;"",U775=""),"Received Qty needs the Vendor Invoice No",IF(AND(U775&lt;&gt;"",COUNTIFS(Bills!$B$3:$B$302,U775,Bills!$C$3:$C$302,C775)=0),"Add bill "&amp;U775&amp;" of "&amp;C775&amp;" on the Bills sheet",IF(S775&lt;R775,"MRP is below the Purchase Rate","OK")))))))))</f>
        <v/>
      </c>
      <c r="B775" s="29"/>
      <c r="C775" s="22"/>
      <c r="D775" s="22"/>
      <c r="E775" s="24"/>
      <c r="F775" s="22"/>
      <c r="G775" s="22"/>
      <c r="H775" s="22"/>
      <c r="I775" s="30" t="str">
        <f>IF(H775="","",IFERROR(INDEX(Codes!$B$2:$B$13,MATCH(H775,Codes!$A$2:$A$13,0)),""))</f>
        <v/>
      </c>
      <c r="J775" s="23"/>
      <c r="K775" s="23"/>
      <c r="L775" s="23"/>
      <c r="M775" s="23"/>
      <c r="N775" s="23"/>
      <c r="O775" s="23"/>
      <c r="P775" s="23"/>
      <c r="Q775" s="31"/>
      <c r="R775" s="32"/>
      <c r="S775" s="32"/>
      <c r="T775" s="33" t="str">
        <f t="shared" si="24"/>
        <v/>
      </c>
      <c r="U775" s="34"/>
      <c r="V775" s="35"/>
      <c r="W775" s="33" t="str">
        <f t="shared" si="25"/>
        <v/>
      </c>
    </row>
    <row r="776" spans="1:23" x14ac:dyDescent="0.35">
      <c r="A776" s="21" t="str">
        <f>IF(COUNTA(B776:H776,J776:S776,U776:V776)=0,"",IF((IF(B776="","PO Ref, ","")&amp;IF(C776="","Vendor, ","")&amp;IF(D776="","Store, ","")&amp;IF(F776="","Product Type, ","")&amp;IF(G776="","Category, ","")&amp;IF(H776="","HSN Code, ","")&amp;IF(Q776="","Qty, ","")&amp;IF(R776="","Purchase Rate, ","")&amp;IF(S776="","MRP, ",""))&lt;&gt;"","Missing: "&amp;LEFT(IF(B776="","PO Ref, ","")&amp;IF(C776="","Vendor, ","")&amp;IF(D776="","Store, ","")&amp;IF(F776="","Product Type, ","")&amp;IF(G776="","Category, ","")&amp;IF(H776="","HSN Code, ","")&amp;IF(Q776="","Qty, ","")&amp;IF(R776="","Purchase Rate, ","")&amp;IF(S776="","MRP, ",""),LEN(IF(B776="","PO Ref, ","")&amp;IF(C776="","Vendor, ","")&amp;IF(D776="","Store, ","")&amp;IF(F776="","Product Type, ","")&amp;IF(G776="","Category, ","")&amp;IF(H776="","HSN Code, ","")&amp;IF(Q776="","Qty, ","")&amp;IF(R776="","Purchase Rate, ","")&amp;IF(S776="","MRP, ",""))-2),IF(COUNTIF(Vendors!$B$3:$B$202,C776)=0,"Add vendor "&amp;C776&amp;" on the Vendors sheet",IF(ISNA(MATCH(H776,Codes!$A$2:$A$13,0)),"Pick the HSN Code from the list",IF(AND(E776&lt;&gt;"",COUNTIFS($C$3:$C$1002,C776,$E$3:$E$1002,E776,$F$3:$F$1002,"&lt;&gt;"&amp;F776)+COUNTIFS($C$3:$C$1002,C776,$E$3:$E$1002,E776,$G$3:$G$1002,"&lt;&gt;"&amp;G776)&gt;0),"Design "&amp;E776&amp;" has another Product Type or Category on another row",IF(COUNTIFS($F$3:$F$1002,F776,$G$3:$G$1002,G776,$H$3:$H$1002,"&lt;&gt;"&amp;H776)&gt;0,F776&amp;" + "&amp;G776&amp;" has another HSN Code on another row",IF(AND(V776&lt;&gt;"",U776=""),"Received Qty needs the Vendor Invoice No",IF(AND(U776&lt;&gt;"",COUNTIFS(Bills!$B$3:$B$302,U776,Bills!$C$3:$C$302,C776)=0),"Add bill "&amp;U776&amp;" of "&amp;C776&amp;" on the Bills sheet",IF(S776&lt;R776,"MRP is below the Purchase Rate","OK")))))))))</f>
        <v/>
      </c>
      <c r="B776" s="29"/>
      <c r="C776" s="22"/>
      <c r="D776" s="22"/>
      <c r="E776" s="24"/>
      <c r="F776" s="22"/>
      <c r="G776" s="22"/>
      <c r="H776" s="22"/>
      <c r="I776" s="30" t="str">
        <f>IF(H776="","",IFERROR(INDEX(Codes!$B$2:$B$13,MATCH(H776,Codes!$A$2:$A$13,0)),""))</f>
        <v/>
      </c>
      <c r="J776" s="23"/>
      <c r="K776" s="23"/>
      <c r="L776" s="23"/>
      <c r="M776" s="23"/>
      <c r="N776" s="23"/>
      <c r="O776" s="23"/>
      <c r="P776" s="23"/>
      <c r="Q776" s="31"/>
      <c r="R776" s="32"/>
      <c r="S776" s="32"/>
      <c r="T776" s="33" t="str">
        <f t="shared" si="24"/>
        <v/>
      </c>
      <c r="U776" s="34"/>
      <c r="V776" s="35"/>
      <c r="W776" s="33" t="str">
        <f t="shared" si="25"/>
        <v/>
      </c>
    </row>
    <row r="777" spans="1:23" x14ac:dyDescent="0.35">
      <c r="A777" s="21" t="str">
        <f>IF(COUNTA(B777:H777,J777:S777,U777:V777)=0,"",IF((IF(B777="","PO Ref, ","")&amp;IF(C777="","Vendor, ","")&amp;IF(D777="","Store, ","")&amp;IF(F777="","Product Type, ","")&amp;IF(G777="","Category, ","")&amp;IF(H777="","HSN Code, ","")&amp;IF(Q777="","Qty, ","")&amp;IF(R777="","Purchase Rate, ","")&amp;IF(S777="","MRP, ",""))&lt;&gt;"","Missing: "&amp;LEFT(IF(B777="","PO Ref, ","")&amp;IF(C777="","Vendor, ","")&amp;IF(D777="","Store, ","")&amp;IF(F777="","Product Type, ","")&amp;IF(G777="","Category, ","")&amp;IF(H777="","HSN Code, ","")&amp;IF(Q777="","Qty, ","")&amp;IF(R777="","Purchase Rate, ","")&amp;IF(S777="","MRP, ",""),LEN(IF(B777="","PO Ref, ","")&amp;IF(C777="","Vendor, ","")&amp;IF(D777="","Store, ","")&amp;IF(F777="","Product Type, ","")&amp;IF(G777="","Category, ","")&amp;IF(H777="","HSN Code, ","")&amp;IF(Q777="","Qty, ","")&amp;IF(R777="","Purchase Rate, ","")&amp;IF(S777="","MRP, ",""))-2),IF(COUNTIF(Vendors!$B$3:$B$202,C777)=0,"Add vendor "&amp;C777&amp;" on the Vendors sheet",IF(ISNA(MATCH(H777,Codes!$A$2:$A$13,0)),"Pick the HSN Code from the list",IF(AND(E777&lt;&gt;"",COUNTIFS($C$3:$C$1002,C777,$E$3:$E$1002,E777,$F$3:$F$1002,"&lt;&gt;"&amp;F777)+COUNTIFS($C$3:$C$1002,C777,$E$3:$E$1002,E777,$G$3:$G$1002,"&lt;&gt;"&amp;G777)&gt;0),"Design "&amp;E777&amp;" has another Product Type or Category on another row",IF(COUNTIFS($F$3:$F$1002,F777,$G$3:$G$1002,G777,$H$3:$H$1002,"&lt;&gt;"&amp;H777)&gt;0,F777&amp;" + "&amp;G777&amp;" has another HSN Code on another row",IF(AND(V777&lt;&gt;"",U777=""),"Received Qty needs the Vendor Invoice No",IF(AND(U777&lt;&gt;"",COUNTIFS(Bills!$B$3:$B$302,U777,Bills!$C$3:$C$302,C777)=0),"Add bill "&amp;U777&amp;" of "&amp;C777&amp;" on the Bills sheet",IF(S777&lt;R777,"MRP is below the Purchase Rate","OK")))))))))</f>
        <v/>
      </c>
      <c r="B777" s="29"/>
      <c r="C777" s="22"/>
      <c r="D777" s="22"/>
      <c r="E777" s="24"/>
      <c r="F777" s="22"/>
      <c r="G777" s="22"/>
      <c r="H777" s="22"/>
      <c r="I777" s="30" t="str">
        <f>IF(H777="","",IFERROR(INDEX(Codes!$B$2:$B$13,MATCH(H777,Codes!$A$2:$A$13,0)),""))</f>
        <v/>
      </c>
      <c r="J777" s="23"/>
      <c r="K777" s="23"/>
      <c r="L777" s="23"/>
      <c r="M777" s="23"/>
      <c r="N777" s="23"/>
      <c r="O777" s="23"/>
      <c r="P777" s="23"/>
      <c r="Q777" s="31"/>
      <c r="R777" s="32"/>
      <c r="S777" s="32"/>
      <c r="T777" s="33" t="str">
        <f t="shared" si="24"/>
        <v/>
      </c>
      <c r="U777" s="34"/>
      <c r="V777" s="35"/>
      <c r="W777" s="33" t="str">
        <f t="shared" si="25"/>
        <v/>
      </c>
    </row>
    <row r="778" spans="1:23" x14ac:dyDescent="0.35">
      <c r="A778" s="21" t="str">
        <f>IF(COUNTA(B778:H778,J778:S778,U778:V778)=0,"",IF((IF(B778="","PO Ref, ","")&amp;IF(C778="","Vendor, ","")&amp;IF(D778="","Store, ","")&amp;IF(F778="","Product Type, ","")&amp;IF(G778="","Category, ","")&amp;IF(H778="","HSN Code, ","")&amp;IF(Q778="","Qty, ","")&amp;IF(R778="","Purchase Rate, ","")&amp;IF(S778="","MRP, ",""))&lt;&gt;"","Missing: "&amp;LEFT(IF(B778="","PO Ref, ","")&amp;IF(C778="","Vendor, ","")&amp;IF(D778="","Store, ","")&amp;IF(F778="","Product Type, ","")&amp;IF(G778="","Category, ","")&amp;IF(H778="","HSN Code, ","")&amp;IF(Q778="","Qty, ","")&amp;IF(R778="","Purchase Rate, ","")&amp;IF(S778="","MRP, ",""),LEN(IF(B778="","PO Ref, ","")&amp;IF(C778="","Vendor, ","")&amp;IF(D778="","Store, ","")&amp;IF(F778="","Product Type, ","")&amp;IF(G778="","Category, ","")&amp;IF(H778="","HSN Code, ","")&amp;IF(Q778="","Qty, ","")&amp;IF(R778="","Purchase Rate, ","")&amp;IF(S778="","MRP, ",""))-2),IF(COUNTIF(Vendors!$B$3:$B$202,C778)=0,"Add vendor "&amp;C778&amp;" on the Vendors sheet",IF(ISNA(MATCH(H778,Codes!$A$2:$A$13,0)),"Pick the HSN Code from the list",IF(AND(E778&lt;&gt;"",COUNTIFS($C$3:$C$1002,C778,$E$3:$E$1002,E778,$F$3:$F$1002,"&lt;&gt;"&amp;F778)+COUNTIFS($C$3:$C$1002,C778,$E$3:$E$1002,E778,$G$3:$G$1002,"&lt;&gt;"&amp;G778)&gt;0),"Design "&amp;E778&amp;" has another Product Type or Category on another row",IF(COUNTIFS($F$3:$F$1002,F778,$G$3:$G$1002,G778,$H$3:$H$1002,"&lt;&gt;"&amp;H778)&gt;0,F778&amp;" + "&amp;G778&amp;" has another HSN Code on another row",IF(AND(V778&lt;&gt;"",U778=""),"Received Qty needs the Vendor Invoice No",IF(AND(U778&lt;&gt;"",COUNTIFS(Bills!$B$3:$B$302,U778,Bills!$C$3:$C$302,C778)=0),"Add bill "&amp;U778&amp;" of "&amp;C778&amp;" on the Bills sheet",IF(S778&lt;R778,"MRP is below the Purchase Rate","OK")))))))))</f>
        <v/>
      </c>
      <c r="B778" s="29"/>
      <c r="C778" s="22"/>
      <c r="D778" s="22"/>
      <c r="E778" s="24"/>
      <c r="F778" s="22"/>
      <c r="G778" s="22"/>
      <c r="H778" s="22"/>
      <c r="I778" s="30" t="str">
        <f>IF(H778="","",IFERROR(INDEX(Codes!$B$2:$B$13,MATCH(H778,Codes!$A$2:$A$13,0)),""))</f>
        <v/>
      </c>
      <c r="J778" s="23"/>
      <c r="K778" s="23"/>
      <c r="L778" s="23"/>
      <c r="M778" s="23"/>
      <c r="N778" s="23"/>
      <c r="O778" s="23"/>
      <c r="P778" s="23"/>
      <c r="Q778" s="31"/>
      <c r="R778" s="32"/>
      <c r="S778" s="32"/>
      <c r="T778" s="33" t="str">
        <f t="shared" si="24"/>
        <v/>
      </c>
      <c r="U778" s="34"/>
      <c r="V778" s="35"/>
      <c r="W778" s="33" t="str">
        <f t="shared" si="25"/>
        <v/>
      </c>
    </row>
    <row r="779" spans="1:23" x14ac:dyDescent="0.35">
      <c r="A779" s="21" t="str">
        <f>IF(COUNTA(B779:H779,J779:S779,U779:V779)=0,"",IF((IF(B779="","PO Ref, ","")&amp;IF(C779="","Vendor, ","")&amp;IF(D779="","Store, ","")&amp;IF(F779="","Product Type, ","")&amp;IF(G779="","Category, ","")&amp;IF(H779="","HSN Code, ","")&amp;IF(Q779="","Qty, ","")&amp;IF(R779="","Purchase Rate, ","")&amp;IF(S779="","MRP, ",""))&lt;&gt;"","Missing: "&amp;LEFT(IF(B779="","PO Ref, ","")&amp;IF(C779="","Vendor, ","")&amp;IF(D779="","Store, ","")&amp;IF(F779="","Product Type, ","")&amp;IF(G779="","Category, ","")&amp;IF(H779="","HSN Code, ","")&amp;IF(Q779="","Qty, ","")&amp;IF(R779="","Purchase Rate, ","")&amp;IF(S779="","MRP, ",""),LEN(IF(B779="","PO Ref, ","")&amp;IF(C779="","Vendor, ","")&amp;IF(D779="","Store, ","")&amp;IF(F779="","Product Type, ","")&amp;IF(G779="","Category, ","")&amp;IF(H779="","HSN Code, ","")&amp;IF(Q779="","Qty, ","")&amp;IF(R779="","Purchase Rate, ","")&amp;IF(S779="","MRP, ",""))-2),IF(COUNTIF(Vendors!$B$3:$B$202,C779)=0,"Add vendor "&amp;C779&amp;" on the Vendors sheet",IF(ISNA(MATCH(H779,Codes!$A$2:$A$13,0)),"Pick the HSN Code from the list",IF(AND(E779&lt;&gt;"",COUNTIFS($C$3:$C$1002,C779,$E$3:$E$1002,E779,$F$3:$F$1002,"&lt;&gt;"&amp;F779)+COUNTIFS($C$3:$C$1002,C779,$E$3:$E$1002,E779,$G$3:$G$1002,"&lt;&gt;"&amp;G779)&gt;0),"Design "&amp;E779&amp;" has another Product Type or Category on another row",IF(COUNTIFS($F$3:$F$1002,F779,$G$3:$G$1002,G779,$H$3:$H$1002,"&lt;&gt;"&amp;H779)&gt;0,F779&amp;" + "&amp;G779&amp;" has another HSN Code on another row",IF(AND(V779&lt;&gt;"",U779=""),"Received Qty needs the Vendor Invoice No",IF(AND(U779&lt;&gt;"",COUNTIFS(Bills!$B$3:$B$302,U779,Bills!$C$3:$C$302,C779)=0),"Add bill "&amp;U779&amp;" of "&amp;C779&amp;" on the Bills sheet",IF(S779&lt;R779,"MRP is below the Purchase Rate","OK")))))))))</f>
        <v/>
      </c>
      <c r="B779" s="29"/>
      <c r="C779" s="22"/>
      <c r="D779" s="22"/>
      <c r="E779" s="24"/>
      <c r="F779" s="22"/>
      <c r="G779" s="22"/>
      <c r="H779" s="22"/>
      <c r="I779" s="30" t="str">
        <f>IF(H779="","",IFERROR(INDEX(Codes!$B$2:$B$13,MATCH(H779,Codes!$A$2:$A$13,0)),""))</f>
        <v/>
      </c>
      <c r="J779" s="23"/>
      <c r="K779" s="23"/>
      <c r="L779" s="23"/>
      <c r="M779" s="23"/>
      <c r="N779" s="23"/>
      <c r="O779" s="23"/>
      <c r="P779" s="23"/>
      <c r="Q779" s="31"/>
      <c r="R779" s="32"/>
      <c r="S779" s="32"/>
      <c r="T779" s="33" t="str">
        <f t="shared" si="24"/>
        <v/>
      </c>
      <c r="U779" s="34"/>
      <c r="V779" s="35"/>
      <c r="W779" s="33" t="str">
        <f t="shared" si="25"/>
        <v/>
      </c>
    </row>
    <row r="780" spans="1:23" x14ac:dyDescent="0.35">
      <c r="A780" s="21" t="str">
        <f>IF(COUNTA(B780:H780,J780:S780,U780:V780)=0,"",IF((IF(B780="","PO Ref, ","")&amp;IF(C780="","Vendor, ","")&amp;IF(D780="","Store, ","")&amp;IF(F780="","Product Type, ","")&amp;IF(G780="","Category, ","")&amp;IF(H780="","HSN Code, ","")&amp;IF(Q780="","Qty, ","")&amp;IF(R780="","Purchase Rate, ","")&amp;IF(S780="","MRP, ",""))&lt;&gt;"","Missing: "&amp;LEFT(IF(B780="","PO Ref, ","")&amp;IF(C780="","Vendor, ","")&amp;IF(D780="","Store, ","")&amp;IF(F780="","Product Type, ","")&amp;IF(G780="","Category, ","")&amp;IF(H780="","HSN Code, ","")&amp;IF(Q780="","Qty, ","")&amp;IF(R780="","Purchase Rate, ","")&amp;IF(S780="","MRP, ",""),LEN(IF(B780="","PO Ref, ","")&amp;IF(C780="","Vendor, ","")&amp;IF(D780="","Store, ","")&amp;IF(F780="","Product Type, ","")&amp;IF(G780="","Category, ","")&amp;IF(H780="","HSN Code, ","")&amp;IF(Q780="","Qty, ","")&amp;IF(R780="","Purchase Rate, ","")&amp;IF(S780="","MRP, ",""))-2),IF(COUNTIF(Vendors!$B$3:$B$202,C780)=0,"Add vendor "&amp;C780&amp;" on the Vendors sheet",IF(ISNA(MATCH(H780,Codes!$A$2:$A$13,0)),"Pick the HSN Code from the list",IF(AND(E780&lt;&gt;"",COUNTIFS($C$3:$C$1002,C780,$E$3:$E$1002,E780,$F$3:$F$1002,"&lt;&gt;"&amp;F780)+COUNTIFS($C$3:$C$1002,C780,$E$3:$E$1002,E780,$G$3:$G$1002,"&lt;&gt;"&amp;G780)&gt;0),"Design "&amp;E780&amp;" has another Product Type or Category on another row",IF(COUNTIFS($F$3:$F$1002,F780,$G$3:$G$1002,G780,$H$3:$H$1002,"&lt;&gt;"&amp;H780)&gt;0,F780&amp;" + "&amp;G780&amp;" has another HSN Code on another row",IF(AND(V780&lt;&gt;"",U780=""),"Received Qty needs the Vendor Invoice No",IF(AND(U780&lt;&gt;"",COUNTIFS(Bills!$B$3:$B$302,U780,Bills!$C$3:$C$302,C780)=0),"Add bill "&amp;U780&amp;" of "&amp;C780&amp;" on the Bills sheet",IF(S780&lt;R780,"MRP is below the Purchase Rate","OK")))))))))</f>
        <v/>
      </c>
      <c r="B780" s="29"/>
      <c r="C780" s="22"/>
      <c r="D780" s="22"/>
      <c r="E780" s="24"/>
      <c r="F780" s="22"/>
      <c r="G780" s="22"/>
      <c r="H780" s="22"/>
      <c r="I780" s="30" t="str">
        <f>IF(H780="","",IFERROR(INDEX(Codes!$B$2:$B$13,MATCH(H780,Codes!$A$2:$A$13,0)),""))</f>
        <v/>
      </c>
      <c r="J780" s="23"/>
      <c r="K780" s="23"/>
      <c r="L780" s="23"/>
      <c r="M780" s="23"/>
      <c r="N780" s="23"/>
      <c r="O780" s="23"/>
      <c r="P780" s="23"/>
      <c r="Q780" s="31"/>
      <c r="R780" s="32"/>
      <c r="S780" s="32"/>
      <c r="T780" s="33" t="str">
        <f t="shared" si="24"/>
        <v/>
      </c>
      <c r="U780" s="34"/>
      <c r="V780" s="35"/>
      <c r="W780" s="33" t="str">
        <f t="shared" si="25"/>
        <v/>
      </c>
    </row>
    <row r="781" spans="1:23" x14ac:dyDescent="0.35">
      <c r="A781" s="21" t="str">
        <f>IF(COUNTA(B781:H781,J781:S781,U781:V781)=0,"",IF((IF(B781="","PO Ref, ","")&amp;IF(C781="","Vendor, ","")&amp;IF(D781="","Store, ","")&amp;IF(F781="","Product Type, ","")&amp;IF(G781="","Category, ","")&amp;IF(H781="","HSN Code, ","")&amp;IF(Q781="","Qty, ","")&amp;IF(R781="","Purchase Rate, ","")&amp;IF(S781="","MRP, ",""))&lt;&gt;"","Missing: "&amp;LEFT(IF(B781="","PO Ref, ","")&amp;IF(C781="","Vendor, ","")&amp;IF(D781="","Store, ","")&amp;IF(F781="","Product Type, ","")&amp;IF(G781="","Category, ","")&amp;IF(H781="","HSN Code, ","")&amp;IF(Q781="","Qty, ","")&amp;IF(R781="","Purchase Rate, ","")&amp;IF(S781="","MRP, ",""),LEN(IF(B781="","PO Ref, ","")&amp;IF(C781="","Vendor, ","")&amp;IF(D781="","Store, ","")&amp;IF(F781="","Product Type, ","")&amp;IF(G781="","Category, ","")&amp;IF(H781="","HSN Code, ","")&amp;IF(Q781="","Qty, ","")&amp;IF(R781="","Purchase Rate, ","")&amp;IF(S781="","MRP, ",""))-2),IF(COUNTIF(Vendors!$B$3:$B$202,C781)=0,"Add vendor "&amp;C781&amp;" on the Vendors sheet",IF(ISNA(MATCH(H781,Codes!$A$2:$A$13,0)),"Pick the HSN Code from the list",IF(AND(E781&lt;&gt;"",COUNTIFS($C$3:$C$1002,C781,$E$3:$E$1002,E781,$F$3:$F$1002,"&lt;&gt;"&amp;F781)+COUNTIFS($C$3:$C$1002,C781,$E$3:$E$1002,E781,$G$3:$G$1002,"&lt;&gt;"&amp;G781)&gt;0),"Design "&amp;E781&amp;" has another Product Type or Category on another row",IF(COUNTIFS($F$3:$F$1002,F781,$G$3:$G$1002,G781,$H$3:$H$1002,"&lt;&gt;"&amp;H781)&gt;0,F781&amp;" + "&amp;G781&amp;" has another HSN Code on another row",IF(AND(V781&lt;&gt;"",U781=""),"Received Qty needs the Vendor Invoice No",IF(AND(U781&lt;&gt;"",COUNTIFS(Bills!$B$3:$B$302,U781,Bills!$C$3:$C$302,C781)=0),"Add bill "&amp;U781&amp;" of "&amp;C781&amp;" on the Bills sheet",IF(S781&lt;R781,"MRP is below the Purchase Rate","OK")))))))))</f>
        <v/>
      </c>
      <c r="B781" s="29"/>
      <c r="C781" s="22"/>
      <c r="D781" s="22"/>
      <c r="E781" s="24"/>
      <c r="F781" s="22"/>
      <c r="G781" s="22"/>
      <c r="H781" s="22"/>
      <c r="I781" s="30" t="str">
        <f>IF(H781="","",IFERROR(INDEX(Codes!$B$2:$B$13,MATCH(H781,Codes!$A$2:$A$13,0)),""))</f>
        <v/>
      </c>
      <c r="J781" s="23"/>
      <c r="K781" s="23"/>
      <c r="L781" s="23"/>
      <c r="M781" s="23"/>
      <c r="N781" s="23"/>
      <c r="O781" s="23"/>
      <c r="P781" s="23"/>
      <c r="Q781" s="31"/>
      <c r="R781" s="32"/>
      <c r="S781" s="32"/>
      <c r="T781" s="33" t="str">
        <f t="shared" si="24"/>
        <v/>
      </c>
      <c r="U781" s="34"/>
      <c r="V781" s="35"/>
      <c r="W781" s="33" t="str">
        <f t="shared" si="25"/>
        <v/>
      </c>
    </row>
    <row r="782" spans="1:23" x14ac:dyDescent="0.35">
      <c r="A782" s="21" t="str">
        <f>IF(COUNTA(B782:H782,J782:S782,U782:V782)=0,"",IF((IF(B782="","PO Ref, ","")&amp;IF(C782="","Vendor, ","")&amp;IF(D782="","Store, ","")&amp;IF(F782="","Product Type, ","")&amp;IF(G782="","Category, ","")&amp;IF(H782="","HSN Code, ","")&amp;IF(Q782="","Qty, ","")&amp;IF(R782="","Purchase Rate, ","")&amp;IF(S782="","MRP, ",""))&lt;&gt;"","Missing: "&amp;LEFT(IF(B782="","PO Ref, ","")&amp;IF(C782="","Vendor, ","")&amp;IF(D782="","Store, ","")&amp;IF(F782="","Product Type, ","")&amp;IF(G782="","Category, ","")&amp;IF(H782="","HSN Code, ","")&amp;IF(Q782="","Qty, ","")&amp;IF(R782="","Purchase Rate, ","")&amp;IF(S782="","MRP, ",""),LEN(IF(B782="","PO Ref, ","")&amp;IF(C782="","Vendor, ","")&amp;IF(D782="","Store, ","")&amp;IF(F782="","Product Type, ","")&amp;IF(G782="","Category, ","")&amp;IF(H782="","HSN Code, ","")&amp;IF(Q782="","Qty, ","")&amp;IF(R782="","Purchase Rate, ","")&amp;IF(S782="","MRP, ",""))-2),IF(COUNTIF(Vendors!$B$3:$B$202,C782)=0,"Add vendor "&amp;C782&amp;" on the Vendors sheet",IF(ISNA(MATCH(H782,Codes!$A$2:$A$13,0)),"Pick the HSN Code from the list",IF(AND(E782&lt;&gt;"",COUNTIFS($C$3:$C$1002,C782,$E$3:$E$1002,E782,$F$3:$F$1002,"&lt;&gt;"&amp;F782)+COUNTIFS($C$3:$C$1002,C782,$E$3:$E$1002,E782,$G$3:$G$1002,"&lt;&gt;"&amp;G782)&gt;0),"Design "&amp;E782&amp;" has another Product Type or Category on another row",IF(COUNTIFS($F$3:$F$1002,F782,$G$3:$G$1002,G782,$H$3:$H$1002,"&lt;&gt;"&amp;H782)&gt;0,F782&amp;" + "&amp;G782&amp;" has another HSN Code on another row",IF(AND(V782&lt;&gt;"",U782=""),"Received Qty needs the Vendor Invoice No",IF(AND(U782&lt;&gt;"",COUNTIFS(Bills!$B$3:$B$302,U782,Bills!$C$3:$C$302,C782)=0),"Add bill "&amp;U782&amp;" of "&amp;C782&amp;" on the Bills sheet",IF(S782&lt;R782,"MRP is below the Purchase Rate","OK")))))))))</f>
        <v/>
      </c>
      <c r="B782" s="29"/>
      <c r="C782" s="22"/>
      <c r="D782" s="22"/>
      <c r="E782" s="24"/>
      <c r="F782" s="22"/>
      <c r="G782" s="22"/>
      <c r="H782" s="22"/>
      <c r="I782" s="30" t="str">
        <f>IF(H782="","",IFERROR(INDEX(Codes!$B$2:$B$13,MATCH(H782,Codes!$A$2:$A$13,0)),""))</f>
        <v/>
      </c>
      <c r="J782" s="23"/>
      <c r="K782" s="23"/>
      <c r="L782" s="23"/>
      <c r="M782" s="23"/>
      <c r="N782" s="23"/>
      <c r="O782" s="23"/>
      <c r="P782" s="23"/>
      <c r="Q782" s="31"/>
      <c r="R782" s="32"/>
      <c r="S782" s="32"/>
      <c r="T782" s="33" t="str">
        <f t="shared" si="24"/>
        <v/>
      </c>
      <c r="U782" s="34"/>
      <c r="V782" s="35"/>
      <c r="W782" s="33" t="str">
        <f t="shared" si="25"/>
        <v/>
      </c>
    </row>
    <row r="783" spans="1:23" x14ac:dyDescent="0.35">
      <c r="A783" s="21" t="str">
        <f>IF(COUNTA(B783:H783,J783:S783,U783:V783)=0,"",IF((IF(B783="","PO Ref, ","")&amp;IF(C783="","Vendor, ","")&amp;IF(D783="","Store, ","")&amp;IF(F783="","Product Type, ","")&amp;IF(G783="","Category, ","")&amp;IF(H783="","HSN Code, ","")&amp;IF(Q783="","Qty, ","")&amp;IF(R783="","Purchase Rate, ","")&amp;IF(S783="","MRP, ",""))&lt;&gt;"","Missing: "&amp;LEFT(IF(B783="","PO Ref, ","")&amp;IF(C783="","Vendor, ","")&amp;IF(D783="","Store, ","")&amp;IF(F783="","Product Type, ","")&amp;IF(G783="","Category, ","")&amp;IF(H783="","HSN Code, ","")&amp;IF(Q783="","Qty, ","")&amp;IF(R783="","Purchase Rate, ","")&amp;IF(S783="","MRP, ",""),LEN(IF(B783="","PO Ref, ","")&amp;IF(C783="","Vendor, ","")&amp;IF(D783="","Store, ","")&amp;IF(F783="","Product Type, ","")&amp;IF(G783="","Category, ","")&amp;IF(H783="","HSN Code, ","")&amp;IF(Q783="","Qty, ","")&amp;IF(R783="","Purchase Rate, ","")&amp;IF(S783="","MRP, ",""))-2),IF(COUNTIF(Vendors!$B$3:$B$202,C783)=0,"Add vendor "&amp;C783&amp;" on the Vendors sheet",IF(ISNA(MATCH(H783,Codes!$A$2:$A$13,0)),"Pick the HSN Code from the list",IF(AND(E783&lt;&gt;"",COUNTIFS($C$3:$C$1002,C783,$E$3:$E$1002,E783,$F$3:$F$1002,"&lt;&gt;"&amp;F783)+COUNTIFS($C$3:$C$1002,C783,$E$3:$E$1002,E783,$G$3:$G$1002,"&lt;&gt;"&amp;G783)&gt;0),"Design "&amp;E783&amp;" has another Product Type or Category on another row",IF(COUNTIFS($F$3:$F$1002,F783,$G$3:$G$1002,G783,$H$3:$H$1002,"&lt;&gt;"&amp;H783)&gt;0,F783&amp;" + "&amp;G783&amp;" has another HSN Code on another row",IF(AND(V783&lt;&gt;"",U783=""),"Received Qty needs the Vendor Invoice No",IF(AND(U783&lt;&gt;"",COUNTIFS(Bills!$B$3:$B$302,U783,Bills!$C$3:$C$302,C783)=0),"Add bill "&amp;U783&amp;" of "&amp;C783&amp;" on the Bills sheet",IF(S783&lt;R783,"MRP is below the Purchase Rate","OK")))))))))</f>
        <v/>
      </c>
      <c r="B783" s="29"/>
      <c r="C783" s="22"/>
      <c r="D783" s="22"/>
      <c r="E783" s="24"/>
      <c r="F783" s="22"/>
      <c r="G783" s="22"/>
      <c r="H783" s="22"/>
      <c r="I783" s="30" t="str">
        <f>IF(H783="","",IFERROR(INDEX(Codes!$B$2:$B$13,MATCH(H783,Codes!$A$2:$A$13,0)),""))</f>
        <v/>
      </c>
      <c r="J783" s="23"/>
      <c r="K783" s="23"/>
      <c r="L783" s="23"/>
      <c r="M783" s="23"/>
      <c r="N783" s="23"/>
      <c r="O783" s="23"/>
      <c r="P783" s="23"/>
      <c r="Q783" s="31"/>
      <c r="R783" s="32"/>
      <c r="S783" s="32"/>
      <c r="T783" s="33" t="str">
        <f t="shared" si="24"/>
        <v/>
      </c>
      <c r="U783" s="34"/>
      <c r="V783" s="35"/>
      <c r="W783" s="33" t="str">
        <f t="shared" si="25"/>
        <v/>
      </c>
    </row>
    <row r="784" spans="1:23" x14ac:dyDescent="0.35">
      <c r="A784" s="21" t="str">
        <f>IF(COUNTA(B784:H784,J784:S784,U784:V784)=0,"",IF((IF(B784="","PO Ref, ","")&amp;IF(C784="","Vendor, ","")&amp;IF(D784="","Store, ","")&amp;IF(F784="","Product Type, ","")&amp;IF(G784="","Category, ","")&amp;IF(H784="","HSN Code, ","")&amp;IF(Q784="","Qty, ","")&amp;IF(R784="","Purchase Rate, ","")&amp;IF(S784="","MRP, ",""))&lt;&gt;"","Missing: "&amp;LEFT(IF(B784="","PO Ref, ","")&amp;IF(C784="","Vendor, ","")&amp;IF(D784="","Store, ","")&amp;IF(F784="","Product Type, ","")&amp;IF(G784="","Category, ","")&amp;IF(H784="","HSN Code, ","")&amp;IF(Q784="","Qty, ","")&amp;IF(R784="","Purchase Rate, ","")&amp;IF(S784="","MRP, ",""),LEN(IF(B784="","PO Ref, ","")&amp;IF(C784="","Vendor, ","")&amp;IF(D784="","Store, ","")&amp;IF(F784="","Product Type, ","")&amp;IF(G784="","Category, ","")&amp;IF(H784="","HSN Code, ","")&amp;IF(Q784="","Qty, ","")&amp;IF(R784="","Purchase Rate, ","")&amp;IF(S784="","MRP, ",""))-2),IF(COUNTIF(Vendors!$B$3:$B$202,C784)=0,"Add vendor "&amp;C784&amp;" on the Vendors sheet",IF(ISNA(MATCH(H784,Codes!$A$2:$A$13,0)),"Pick the HSN Code from the list",IF(AND(E784&lt;&gt;"",COUNTIFS($C$3:$C$1002,C784,$E$3:$E$1002,E784,$F$3:$F$1002,"&lt;&gt;"&amp;F784)+COUNTIFS($C$3:$C$1002,C784,$E$3:$E$1002,E784,$G$3:$G$1002,"&lt;&gt;"&amp;G784)&gt;0),"Design "&amp;E784&amp;" has another Product Type or Category on another row",IF(COUNTIFS($F$3:$F$1002,F784,$G$3:$G$1002,G784,$H$3:$H$1002,"&lt;&gt;"&amp;H784)&gt;0,F784&amp;" + "&amp;G784&amp;" has another HSN Code on another row",IF(AND(V784&lt;&gt;"",U784=""),"Received Qty needs the Vendor Invoice No",IF(AND(U784&lt;&gt;"",COUNTIFS(Bills!$B$3:$B$302,U784,Bills!$C$3:$C$302,C784)=0),"Add bill "&amp;U784&amp;" of "&amp;C784&amp;" on the Bills sheet",IF(S784&lt;R784,"MRP is below the Purchase Rate","OK")))))))))</f>
        <v/>
      </c>
      <c r="B784" s="29"/>
      <c r="C784" s="22"/>
      <c r="D784" s="22"/>
      <c r="E784" s="24"/>
      <c r="F784" s="22"/>
      <c r="G784" s="22"/>
      <c r="H784" s="22"/>
      <c r="I784" s="30" t="str">
        <f>IF(H784="","",IFERROR(INDEX(Codes!$B$2:$B$13,MATCH(H784,Codes!$A$2:$A$13,0)),""))</f>
        <v/>
      </c>
      <c r="J784" s="23"/>
      <c r="K784" s="23"/>
      <c r="L784" s="23"/>
      <c r="M784" s="23"/>
      <c r="N784" s="23"/>
      <c r="O784" s="23"/>
      <c r="P784" s="23"/>
      <c r="Q784" s="31"/>
      <c r="R784" s="32"/>
      <c r="S784" s="32"/>
      <c r="T784" s="33" t="str">
        <f t="shared" si="24"/>
        <v/>
      </c>
      <c r="U784" s="34"/>
      <c r="V784" s="35"/>
      <c r="W784" s="33" t="str">
        <f t="shared" si="25"/>
        <v/>
      </c>
    </row>
    <row r="785" spans="1:23" x14ac:dyDescent="0.35">
      <c r="A785" s="21" t="str">
        <f>IF(COUNTA(B785:H785,J785:S785,U785:V785)=0,"",IF((IF(B785="","PO Ref, ","")&amp;IF(C785="","Vendor, ","")&amp;IF(D785="","Store, ","")&amp;IF(F785="","Product Type, ","")&amp;IF(G785="","Category, ","")&amp;IF(H785="","HSN Code, ","")&amp;IF(Q785="","Qty, ","")&amp;IF(R785="","Purchase Rate, ","")&amp;IF(S785="","MRP, ",""))&lt;&gt;"","Missing: "&amp;LEFT(IF(B785="","PO Ref, ","")&amp;IF(C785="","Vendor, ","")&amp;IF(D785="","Store, ","")&amp;IF(F785="","Product Type, ","")&amp;IF(G785="","Category, ","")&amp;IF(H785="","HSN Code, ","")&amp;IF(Q785="","Qty, ","")&amp;IF(R785="","Purchase Rate, ","")&amp;IF(S785="","MRP, ",""),LEN(IF(B785="","PO Ref, ","")&amp;IF(C785="","Vendor, ","")&amp;IF(D785="","Store, ","")&amp;IF(F785="","Product Type, ","")&amp;IF(G785="","Category, ","")&amp;IF(H785="","HSN Code, ","")&amp;IF(Q785="","Qty, ","")&amp;IF(R785="","Purchase Rate, ","")&amp;IF(S785="","MRP, ",""))-2),IF(COUNTIF(Vendors!$B$3:$B$202,C785)=0,"Add vendor "&amp;C785&amp;" on the Vendors sheet",IF(ISNA(MATCH(H785,Codes!$A$2:$A$13,0)),"Pick the HSN Code from the list",IF(AND(E785&lt;&gt;"",COUNTIFS($C$3:$C$1002,C785,$E$3:$E$1002,E785,$F$3:$F$1002,"&lt;&gt;"&amp;F785)+COUNTIFS($C$3:$C$1002,C785,$E$3:$E$1002,E785,$G$3:$G$1002,"&lt;&gt;"&amp;G785)&gt;0),"Design "&amp;E785&amp;" has another Product Type or Category on another row",IF(COUNTIFS($F$3:$F$1002,F785,$G$3:$G$1002,G785,$H$3:$H$1002,"&lt;&gt;"&amp;H785)&gt;0,F785&amp;" + "&amp;G785&amp;" has another HSN Code on another row",IF(AND(V785&lt;&gt;"",U785=""),"Received Qty needs the Vendor Invoice No",IF(AND(U785&lt;&gt;"",COUNTIFS(Bills!$B$3:$B$302,U785,Bills!$C$3:$C$302,C785)=0),"Add bill "&amp;U785&amp;" of "&amp;C785&amp;" on the Bills sheet",IF(S785&lt;R785,"MRP is below the Purchase Rate","OK")))))))))</f>
        <v/>
      </c>
      <c r="B785" s="29"/>
      <c r="C785" s="22"/>
      <c r="D785" s="22"/>
      <c r="E785" s="24"/>
      <c r="F785" s="22"/>
      <c r="G785" s="22"/>
      <c r="H785" s="22"/>
      <c r="I785" s="30" t="str">
        <f>IF(H785="","",IFERROR(INDEX(Codes!$B$2:$B$13,MATCH(H785,Codes!$A$2:$A$13,0)),""))</f>
        <v/>
      </c>
      <c r="J785" s="23"/>
      <c r="K785" s="23"/>
      <c r="L785" s="23"/>
      <c r="M785" s="23"/>
      <c r="N785" s="23"/>
      <c r="O785" s="23"/>
      <c r="P785" s="23"/>
      <c r="Q785" s="31"/>
      <c r="R785" s="32"/>
      <c r="S785" s="32"/>
      <c r="T785" s="33" t="str">
        <f t="shared" si="24"/>
        <v/>
      </c>
      <c r="U785" s="34"/>
      <c r="V785" s="35"/>
      <c r="W785" s="33" t="str">
        <f t="shared" si="25"/>
        <v/>
      </c>
    </row>
    <row r="786" spans="1:23" x14ac:dyDescent="0.35">
      <c r="A786" s="21" t="str">
        <f>IF(COUNTA(B786:H786,J786:S786,U786:V786)=0,"",IF((IF(B786="","PO Ref, ","")&amp;IF(C786="","Vendor, ","")&amp;IF(D786="","Store, ","")&amp;IF(F786="","Product Type, ","")&amp;IF(G786="","Category, ","")&amp;IF(H786="","HSN Code, ","")&amp;IF(Q786="","Qty, ","")&amp;IF(R786="","Purchase Rate, ","")&amp;IF(S786="","MRP, ",""))&lt;&gt;"","Missing: "&amp;LEFT(IF(B786="","PO Ref, ","")&amp;IF(C786="","Vendor, ","")&amp;IF(D786="","Store, ","")&amp;IF(F786="","Product Type, ","")&amp;IF(G786="","Category, ","")&amp;IF(H786="","HSN Code, ","")&amp;IF(Q786="","Qty, ","")&amp;IF(R786="","Purchase Rate, ","")&amp;IF(S786="","MRP, ",""),LEN(IF(B786="","PO Ref, ","")&amp;IF(C786="","Vendor, ","")&amp;IF(D786="","Store, ","")&amp;IF(F786="","Product Type, ","")&amp;IF(G786="","Category, ","")&amp;IF(H786="","HSN Code, ","")&amp;IF(Q786="","Qty, ","")&amp;IF(R786="","Purchase Rate, ","")&amp;IF(S786="","MRP, ",""))-2),IF(COUNTIF(Vendors!$B$3:$B$202,C786)=0,"Add vendor "&amp;C786&amp;" on the Vendors sheet",IF(ISNA(MATCH(H786,Codes!$A$2:$A$13,0)),"Pick the HSN Code from the list",IF(AND(E786&lt;&gt;"",COUNTIFS($C$3:$C$1002,C786,$E$3:$E$1002,E786,$F$3:$F$1002,"&lt;&gt;"&amp;F786)+COUNTIFS($C$3:$C$1002,C786,$E$3:$E$1002,E786,$G$3:$G$1002,"&lt;&gt;"&amp;G786)&gt;0),"Design "&amp;E786&amp;" has another Product Type or Category on another row",IF(COUNTIFS($F$3:$F$1002,F786,$G$3:$G$1002,G786,$H$3:$H$1002,"&lt;&gt;"&amp;H786)&gt;0,F786&amp;" + "&amp;G786&amp;" has another HSN Code on another row",IF(AND(V786&lt;&gt;"",U786=""),"Received Qty needs the Vendor Invoice No",IF(AND(U786&lt;&gt;"",COUNTIFS(Bills!$B$3:$B$302,U786,Bills!$C$3:$C$302,C786)=0),"Add bill "&amp;U786&amp;" of "&amp;C786&amp;" on the Bills sheet",IF(S786&lt;R786,"MRP is below the Purchase Rate","OK")))))))))</f>
        <v/>
      </c>
      <c r="B786" s="29"/>
      <c r="C786" s="22"/>
      <c r="D786" s="22"/>
      <c r="E786" s="24"/>
      <c r="F786" s="22"/>
      <c r="G786" s="22"/>
      <c r="H786" s="22"/>
      <c r="I786" s="30" t="str">
        <f>IF(H786="","",IFERROR(INDEX(Codes!$B$2:$B$13,MATCH(H786,Codes!$A$2:$A$13,0)),""))</f>
        <v/>
      </c>
      <c r="J786" s="23"/>
      <c r="K786" s="23"/>
      <c r="L786" s="23"/>
      <c r="M786" s="23"/>
      <c r="N786" s="23"/>
      <c r="O786" s="23"/>
      <c r="P786" s="23"/>
      <c r="Q786" s="31"/>
      <c r="R786" s="32"/>
      <c r="S786" s="32"/>
      <c r="T786" s="33" t="str">
        <f t="shared" si="24"/>
        <v/>
      </c>
      <c r="U786" s="34"/>
      <c r="V786" s="35"/>
      <c r="W786" s="33" t="str">
        <f t="shared" si="25"/>
        <v/>
      </c>
    </row>
    <row r="787" spans="1:23" x14ac:dyDescent="0.35">
      <c r="A787" s="21" t="str">
        <f>IF(COUNTA(B787:H787,J787:S787,U787:V787)=0,"",IF((IF(B787="","PO Ref, ","")&amp;IF(C787="","Vendor, ","")&amp;IF(D787="","Store, ","")&amp;IF(F787="","Product Type, ","")&amp;IF(G787="","Category, ","")&amp;IF(H787="","HSN Code, ","")&amp;IF(Q787="","Qty, ","")&amp;IF(R787="","Purchase Rate, ","")&amp;IF(S787="","MRP, ",""))&lt;&gt;"","Missing: "&amp;LEFT(IF(B787="","PO Ref, ","")&amp;IF(C787="","Vendor, ","")&amp;IF(D787="","Store, ","")&amp;IF(F787="","Product Type, ","")&amp;IF(G787="","Category, ","")&amp;IF(H787="","HSN Code, ","")&amp;IF(Q787="","Qty, ","")&amp;IF(R787="","Purchase Rate, ","")&amp;IF(S787="","MRP, ",""),LEN(IF(B787="","PO Ref, ","")&amp;IF(C787="","Vendor, ","")&amp;IF(D787="","Store, ","")&amp;IF(F787="","Product Type, ","")&amp;IF(G787="","Category, ","")&amp;IF(H787="","HSN Code, ","")&amp;IF(Q787="","Qty, ","")&amp;IF(R787="","Purchase Rate, ","")&amp;IF(S787="","MRP, ",""))-2),IF(COUNTIF(Vendors!$B$3:$B$202,C787)=0,"Add vendor "&amp;C787&amp;" on the Vendors sheet",IF(ISNA(MATCH(H787,Codes!$A$2:$A$13,0)),"Pick the HSN Code from the list",IF(AND(E787&lt;&gt;"",COUNTIFS($C$3:$C$1002,C787,$E$3:$E$1002,E787,$F$3:$F$1002,"&lt;&gt;"&amp;F787)+COUNTIFS($C$3:$C$1002,C787,$E$3:$E$1002,E787,$G$3:$G$1002,"&lt;&gt;"&amp;G787)&gt;0),"Design "&amp;E787&amp;" has another Product Type or Category on another row",IF(COUNTIFS($F$3:$F$1002,F787,$G$3:$G$1002,G787,$H$3:$H$1002,"&lt;&gt;"&amp;H787)&gt;0,F787&amp;" + "&amp;G787&amp;" has another HSN Code on another row",IF(AND(V787&lt;&gt;"",U787=""),"Received Qty needs the Vendor Invoice No",IF(AND(U787&lt;&gt;"",COUNTIFS(Bills!$B$3:$B$302,U787,Bills!$C$3:$C$302,C787)=0),"Add bill "&amp;U787&amp;" of "&amp;C787&amp;" on the Bills sheet",IF(S787&lt;R787,"MRP is below the Purchase Rate","OK")))))))))</f>
        <v/>
      </c>
      <c r="B787" s="29"/>
      <c r="C787" s="22"/>
      <c r="D787" s="22"/>
      <c r="E787" s="24"/>
      <c r="F787" s="22"/>
      <c r="G787" s="22"/>
      <c r="H787" s="22"/>
      <c r="I787" s="30" t="str">
        <f>IF(H787="","",IFERROR(INDEX(Codes!$B$2:$B$13,MATCH(H787,Codes!$A$2:$A$13,0)),""))</f>
        <v/>
      </c>
      <c r="J787" s="23"/>
      <c r="K787" s="23"/>
      <c r="L787" s="23"/>
      <c r="M787" s="23"/>
      <c r="N787" s="23"/>
      <c r="O787" s="23"/>
      <c r="P787" s="23"/>
      <c r="Q787" s="31"/>
      <c r="R787" s="32"/>
      <c r="S787" s="32"/>
      <c r="T787" s="33" t="str">
        <f t="shared" si="24"/>
        <v/>
      </c>
      <c r="U787" s="34"/>
      <c r="V787" s="35"/>
      <c r="W787" s="33" t="str">
        <f t="shared" si="25"/>
        <v/>
      </c>
    </row>
    <row r="788" spans="1:23" x14ac:dyDescent="0.35">
      <c r="A788" s="21" t="str">
        <f>IF(COUNTA(B788:H788,J788:S788,U788:V788)=0,"",IF((IF(B788="","PO Ref, ","")&amp;IF(C788="","Vendor, ","")&amp;IF(D788="","Store, ","")&amp;IF(F788="","Product Type, ","")&amp;IF(G788="","Category, ","")&amp;IF(H788="","HSN Code, ","")&amp;IF(Q788="","Qty, ","")&amp;IF(R788="","Purchase Rate, ","")&amp;IF(S788="","MRP, ",""))&lt;&gt;"","Missing: "&amp;LEFT(IF(B788="","PO Ref, ","")&amp;IF(C788="","Vendor, ","")&amp;IF(D788="","Store, ","")&amp;IF(F788="","Product Type, ","")&amp;IF(G788="","Category, ","")&amp;IF(H788="","HSN Code, ","")&amp;IF(Q788="","Qty, ","")&amp;IF(R788="","Purchase Rate, ","")&amp;IF(S788="","MRP, ",""),LEN(IF(B788="","PO Ref, ","")&amp;IF(C788="","Vendor, ","")&amp;IF(D788="","Store, ","")&amp;IF(F788="","Product Type, ","")&amp;IF(G788="","Category, ","")&amp;IF(H788="","HSN Code, ","")&amp;IF(Q788="","Qty, ","")&amp;IF(R788="","Purchase Rate, ","")&amp;IF(S788="","MRP, ",""))-2),IF(COUNTIF(Vendors!$B$3:$B$202,C788)=0,"Add vendor "&amp;C788&amp;" on the Vendors sheet",IF(ISNA(MATCH(H788,Codes!$A$2:$A$13,0)),"Pick the HSN Code from the list",IF(AND(E788&lt;&gt;"",COUNTIFS($C$3:$C$1002,C788,$E$3:$E$1002,E788,$F$3:$F$1002,"&lt;&gt;"&amp;F788)+COUNTIFS($C$3:$C$1002,C788,$E$3:$E$1002,E788,$G$3:$G$1002,"&lt;&gt;"&amp;G788)&gt;0),"Design "&amp;E788&amp;" has another Product Type or Category on another row",IF(COUNTIFS($F$3:$F$1002,F788,$G$3:$G$1002,G788,$H$3:$H$1002,"&lt;&gt;"&amp;H788)&gt;0,F788&amp;" + "&amp;G788&amp;" has another HSN Code on another row",IF(AND(V788&lt;&gt;"",U788=""),"Received Qty needs the Vendor Invoice No",IF(AND(U788&lt;&gt;"",COUNTIFS(Bills!$B$3:$B$302,U788,Bills!$C$3:$C$302,C788)=0),"Add bill "&amp;U788&amp;" of "&amp;C788&amp;" on the Bills sheet",IF(S788&lt;R788,"MRP is below the Purchase Rate","OK")))))))))</f>
        <v/>
      </c>
      <c r="B788" s="29"/>
      <c r="C788" s="22"/>
      <c r="D788" s="22"/>
      <c r="E788" s="24"/>
      <c r="F788" s="22"/>
      <c r="G788" s="22"/>
      <c r="H788" s="22"/>
      <c r="I788" s="30" t="str">
        <f>IF(H788="","",IFERROR(INDEX(Codes!$B$2:$B$13,MATCH(H788,Codes!$A$2:$A$13,0)),""))</f>
        <v/>
      </c>
      <c r="J788" s="23"/>
      <c r="K788" s="23"/>
      <c r="L788" s="23"/>
      <c r="M788" s="23"/>
      <c r="N788" s="23"/>
      <c r="O788" s="23"/>
      <c r="P788" s="23"/>
      <c r="Q788" s="31"/>
      <c r="R788" s="32"/>
      <c r="S788" s="32"/>
      <c r="T788" s="33" t="str">
        <f t="shared" si="24"/>
        <v/>
      </c>
      <c r="U788" s="34"/>
      <c r="V788" s="35"/>
      <c r="W788" s="33" t="str">
        <f t="shared" si="25"/>
        <v/>
      </c>
    </row>
    <row r="789" spans="1:23" x14ac:dyDescent="0.35">
      <c r="A789" s="21" t="str">
        <f>IF(COUNTA(B789:H789,J789:S789,U789:V789)=0,"",IF((IF(B789="","PO Ref, ","")&amp;IF(C789="","Vendor, ","")&amp;IF(D789="","Store, ","")&amp;IF(F789="","Product Type, ","")&amp;IF(G789="","Category, ","")&amp;IF(H789="","HSN Code, ","")&amp;IF(Q789="","Qty, ","")&amp;IF(R789="","Purchase Rate, ","")&amp;IF(S789="","MRP, ",""))&lt;&gt;"","Missing: "&amp;LEFT(IF(B789="","PO Ref, ","")&amp;IF(C789="","Vendor, ","")&amp;IF(D789="","Store, ","")&amp;IF(F789="","Product Type, ","")&amp;IF(G789="","Category, ","")&amp;IF(H789="","HSN Code, ","")&amp;IF(Q789="","Qty, ","")&amp;IF(R789="","Purchase Rate, ","")&amp;IF(S789="","MRP, ",""),LEN(IF(B789="","PO Ref, ","")&amp;IF(C789="","Vendor, ","")&amp;IF(D789="","Store, ","")&amp;IF(F789="","Product Type, ","")&amp;IF(G789="","Category, ","")&amp;IF(H789="","HSN Code, ","")&amp;IF(Q789="","Qty, ","")&amp;IF(R789="","Purchase Rate, ","")&amp;IF(S789="","MRP, ",""))-2),IF(COUNTIF(Vendors!$B$3:$B$202,C789)=0,"Add vendor "&amp;C789&amp;" on the Vendors sheet",IF(ISNA(MATCH(H789,Codes!$A$2:$A$13,0)),"Pick the HSN Code from the list",IF(AND(E789&lt;&gt;"",COUNTIFS($C$3:$C$1002,C789,$E$3:$E$1002,E789,$F$3:$F$1002,"&lt;&gt;"&amp;F789)+COUNTIFS($C$3:$C$1002,C789,$E$3:$E$1002,E789,$G$3:$G$1002,"&lt;&gt;"&amp;G789)&gt;0),"Design "&amp;E789&amp;" has another Product Type or Category on another row",IF(COUNTIFS($F$3:$F$1002,F789,$G$3:$G$1002,G789,$H$3:$H$1002,"&lt;&gt;"&amp;H789)&gt;0,F789&amp;" + "&amp;G789&amp;" has another HSN Code on another row",IF(AND(V789&lt;&gt;"",U789=""),"Received Qty needs the Vendor Invoice No",IF(AND(U789&lt;&gt;"",COUNTIFS(Bills!$B$3:$B$302,U789,Bills!$C$3:$C$302,C789)=0),"Add bill "&amp;U789&amp;" of "&amp;C789&amp;" on the Bills sheet",IF(S789&lt;R789,"MRP is below the Purchase Rate","OK")))))))))</f>
        <v/>
      </c>
      <c r="B789" s="29"/>
      <c r="C789" s="22"/>
      <c r="D789" s="22"/>
      <c r="E789" s="24"/>
      <c r="F789" s="22"/>
      <c r="G789" s="22"/>
      <c r="H789" s="22"/>
      <c r="I789" s="30" t="str">
        <f>IF(H789="","",IFERROR(INDEX(Codes!$B$2:$B$13,MATCH(H789,Codes!$A$2:$A$13,0)),""))</f>
        <v/>
      </c>
      <c r="J789" s="23"/>
      <c r="K789" s="23"/>
      <c r="L789" s="23"/>
      <c r="M789" s="23"/>
      <c r="N789" s="23"/>
      <c r="O789" s="23"/>
      <c r="P789" s="23"/>
      <c r="Q789" s="31"/>
      <c r="R789" s="32"/>
      <c r="S789" s="32"/>
      <c r="T789" s="33" t="str">
        <f t="shared" si="24"/>
        <v/>
      </c>
      <c r="U789" s="34"/>
      <c r="V789" s="35"/>
      <c r="W789" s="33" t="str">
        <f t="shared" si="25"/>
        <v/>
      </c>
    </row>
    <row r="790" spans="1:23" x14ac:dyDescent="0.35">
      <c r="A790" s="21" t="str">
        <f>IF(COUNTA(B790:H790,J790:S790,U790:V790)=0,"",IF((IF(B790="","PO Ref, ","")&amp;IF(C790="","Vendor, ","")&amp;IF(D790="","Store, ","")&amp;IF(F790="","Product Type, ","")&amp;IF(G790="","Category, ","")&amp;IF(H790="","HSN Code, ","")&amp;IF(Q790="","Qty, ","")&amp;IF(R790="","Purchase Rate, ","")&amp;IF(S790="","MRP, ",""))&lt;&gt;"","Missing: "&amp;LEFT(IF(B790="","PO Ref, ","")&amp;IF(C790="","Vendor, ","")&amp;IF(D790="","Store, ","")&amp;IF(F790="","Product Type, ","")&amp;IF(G790="","Category, ","")&amp;IF(H790="","HSN Code, ","")&amp;IF(Q790="","Qty, ","")&amp;IF(R790="","Purchase Rate, ","")&amp;IF(S790="","MRP, ",""),LEN(IF(B790="","PO Ref, ","")&amp;IF(C790="","Vendor, ","")&amp;IF(D790="","Store, ","")&amp;IF(F790="","Product Type, ","")&amp;IF(G790="","Category, ","")&amp;IF(H790="","HSN Code, ","")&amp;IF(Q790="","Qty, ","")&amp;IF(R790="","Purchase Rate, ","")&amp;IF(S790="","MRP, ",""))-2),IF(COUNTIF(Vendors!$B$3:$B$202,C790)=0,"Add vendor "&amp;C790&amp;" on the Vendors sheet",IF(ISNA(MATCH(H790,Codes!$A$2:$A$13,0)),"Pick the HSN Code from the list",IF(AND(E790&lt;&gt;"",COUNTIFS($C$3:$C$1002,C790,$E$3:$E$1002,E790,$F$3:$F$1002,"&lt;&gt;"&amp;F790)+COUNTIFS($C$3:$C$1002,C790,$E$3:$E$1002,E790,$G$3:$G$1002,"&lt;&gt;"&amp;G790)&gt;0),"Design "&amp;E790&amp;" has another Product Type or Category on another row",IF(COUNTIFS($F$3:$F$1002,F790,$G$3:$G$1002,G790,$H$3:$H$1002,"&lt;&gt;"&amp;H790)&gt;0,F790&amp;" + "&amp;G790&amp;" has another HSN Code on another row",IF(AND(V790&lt;&gt;"",U790=""),"Received Qty needs the Vendor Invoice No",IF(AND(U790&lt;&gt;"",COUNTIFS(Bills!$B$3:$B$302,U790,Bills!$C$3:$C$302,C790)=0),"Add bill "&amp;U790&amp;" of "&amp;C790&amp;" on the Bills sheet",IF(S790&lt;R790,"MRP is below the Purchase Rate","OK")))))))))</f>
        <v/>
      </c>
      <c r="B790" s="29"/>
      <c r="C790" s="22"/>
      <c r="D790" s="22"/>
      <c r="E790" s="24"/>
      <c r="F790" s="22"/>
      <c r="G790" s="22"/>
      <c r="H790" s="22"/>
      <c r="I790" s="30" t="str">
        <f>IF(H790="","",IFERROR(INDEX(Codes!$B$2:$B$13,MATCH(H790,Codes!$A$2:$A$13,0)),""))</f>
        <v/>
      </c>
      <c r="J790" s="23"/>
      <c r="K790" s="23"/>
      <c r="L790" s="23"/>
      <c r="M790" s="23"/>
      <c r="N790" s="23"/>
      <c r="O790" s="23"/>
      <c r="P790" s="23"/>
      <c r="Q790" s="31"/>
      <c r="R790" s="32"/>
      <c r="S790" s="32"/>
      <c r="T790" s="33" t="str">
        <f t="shared" si="24"/>
        <v/>
      </c>
      <c r="U790" s="34"/>
      <c r="V790" s="35"/>
      <c r="W790" s="33" t="str">
        <f t="shared" si="25"/>
        <v/>
      </c>
    </row>
    <row r="791" spans="1:23" x14ac:dyDescent="0.35">
      <c r="A791" s="21" t="str">
        <f>IF(COUNTA(B791:H791,J791:S791,U791:V791)=0,"",IF((IF(B791="","PO Ref, ","")&amp;IF(C791="","Vendor, ","")&amp;IF(D791="","Store, ","")&amp;IF(F791="","Product Type, ","")&amp;IF(G791="","Category, ","")&amp;IF(H791="","HSN Code, ","")&amp;IF(Q791="","Qty, ","")&amp;IF(R791="","Purchase Rate, ","")&amp;IF(S791="","MRP, ",""))&lt;&gt;"","Missing: "&amp;LEFT(IF(B791="","PO Ref, ","")&amp;IF(C791="","Vendor, ","")&amp;IF(D791="","Store, ","")&amp;IF(F791="","Product Type, ","")&amp;IF(G791="","Category, ","")&amp;IF(H791="","HSN Code, ","")&amp;IF(Q791="","Qty, ","")&amp;IF(R791="","Purchase Rate, ","")&amp;IF(S791="","MRP, ",""),LEN(IF(B791="","PO Ref, ","")&amp;IF(C791="","Vendor, ","")&amp;IF(D791="","Store, ","")&amp;IF(F791="","Product Type, ","")&amp;IF(G791="","Category, ","")&amp;IF(H791="","HSN Code, ","")&amp;IF(Q791="","Qty, ","")&amp;IF(R791="","Purchase Rate, ","")&amp;IF(S791="","MRP, ",""))-2),IF(COUNTIF(Vendors!$B$3:$B$202,C791)=0,"Add vendor "&amp;C791&amp;" on the Vendors sheet",IF(ISNA(MATCH(H791,Codes!$A$2:$A$13,0)),"Pick the HSN Code from the list",IF(AND(E791&lt;&gt;"",COUNTIFS($C$3:$C$1002,C791,$E$3:$E$1002,E791,$F$3:$F$1002,"&lt;&gt;"&amp;F791)+COUNTIFS($C$3:$C$1002,C791,$E$3:$E$1002,E791,$G$3:$G$1002,"&lt;&gt;"&amp;G791)&gt;0),"Design "&amp;E791&amp;" has another Product Type or Category on another row",IF(COUNTIFS($F$3:$F$1002,F791,$G$3:$G$1002,G791,$H$3:$H$1002,"&lt;&gt;"&amp;H791)&gt;0,F791&amp;" + "&amp;G791&amp;" has another HSN Code on another row",IF(AND(V791&lt;&gt;"",U791=""),"Received Qty needs the Vendor Invoice No",IF(AND(U791&lt;&gt;"",COUNTIFS(Bills!$B$3:$B$302,U791,Bills!$C$3:$C$302,C791)=0),"Add bill "&amp;U791&amp;" of "&amp;C791&amp;" on the Bills sheet",IF(S791&lt;R791,"MRP is below the Purchase Rate","OK")))))))))</f>
        <v/>
      </c>
      <c r="B791" s="29"/>
      <c r="C791" s="22"/>
      <c r="D791" s="22"/>
      <c r="E791" s="24"/>
      <c r="F791" s="22"/>
      <c r="G791" s="22"/>
      <c r="H791" s="22"/>
      <c r="I791" s="30" t="str">
        <f>IF(H791="","",IFERROR(INDEX(Codes!$B$2:$B$13,MATCH(H791,Codes!$A$2:$A$13,0)),""))</f>
        <v/>
      </c>
      <c r="J791" s="23"/>
      <c r="K791" s="23"/>
      <c r="L791" s="23"/>
      <c r="M791" s="23"/>
      <c r="N791" s="23"/>
      <c r="O791" s="23"/>
      <c r="P791" s="23"/>
      <c r="Q791" s="31"/>
      <c r="R791" s="32"/>
      <c r="S791" s="32"/>
      <c r="T791" s="33" t="str">
        <f t="shared" si="24"/>
        <v/>
      </c>
      <c r="U791" s="34"/>
      <c r="V791" s="35"/>
      <c r="W791" s="33" t="str">
        <f t="shared" si="25"/>
        <v/>
      </c>
    </row>
    <row r="792" spans="1:23" x14ac:dyDescent="0.35">
      <c r="A792" s="21" t="str">
        <f>IF(COUNTA(B792:H792,J792:S792,U792:V792)=0,"",IF((IF(B792="","PO Ref, ","")&amp;IF(C792="","Vendor, ","")&amp;IF(D792="","Store, ","")&amp;IF(F792="","Product Type, ","")&amp;IF(G792="","Category, ","")&amp;IF(H792="","HSN Code, ","")&amp;IF(Q792="","Qty, ","")&amp;IF(R792="","Purchase Rate, ","")&amp;IF(S792="","MRP, ",""))&lt;&gt;"","Missing: "&amp;LEFT(IF(B792="","PO Ref, ","")&amp;IF(C792="","Vendor, ","")&amp;IF(D792="","Store, ","")&amp;IF(F792="","Product Type, ","")&amp;IF(G792="","Category, ","")&amp;IF(H792="","HSN Code, ","")&amp;IF(Q792="","Qty, ","")&amp;IF(R792="","Purchase Rate, ","")&amp;IF(S792="","MRP, ",""),LEN(IF(B792="","PO Ref, ","")&amp;IF(C792="","Vendor, ","")&amp;IF(D792="","Store, ","")&amp;IF(F792="","Product Type, ","")&amp;IF(G792="","Category, ","")&amp;IF(H792="","HSN Code, ","")&amp;IF(Q792="","Qty, ","")&amp;IF(R792="","Purchase Rate, ","")&amp;IF(S792="","MRP, ",""))-2),IF(COUNTIF(Vendors!$B$3:$B$202,C792)=0,"Add vendor "&amp;C792&amp;" on the Vendors sheet",IF(ISNA(MATCH(H792,Codes!$A$2:$A$13,0)),"Pick the HSN Code from the list",IF(AND(E792&lt;&gt;"",COUNTIFS($C$3:$C$1002,C792,$E$3:$E$1002,E792,$F$3:$F$1002,"&lt;&gt;"&amp;F792)+COUNTIFS($C$3:$C$1002,C792,$E$3:$E$1002,E792,$G$3:$G$1002,"&lt;&gt;"&amp;G792)&gt;0),"Design "&amp;E792&amp;" has another Product Type or Category on another row",IF(COUNTIFS($F$3:$F$1002,F792,$G$3:$G$1002,G792,$H$3:$H$1002,"&lt;&gt;"&amp;H792)&gt;0,F792&amp;" + "&amp;G792&amp;" has another HSN Code on another row",IF(AND(V792&lt;&gt;"",U792=""),"Received Qty needs the Vendor Invoice No",IF(AND(U792&lt;&gt;"",COUNTIFS(Bills!$B$3:$B$302,U792,Bills!$C$3:$C$302,C792)=0),"Add bill "&amp;U792&amp;" of "&amp;C792&amp;" on the Bills sheet",IF(S792&lt;R792,"MRP is below the Purchase Rate","OK")))))))))</f>
        <v/>
      </c>
      <c r="B792" s="29"/>
      <c r="C792" s="22"/>
      <c r="D792" s="22"/>
      <c r="E792" s="24"/>
      <c r="F792" s="22"/>
      <c r="G792" s="22"/>
      <c r="H792" s="22"/>
      <c r="I792" s="30" t="str">
        <f>IF(H792="","",IFERROR(INDEX(Codes!$B$2:$B$13,MATCH(H792,Codes!$A$2:$A$13,0)),""))</f>
        <v/>
      </c>
      <c r="J792" s="23"/>
      <c r="K792" s="23"/>
      <c r="L792" s="23"/>
      <c r="M792" s="23"/>
      <c r="N792" s="23"/>
      <c r="O792" s="23"/>
      <c r="P792" s="23"/>
      <c r="Q792" s="31"/>
      <c r="R792" s="32"/>
      <c r="S792" s="32"/>
      <c r="T792" s="33" t="str">
        <f t="shared" si="24"/>
        <v/>
      </c>
      <c r="U792" s="34"/>
      <c r="V792" s="35"/>
      <c r="W792" s="33" t="str">
        <f t="shared" si="25"/>
        <v/>
      </c>
    </row>
    <row r="793" spans="1:23" x14ac:dyDescent="0.35">
      <c r="A793" s="21" t="str">
        <f>IF(COUNTA(B793:H793,J793:S793,U793:V793)=0,"",IF((IF(B793="","PO Ref, ","")&amp;IF(C793="","Vendor, ","")&amp;IF(D793="","Store, ","")&amp;IF(F793="","Product Type, ","")&amp;IF(G793="","Category, ","")&amp;IF(H793="","HSN Code, ","")&amp;IF(Q793="","Qty, ","")&amp;IF(R793="","Purchase Rate, ","")&amp;IF(S793="","MRP, ",""))&lt;&gt;"","Missing: "&amp;LEFT(IF(B793="","PO Ref, ","")&amp;IF(C793="","Vendor, ","")&amp;IF(D793="","Store, ","")&amp;IF(F793="","Product Type, ","")&amp;IF(G793="","Category, ","")&amp;IF(H793="","HSN Code, ","")&amp;IF(Q793="","Qty, ","")&amp;IF(R793="","Purchase Rate, ","")&amp;IF(S793="","MRP, ",""),LEN(IF(B793="","PO Ref, ","")&amp;IF(C793="","Vendor, ","")&amp;IF(D793="","Store, ","")&amp;IF(F793="","Product Type, ","")&amp;IF(G793="","Category, ","")&amp;IF(H793="","HSN Code, ","")&amp;IF(Q793="","Qty, ","")&amp;IF(R793="","Purchase Rate, ","")&amp;IF(S793="","MRP, ",""))-2),IF(COUNTIF(Vendors!$B$3:$B$202,C793)=0,"Add vendor "&amp;C793&amp;" on the Vendors sheet",IF(ISNA(MATCH(H793,Codes!$A$2:$A$13,0)),"Pick the HSN Code from the list",IF(AND(E793&lt;&gt;"",COUNTIFS($C$3:$C$1002,C793,$E$3:$E$1002,E793,$F$3:$F$1002,"&lt;&gt;"&amp;F793)+COUNTIFS($C$3:$C$1002,C793,$E$3:$E$1002,E793,$G$3:$G$1002,"&lt;&gt;"&amp;G793)&gt;0),"Design "&amp;E793&amp;" has another Product Type or Category on another row",IF(COUNTIFS($F$3:$F$1002,F793,$G$3:$G$1002,G793,$H$3:$H$1002,"&lt;&gt;"&amp;H793)&gt;0,F793&amp;" + "&amp;G793&amp;" has another HSN Code on another row",IF(AND(V793&lt;&gt;"",U793=""),"Received Qty needs the Vendor Invoice No",IF(AND(U793&lt;&gt;"",COUNTIFS(Bills!$B$3:$B$302,U793,Bills!$C$3:$C$302,C793)=0),"Add bill "&amp;U793&amp;" of "&amp;C793&amp;" on the Bills sheet",IF(S793&lt;R793,"MRP is below the Purchase Rate","OK")))))))))</f>
        <v/>
      </c>
      <c r="B793" s="29"/>
      <c r="C793" s="22"/>
      <c r="D793" s="22"/>
      <c r="E793" s="24"/>
      <c r="F793" s="22"/>
      <c r="G793" s="22"/>
      <c r="H793" s="22"/>
      <c r="I793" s="30" t="str">
        <f>IF(H793="","",IFERROR(INDEX(Codes!$B$2:$B$13,MATCH(H793,Codes!$A$2:$A$13,0)),""))</f>
        <v/>
      </c>
      <c r="J793" s="23"/>
      <c r="K793" s="23"/>
      <c r="L793" s="23"/>
      <c r="M793" s="23"/>
      <c r="N793" s="23"/>
      <c r="O793" s="23"/>
      <c r="P793" s="23"/>
      <c r="Q793" s="31"/>
      <c r="R793" s="32"/>
      <c r="S793" s="32"/>
      <c r="T793" s="33" t="str">
        <f t="shared" si="24"/>
        <v/>
      </c>
      <c r="U793" s="34"/>
      <c r="V793" s="35"/>
      <c r="W793" s="33" t="str">
        <f t="shared" si="25"/>
        <v/>
      </c>
    </row>
    <row r="794" spans="1:23" x14ac:dyDescent="0.35">
      <c r="A794" s="21" t="str">
        <f>IF(COUNTA(B794:H794,J794:S794,U794:V794)=0,"",IF((IF(B794="","PO Ref, ","")&amp;IF(C794="","Vendor, ","")&amp;IF(D794="","Store, ","")&amp;IF(F794="","Product Type, ","")&amp;IF(G794="","Category, ","")&amp;IF(H794="","HSN Code, ","")&amp;IF(Q794="","Qty, ","")&amp;IF(R794="","Purchase Rate, ","")&amp;IF(S794="","MRP, ",""))&lt;&gt;"","Missing: "&amp;LEFT(IF(B794="","PO Ref, ","")&amp;IF(C794="","Vendor, ","")&amp;IF(D794="","Store, ","")&amp;IF(F794="","Product Type, ","")&amp;IF(G794="","Category, ","")&amp;IF(H794="","HSN Code, ","")&amp;IF(Q794="","Qty, ","")&amp;IF(R794="","Purchase Rate, ","")&amp;IF(S794="","MRP, ",""),LEN(IF(B794="","PO Ref, ","")&amp;IF(C794="","Vendor, ","")&amp;IF(D794="","Store, ","")&amp;IF(F794="","Product Type, ","")&amp;IF(G794="","Category, ","")&amp;IF(H794="","HSN Code, ","")&amp;IF(Q794="","Qty, ","")&amp;IF(R794="","Purchase Rate, ","")&amp;IF(S794="","MRP, ",""))-2),IF(COUNTIF(Vendors!$B$3:$B$202,C794)=0,"Add vendor "&amp;C794&amp;" on the Vendors sheet",IF(ISNA(MATCH(H794,Codes!$A$2:$A$13,0)),"Pick the HSN Code from the list",IF(AND(E794&lt;&gt;"",COUNTIFS($C$3:$C$1002,C794,$E$3:$E$1002,E794,$F$3:$F$1002,"&lt;&gt;"&amp;F794)+COUNTIFS($C$3:$C$1002,C794,$E$3:$E$1002,E794,$G$3:$G$1002,"&lt;&gt;"&amp;G794)&gt;0),"Design "&amp;E794&amp;" has another Product Type or Category on another row",IF(COUNTIFS($F$3:$F$1002,F794,$G$3:$G$1002,G794,$H$3:$H$1002,"&lt;&gt;"&amp;H794)&gt;0,F794&amp;" + "&amp;G794&amp;" has another HSN Code on another row",IF(AND(V794&lt;&gt;"",U794=""),"Received Qty needs the Vendor Invoice No",IF(AND(U794&lt;&gt;"",COUNTIFS(Bills!$B$3:$B$302,U794,Bills!$C$3:$C$302,C794)=0),"Add bill "&amp;U794&amp;" of "&amp;C794&amp;" on the Bills sheet",IF(S794&lt;R794,"MRP is below the Purchase Rate","OK")))))))))</f>
        <v/>
      </c>
      <c r="B794" s="29"/>
      <c r="C794" s="22"/>
      <c r="D794" s="22"/>
      <c r="E794" s="24"/>
      <c r="F794" s="22"/>
      <c r="G794" s="22"/>
      <c r="H794" s="22"/>
      <c r="I794" s="30" t="str">
        <f>IF(H794="","",IFERROR(INDEX(Codes!$B$2:$B$13,MATCH(H794,Codes!$A$2:$A$13,0)),""))</f>
        <v/>
      </c>
      <c r="J794" s="23"/>
      <c r="K794" s="23"/>
      <c r="L794" s="23"/>
      <c r="M794" s="23"/>
      <c r="N794" s="23"/>
      <c r="O794" s="23"/>
      <c r="P794" s="23"/>
      <c r="Q794" s="31"/>
      <c r="R794" s="32"/>
      <c r="S794" s="32"/>
      <c r="T794" s="33" t="str">
        <f t="shared" si="24"/>
        <v/>
      </c>
      <c r="U794" s="34"/>
      <c r="V794" s="35"/>
      <c r="W794" s="33" t="str">
        <f t="shared" si="25"/>
        <v/>
      </c>
    </row>
    <row r="795" spans="1:23" x14ac:dyDescent="0.35">
      <c r="A795" s="21" t="str">
        <f>IF(COUNTA(B795:H795,J795:S795,U795:V795)=0,"",IF((IF(B795="","PO Ref, ","")&amp;IF(C795="","Vendor, ","")&amp;IF(D795="","Store, ","")&amp;IF(F795="","Product Type, ","")&amp;IF(G795="","Category, ","")&amp;IF(H795="","HSN Code, ","")&amp;IF(Q795="","Qty, ","")&amp;IF(R795="","Purchase Rate, ","")&amp;IF(S795="","MRP, ",""))&lt;&gt;"","Missing: "&amp;LEFT(IF(B795="","PO Ref, ","")&amp;IF(C795="","Vendor, ","")&amp;IF(D795="","Store, ","")&amp;IF(F795="","Product Type, ","")&amp;IF(G795="","Category, ","")&amp;IF(H795="","HSN Code, ","")&amp;IF(Q795="","Qty, ","")&amp;IF(R795="","Purchase Rate, ","")&amp;IF(S795="","MRP, ",""),LEN(IF(B795="","PO Ref, ","")&amp;IF(C795="","Vendor, ","")&amp;IF(D795="","Store, ","")&amp;IF(F795="","Product Type, ","")&amp;IF(G795="","Category, ","")&amp;IF(H795="","HSN Code, ","")&amp;IF(Q795="","Qty, ","")&amp;IF(R795="","Purchase Rate, ","")&amp;IF(S795="","MRP, ",""))-2),IF(COUNTIF(Vendors!$B$3:$B$202,C795)=0,"Add vendor "&amp;C795&amp;" on the Vendors sheet",IF(ISNA(MATCH(H795,Codes!$A$2:$A$13,0)),"Pick the HSN Code from the list",IF(AND(E795&lt;&gt;"",COUNTIFS($C$3:$C$1002,C795,$E$3:$E$1002,E795,$F$3:$F$1002,"&lt;&gt;"&amp;F795)+COUNTIFS($C$3:$C$1002,C795,$E$3:$E$1002,E795,$G$3:$G$1002,"&lt;&gt;"&amp;G795)&gt;0),"Design "&amp;E795&amp;" has another Product Type or Category on another row",IF(COUNTIFS($F$3:$F$1002,F795,$G$3:$G$1002,G795,$H$3:$H$1002,"&lt;&gt;"&amp;H795)&gt;0,F795&amp;" + "&amp;G795&amp;" has another HSN Code on another row",IF(AND(V795&lt;&gt;"",U795=""),"Received Qty needs the Vendor Invoice No",IF(AND(U795&lt;&gt;"",COUNTIFS(Bills!$B$3:$B$302,U795,Bills!$C$3:$C$302,C795)=0),"Add bill "&amp;U795&amp;" of "&amp;C795&amp;" on the Bills sheet",IF(S795&lt;R795,"MRP is below the Purchase Rate","OK")))))))))</f>
        <v/>
      </c>
      <c r="B795" s="29"/>
      <c r="C795" s="22"/>
      <c r="D795" s="22"/>
      <c r="E795" s="24"/>
      <c r="F795" s="22"/>
      <c r="G795" s="22"/>
      <c r="H795" s="22"/>
      <c r="I795" s="30" t="str">
        <f>IF(H795="","",IFERROR(INDEX(Codes!$B$2:$B$13,MATCH(H795,Codes!$A$2:$A$13,0)),""))</f>
        <v/>
      </c>
      <c r="J795" s="23"/>
      <c r="K795" s="23"/>
      <c r="L795" s="23"/>
      <c r="M795" s="23"/>
      <c r="N795" s="23"/>
      <c r="O795" s="23"/>
      <c r="P795" s="23"/>
      <c r="Q795" s="31"/>
      <c r="R795" s="32"/>
      <c r="S795" s="32"/>
      <c r="T795" s="33" t="str">
        <f t="shared" si="24"/>
        <v/>
      </c>
      <c r="U795" s="34"/>
      <c r="V795" s="35"/>
      <c r="W795" s="33" t="str">
        <f t="shared" si="25"/>
        <v/>
      </c>
    </row>
    <row r="796" spans="1:23" x14ac:dyDescent="0.35">
      <c r="A796" s="21" t="str">
        <f>IF(COUNTA(B796:H796,J796:S796,U796:V796)=0,"",IF((IF(B796="","PO Ref, ","")&amp;IF(C796="","Vendor, ","")&amp;IF(D796="","Store, ","")&amp;IF(F796="","Product Type, ","")&amp;IF(G796="","Category, ","")&amp;IF(H796="","HSN Code, ","")&amp;IF(Q796="","Qty, ","")&amp;IF(R796="","Purchase Rate, ","")&amp;IF(S796="","MRP, ",""))&lt;&gt;"","Missing: "&amp;LEFT(IF(B796="","PO Ref, ","")&amp;IF(C796="","Vendor, ","")&amp;IF(D796="","Store, ","")&amp;IF(F796="","Product Type, ","")&amp;IF(G796="","Category, ","")&amp;IF(H796="","HSN Code, ","")&amp;IF(Q796="","Qty, ","")&amp;IF(R796="","Purchase Rate, ","")&amp;IF(S796="","MRP, ",""),LEN(IF(B796="","PO Ref, ","")&amp;IF(C796="","Vendor, ","")&amp;IF(D796="","Store, ","")&amp;IF(F796="","Product Type, ","")&amp;IF(G796="","Category, ","")&amp;IF(H796="","HSN Code, ","")&amp;IF(Q796="","Qty, ","")&amp;IF(R796="","Purchase Rate, ","")&amp;IF(S796="","MRP, ",""))-2),IF(COUNTIF(Vendors!$B$3:$B$202,C796)=0,"Add vendor "&amp;C796&amp;" on the Vendors sheet",IF(ISNA(MATCH(H796,Codes!$A$2:$A$13,0)),"Pick the HSN Code from the list",IF(AND(E796&lt;&gt;"",COUNTIFS($C$3:$C$1002,C796,$E$3:$E$1002,E796,$F$3:$F$1002,"&lt;&gt;"&amp;F796)+COUNTIFS($C$3:$C$1002,C796,$E$3:$E$1002,E796,$G$3:$G$1002,"&lt;&gt;"&amp;G796)&gt;0),"Design "&amp;E796&amp;" has another Product Type or Category on another row",IF(COUNTIFS($F$3:$F$1002,F796,$G$3:$G$1002,G796,$H$3:$H$1002,"&lt;&gt;"&amp;H796)&gt;0,F796&amp;" + "&amp;G796&amp;" has another HSN Code on another row",IF(AND(V796&lt;&gt;"",U796=""),"Received Qty needs the Vendor Invoice No",IF(AND(U796&lt;&gt;"",COUNTIFS(Bills!$B$3:$B$302,U796,Bills!$C$3:$C$302,C796)=0),"Add bill "&amp;U796&amp;" of "&amp;C796&amp;" on the Bills sheet",IF(S796&lt;R796,"MRP is below the Purchase Rate","OK")))))))))</f>
        <v/>
      </c>
      <c r="B796" s="29"/>
      <c r="C796" s="22"/>
      <c r="D796" s="22"/>
      <c r="E796" s="24"/>
      <c r="F796" s="22"/>
      <c r="G796" s="22"/>
      <c r="H796" s="22"/>
      <c r="I796" s="30" t="str">
        <f>IF(H796="","",IFERROR(INDEX(Codes!$B$2:$B$13,MATCH(H796,Codes!$A$2:$A$13,0)),""))</f>
        <v/>
      </c>
      <c r="J796" s="23"/>
      <c r="K796" s="23"/>
      <c r="L796" s="23"/>
      <c r="M796" s="23"/>
      <c r="N796" s="23"/>
      <c r="O796" s="23"/>
      <c r="P796" s="23"/>
      <c r="Q796" s="31"/>
      <c r="R796" s="32"/>
      <c r="S796" s="32"/>
      <c r="T796" s="33" t="str">
        <f t="shared" si="24"/>
        <v/>
      </c>
      <c r="U796" s="34"/>
      <c r="V796" s="35"/>
      <c r="W796" s="33" t="str">
        <f t="shared" si="25"/>
        <v/>
      </c>
    </row>
    <row r="797" spans="1:23" x14ac:dyDescent="0.35">
      <c r="A797" s="21" t="str">
        <f>IF(COUNTA(B797:H797,J797:S797,U797:V797)=0,"",IF((IF(B797="","PO Ref, ","")&amp;IF(C797="","Vendor, ","")&amp;IF(D797="","Store, ","")&amp;IF(F797="","Product Type, ","")&amp;IF(G797="","Category, ","")&amp;IF(H797="","HSN Code, ","")&amp;IF(Q797="","Qty, ","")&amp;IF(R797="","Purchase Rate, ","")&amp;IF(S797="","MRP, ",""))&lt;&gt;"","Missing: "&amp;LEFT(IF(B797="","PO Ref, ","")&amp;IF(C797="","Vendor, ","")&amp;IF(D797="","Store, ","")&amp;IF(F797="","Product Type, ","")&amp;IF(G797="","Category, ","")&amp;IF(H797="","HSN Code, ","")&amp;IF(Q797="","Qty, ","")&amp;IF(R797="","Purchase Rate, ","")&amp;IF(S797="","MRP, ",""),LEN(IF(B797="","PO Ref, ","")&amp;IF(C797="","Vendor, ","")&amp;IF(D797="","Store, ","")&amp;IF(F797="","Product Type, ","")&amp;IF(G797="","Category, ","")&amp;IF(H797="","HSN Code, ","")&amp;IF(Q797="","Qty, ","")&amp;IF(R797="","Purchase Rate, ","")&amp;IF(S797="","MRP, ",""))-2),IF(COUNTIF(Vendors!$B$3:$B$202,C797)=0,"Add vendor "&amp;C797&amp;" on the Vendors sheet",IF(ISNA(MATCH(H797,Codes!$A$2:$A$13,0)),"Pick the HSN Code from the list",IF(AND(E797&lt;&gt;"",COUNTIFS($C$3:$C$1002,C797,$E$3:$E$1002,E797,$F$3:$F$1002,"&lt;&gt;"&amp;F797)+COUNTIFS($C$3:$C$1002,C797,$E$3:$E$1002,E797,$G$3:$G$1002,"&lt;&gt;"&amp;G797)&gt;0),"Design "&amp;E797&amp;" has another Product Type or Category on another row",IF(COUNTIFS($F$3:$F$1002,F797,$G$3:$G$1002,G797,$H$3:$H$1002,"&lt;&gt;"&amp;H797)&gt;0,F797&amp;" + "&amp;G797&amp;" has another HSN Code on another row",IF(AND(V797&lt;&gt;"",U797=""),"Received Qty needs the Vendor Invoice No",IF(AND(U797&lt;&gt;"",COUNTIFS(Bills!$B$3:$B$302,U797,Bills!$C$3:$C$302,C797)=0),"Add bill "&amp;U797&amp;" of "&amp;C797&amp;" on the Bills sheet",IF(S797&lt;R797,"MRP is below the Purchase Rate","OK")))))))))</f>
        <v/>
      </c>
      <c r="B797" s="29"/>
      <c r="C797" s="22"/>
      <c r="D797" s="22"/>
      <c r="E797" s="24"/>
      <c r="F797" s="22"/>
      <c r="G797" s="22"/>
      <c r="H797" s="22"/>
      <c r="I797" s="30" t="str">
        <f>IF(H797="","",IFERROR(INDEX(Codes!$B$2:$B$13,MATCH(H797,Codes!$A$2:$A$13,0)),""))</f>
        <v/>
      </c>
      <c r="J797" s="23"/>
      <c r="K797" s="23"/>
      <c r="L797" s="23"/>
      <c r="M797" s="23"/>
      <c r="N797" s="23"/>
      <c r="O797" s="23"/>
      <c r="P797" s="23"/>
      <c r="Q797" s="31"/>
      <c r="R797" s="32"/>
      <c r="S797" s="32"/>
      <c r="T797" s="33" t="str">
        <f t="shared" si="24"/>
        <v/>
      </c>
      <c r="U797" s="34"/>
      <c r="V797" s="35"/>
      <c r="W797" s="33" t="str">
        <f t="shared" si="25"/>
        <v/>
      </c>
    </row>
    <row r="798" spans="1:23" x14ac:dyDescent="0.35">
      <c r="A798" s="21" t="str">
        <f>IF(COUNTA(B798:H798,J798:S798,U798:V798)=0,"",IF((IF(B798="","PO Ref, ","")&amp;IF(C798="","Vendor, ","")&amp;IF(D798="","Store, ","")&amp;IF(F798="","Product Type, ","")&amp;IF(G798="","Category, ","")&amp;IF(H798="","HSN Code, ","")&amp;IF(Q798="","Qty, ","")&amp;IF(R798="","Purchase Rate, ","")&amp;IF(S798="","MRP, ",""))&lt;&gt;"","Missing: "&amp;LEFT(IF(B798="","PO Ref, ","")&amp;IF(C798="","Vendor, ","")&amp;IF(D798="","Store, ","")&amp;IF(F798="","Product Type, ","")&amp;IF(G798="","Category, ","")&amp;IF(H798="","HSN Code, ","")&amp;IF(Q798="","Qty, ","")&amp;IF(R798="","Purchase Rate, ","")&amp;IF(S798="","MRP, ",""),LEN(IF(B798="","PO Ref, ","")&amp;IF(C798="","Vendor, ","")&amp;IF(D798="","Store, ","")&amp;IF(F798="","Product Type, ","")&amp;IF(G798="","Category, ","")&amp;IF(H798="","HSN Code, ","")&amp;IF(Q798="","Qty, ","")&amp;IF(R798="","Purchase Rate, ","")&amp;IF(S798="","MRP, ",""))-2),IF(COUNTIF(Vendors!$B$3:$B$202,C798)=0,"Add vendor "&amp;C798&amp;" on the Vendors sheet",IF(ISNA(MATCH(H798,Codes!$A$2:$A$13,0)),"Pick the HSN Code from the list",IF(AND(E798&lt;&gt;"",COUNTIFS($C$3:$C$1002,C798,$E$3:$E$1002,E798,$F$3:$F$1002,"&lt;&gt;"&amp;F798)+COUNTIFS($C$3:$C$1002,C798,$E$3:$E$1002,E798,$G$3:$G$1002,"&lt;&gt;"&amp;G798)&gt;0),"Design "&amp;E798&amp;" has another Product Type or Category on another row",IF(COUNTIFS($F$3:$F$1002,F798,$G$3:$G$1002,G798,$H$3:$H$1002,"&lt;&gt;"&amp;H798)&gt;0,F798&amp;" + "&amp;G798&amp;" has another HSN Code on another row",IF(AND(V798&lt;&gt;"",U798=""),"Received Qty needs the Vendor Invoice No",IF(AND(U798&lt;&gt;"",COUNTIFS(Bills!$B$3:$B$302,U798,Bills!$C$3:$C$302,C798)=0),"Add bill "&amp;U798&amp;" of "&amp;C798&amp;" on the Bills sheet",IF(S798&lt;R798,"MRP is below the Purchase Rate","OK")))))))))</f>
        <v/>
      </c>
      <c r="B798" s="29"/>
      <c r="C798" s="22"/>
      <c r="D798" s="22"/>
      <c r="E798" s="24"/>
      <c r="F798" s="22"/>
      <c r="G798" s="22"/>
      <c r="H798" s="22"/>
      <c r="I798" s="30" t="str">
        <f>IF(H798="","",IFERROR(INDEX(Codes!$B$2:$B$13,MATCH(H798,Codes!$A$2:$A$13,0)),""))</f>
        <v/>
      </c>
      <c r="J798" s="23"/>
      <c r="K798" s="23"/>
      <c r="L798" s="23"/>
      <c r="M798" s="23"/>
      <c r="N798" s="23"/>
      <c r="O798" s="23"/>
      <c r="P798" s="23"/>
      <c r="Q798" s="31"/>
      <c r="R798" s="32"/>
      <c r="S798" s="32"/>
      <c r="T798" s="33" t="str">
        <f t="shared" si="24"/>
        <v/>
      </c>
      <c r="U798" s="34"/>
      <c r="V798" s="35"/>
      <c r="W798" s="33" t="str">
        <f t="shared" si="25"/>
        <v/>
      </c>
    </row>
    <row r="799" spans="1:23" x14ac:dyDescent="0.35">
      <c r="A799" s="21" t="str">
        <f>IF(COUNTA(B799:H799,J799:S799,U799:V799)=0,"",IF((IF(B799="","PO Ref, ","")&amp;IF(C799="","Vendor, ","")&amp;IF(D799="","Store, ","")&amp;IF(F799="","Product Type, ","")&amp;IF(G799="","Category, ","")&amp;IF(H799="","HSN Code, ","")&amp;IF(Q799="","Qty, ","")&amp;IF(R799="","Purchase Rate, ","")&amp;IF(S799="","MRP, ",""))&lt;&gt;"","Missing: "&amp;LEFT(IF(B799="","PO Ref, ","")&amp;IF(C799="","Vendor, ","")&amp;IF(D799="","Store, ","")&amp;IF(F799="","Product Type, ","")&amp;IF(G799="","Category, ","")&amp;IF(H799="","HSN Code, ","")&amp;IF(Q799="","Qty, ","")&amp;IF(R799="","Purchase Rate, ","")&amp;IF(S799="","MRP, ",""),LEN(IF(B799="","PO Ref, ","")&amp;IF(C799="","Vendor, ","")&amp;IF(D799="","Store, ","")&amp;IF(F799="","Product Type, ","")&amp;IF(G799="","Category, ","")&amp;IF(H799="","HSN Code, ","")&amp;IF(Q799="","Qty, ","")&amp;IF(R799="","Purchase Rate, ","")&amp;IF(S799="","MRP, ",""))-2),IF(COUNTIF(Vendors!$B$3:$B$202,C799)=0,"Add vendor "&amp;C799&amp;" on the Vendors sheet",IF(ISNA(MATCH(H799,Codes!$A$2:$A$13,0)),"Pick the HSN Code from the list",IF(AND(E799&lt;&gt;"",COUNTIFS($C$3:$C$1002,C799,$E$3:$E$1002,E799,$F$3:$F$1002,"&lt;&gt;"&amp;F799)+COUNTIFS($C$3:$C$1002,C799,$E$3:$E$1002,E799,$G$3:$G$1002,"&lt;&gt;"&amp;G799)&gt;0),"Design "&amp;E799&amp;" has another Product Type or Category on another row",IF(COUNTIFS($F$3:$F$1002,F799,$G$3:$G$1002,G799,$H$3:$H$1002,"&lt;&gt;"&amp;H799)&gt;0,F799&amp;" + "&amp;G799&amp;" has another HSN Code on another row",IF(AND(V799&lt;&gt;"",U799=""),"Received Qty needs the Vendor Invoice No",IF(AND(U799&lt;&gt;"",COUNTIFS(Bills!$B$3:$B$302,U799,Bills!$C$3:$C$302,C799)=0),"Add bill "&amp;U799&amp;" of "&amp;C799&amp;" on the Bills sheet",IF(S799&lt;R799,"MRP is below the Purchase Rate","OK")))))))))</f>
        <v/>
      </c>
      <c r="B799" s="29"/>
      <c r="C799" s="22"/>
      <c r="D799" s="22"/>
      <c r="E799" s="24"/>
      <c r="F799" s="22"/>
      <c r="G799" s="22"/>
      <c r="H799" s="22"/>
      <c r="I799" s="30" t="str">
        <f>IF(H799="","",IFERROR(INDEX(Codes!$B$2:$B$13,MATCH(H799,Codes!$A$2:$A$13,0)),""))</f>
        <v/>
      </c>
      <c r="J799" s="23"/>
      <c r="K799" s="23"/>
      <c r="L799" s="23"/>
      <c r="M799" s="23"/>
      <c r="N799" s="23"/>
      <c r="O799" s="23"/>
      <c r="P799" s="23"/>
      <c r="Q799" s="31"/>
      <c r="R799" s="32"/>
      <c r="S799" s="32"/>
      <c r="T799" s="33" t="str">
        <f t="shared" si="24"/>
        <v/>
      </c>
      <c r="U799" s="34"/>
      <c r="V799" s="35"/>
      <c r="W799" s="33" t="str">
        <f t="shared" si="25"/>
        <v/>
      </c>
    </row>
    <row r="800" spans="1:23" x14ac:dyDescent="0.35">
      <c r="A800" s="21" t="str">
        <f>IF(COUNTA(B800:H800,J800:S800,U800:V800)=0,"",IF((IF(B800="","PO Ref, ","")&amp;IF(C800="","Vendor, ","")&amp;IF(D800="","Store, ","")&amp;IF(F800="","Product Type, ","")&amp;IF(G800="","Category, ","")&amp;IF(H800="","HSN Code, ","")&amp;IF(Q800="","Qty, ","")&amp;IF(R800="","Purchase Rate, ","")&amp;IF(S800="","MRP, ",""))&lt;&gt;"","Missing: "&amp;LEFT(IF(B800="","PO Ref, ","")&amp;IF(C800="","Vendor, ","")&amp;IF(D800="","Store, ","")&amp;IF(F800="","Product Type, ","")&amp;IF(G800="","Category, ","")&amp;IF(H800="","HSN Code, ","")&amp;IF(Q800="","Qty, ","")&amp;IF(R800="","Purchase Rate, ","")&amp;IF(S800="","MRP, ",""),LEN(IF(B800="","PO Ref, ","")&amp;IF(C800="","Vendor, ","")&amp;IF(D800="","Store, ","")&amp;IF(F800="","Product Type, ","")&amp;IF(G800="","Category, ","")&amp;IF(H800="","HSN Code, ","")&amp;IF(Q800="","Qty, ","")&amp;IF(R800="","Purchase Rate, ","")&amp;IF(S800="","MRP, ",""))-2),IF(COUNTIF(Vendors!$B$3:$B$202,C800)=0,"Add vendor "&amp;C800&amp;" on the Vendors sheet",IF(ISNA(MATCH(H800,Codes!$A$2:$A$13,0)),"Pick the HSN Code from the list",IF(AND(E800&lt;&gt;"",COUNTIFS($C$3:$C$1002,C800,$E$3:$E$1002,E800,$F$3:$F$1002,"&lt;&gt;"&amp;F800)+COUNTIFS($C$3:$C$1002,C800,$E$3:$E$1002,E800,$G$3:$G$1002,"&lt;&gt;"&amp;G800)&gt;0),"Design "&amp;E800&amp;" has another Product Type or Category on another row",IF(COUNTIFS($F$3:$F$1002,F800,$G$3:$G$1002,G800,$H$3:$H$1002,"&lt;&gt;"&amp;H800)&gt;0,F800&amp;" + "&amp;G800&amp;" has another HSN Code on another row",IF(AND(V800&lt;&gt;"",U800=""),"Received Qty needs the Vendor Invoice No",IF(AND(U800&lt;&gt;"",COUNTIFS(Bills!$B$3:$B$302,U800,Bills!$C$3:$C$302,C800)=0),"Add bill "&amp;U800&amp;" of "&amp;C800&amp;" on the Bills sheet",IF(S800&lt;R800,"MRP is below the Purchase Rate","OK")))))))))</f>
        <v/>
      </c>
      <c r="B800" s="29"/>
      <c r="C800" s="22"/>
      <c r="D800" s="22"/>
      <c r="E800" s="24"/>
      <c r="F800" s="22"/>
      <c r="G800" s="22"/>
      <c r="H800" s="22"/>
      <c r="I800" s="30" t="str">
        <f>IF(H800="","",IFERROR(INDEX(Codes!$B$2:$B$13,MATCH(H800,Codes!$A$2:$A$13,0)),""))</f>
        <v/>
      </c>
      <c r="J800" s="23"/>
      <c r="K800" s="23"/>
      <c r="L800" s="23"/>
      <c r="M800" s="23"/>
      <c r="N800" s="23"/>
      <c r="O800" s="23"/>
      <c r="P800" s="23"/>
      <c r="Q800" s="31"/>
      <c r="R800" s="32"/>
      <c r="S800" s="32"/>
      <c r="T800" s="33" t="str">
        <f t="shared" si="24"/>
        <v/>
      </c>
      <c r="U800" s="34"/>
      <c r="V800" s="35"/>
      <c r="W800" s="33" t="str">
        <f t="shared" si="25"/>
        <v/>
      </c>
    </row>
    <row r="801" spans="1:23" x14ac:dyDescent="0.35">
      <c r="A801" s="21" t="str">
        <f>IF(COUNTA(B801:H801,J801:S801,U801:V801)=0,"",IF((IF(B801="","PO Ref, ","")&amp;IF(C801="","Vendor, ","")&amp;IF(D801="","Store, ","")&amp;IF(F801="","Product Type, ","")&amp;IF(G801="","Category, ","")&amp;IF(H801="","HSN Code, ","")&amp;IF(Q801="","Qty, ","")&amp;IF(R801="","Purchase Rate, ","")&amp;IF(S801="","MRP, ",""))&lt;&gt;"","Missing: "&amp;LEFT(IF(B801="","PO Ref, ","")&amp;IF(C801="","Vendor, ","")&amp;IF(D801="","Store, ","")&amp;IF(F801="","Product Type, ","")&amp;IF(G801="","Category, ","")&amp;IF(H801="","HSN Code, ","")&amp;IF(Q801="","Qty, ","")&amp;IF(R801="","Purchase Rate, ","")&amp;IF(S801="","MRP, ",""),LEN(IF(B801="","PO Ref, ","")&amp;IF(C801="","Vendor, ","")&amp;IF(D801="","Store, ","")&amp;IF(F801="","Product Type, ","")&amp;IF(G801="","Category, ","")&amp;IF(H801="","HSN Code, ","")&amp;IF(Q801="","Qty, ","")&amp;IF(R801="","Purchase Rate, ","")&amp;IF(S801="","MRP, ",""))-2),IF(COUNTIF(Vendors!$B$3:$B$202,C801)=0,"Add vendor "&amp;C801&amp;" on the Vendors sheet",IF(ISNA(MATCH(H801,Codes!$A$2:$A$13,0)),"Pick the HSN Code from the list",IF(AND(E801&lt;&gt;"",COUNTIFS($C$3:$C$1002,C801,$E$3:$E$1002,E801,$F$3:$F$1002,"&lt;&gt;"&amp;F801)+COUNTIFS($C$3:$C$1002,C801,$E$3:$E$1002,E801,$G$3:$G$1002,"&lt;&gt;"&amp;G801)&gt;0),"Design "&amp;E801&amp;" has another Product Type or Category on another row",IF(COUNTIFS($F$3:$F$1002,F801,$G$3:$G$1002,G801,$H$3:$H$1002,"&lt;&gt;"&amp;H801)&gt;0,F801&amp;" + "&amp;G801&amp;" has another HSN Code on another row",IF(AND(V801&lt;&gt;"",U801=""),"Received Qty needs the Vendor Invoice No",IF(AND(U801&lt;&gt;"",COUNTIFS(Bills!$B$3:$B$302,U801,Bills!$C$3:$C$302,C801)=0),"Add bill "&amp;U801&amp;" of "&amp;C801&amp;" on the Bills sheet",IF(S801&lt;R801,"MRP is below the Purchase Rate","OK")))))))))</f>
        <v/>
      </c>
      <c r="B801" s="29"/>
      <c r="C801" s="22"/>
      <c r="D801" s="22"/>
      <c r="E801" s="24"/>
      <c r="F801" s="22"/>
      <c r="G801" s="22"/>
      <c r="H801" s="22"/>
      <c r="I801" s="30" t="str">
        <f>IF(H801="","",IFERROR(INDEX(Codes!$B$2:$B$13,MATCH(H801,Codes!$A$2:$A$13,0)),""))</f>
        <v/>
      </c>
      <c r="J801" s="23"/>
      <c r="K801" s="23"/>
      <c r="L801" s="23"/>
      <c r="M801" s="23"/>
      <c r="N801" s="23"/>
      <c r="O801" s="23"/>
      <c r="P801" s="23"/>
      <c r="Q801" s="31"/>
      <c r="R801" s="32"/>
      <c r="S801" s="32"/>
      <c r="T801" s="33" t="str">
        <f t="shared" si="24"/>
        <v/>
      </c>
      <c r="U801" s="34"/>
      <c r="V801" s="35"/>
      <c r="W801" s="33" t="str">
        <f t="shared" si="25"/>
        <v/>
      </c>
    </row>
    <row r="802" spans="1:23" x14ac:dyDescent="0.35">
      <c r="A802" s="21" t="str">
        <f>IF(COUNTA(B802:H802,J802:S802,U802:V802)=0,"",IF((IF(B802="","PO Ref, ","")&amp;IF(C802="","Vendor, ","")&amp;IF(D802="","Store, ","")&amp;IF(F802="","Product Type, ","")&amp;IF(G802="","Category, ","")&amp;IF(H802="","HSN Code, ","")&amp;IF(Q802="","Qty, ","")&amp;IF(R802="","Purchase Rate, ","")&amp;IF(S802="","MRP, ",""))&lt;&gt;"","Missing: "&amp;LEFT(IF(B802="","PO Ref, ","")&amp;IF(C802="","Vendor, ","")&amp;IF(D802="","Store, ","")&amp;IF(F802="","Product Type, ","")&amp;IF(G802="","Category, ","")&amp;IF(H802="","HSN Code, ","")&amp;IF(Q802="","Qty, ","")&amp;IF(R802="","Purchase Rate, ","")&amp;IF(S802="","MRP, ",""),LEN(IF(B802="","PO Ref, ","")&amp;IF(C802="","Vendor, ","")&amp;IF(D802="","Store, ","")&amp;IF(F802="","Product Type, ","")&amp;IF(G802="","Category, ","")&amp;IF(H802="","HSN Code, ","")&amp;IF(Q802="","Qty, ","")&amp;IF(R802="","Purchase Rate, ","")&amp;IF(S802="","MRP, ",""))-2),IF(COUNTIF(Vendors!$B$3:$B$202,C802)=0,"Add vendor "&amp;C802&amp;" on the Vendors sheet",IF(ISNA(MATCH(H802,Codes!$A$2:$A$13,0)),"Pick the HSN Code from the list",IF(AND(E802&lt;&gt;"",COUNTIFS($C$3:$C$1002,C802,$E$3:$E$1002,E802,$F$3:$F$1002,"&lt;&gt;"&amp;F802)+COUNTIFS($C$3:$C$1002,C802,$E$3:$E$1002,E802,$G$3:$G$1002,"&lt;&gt;"&amp;G802)&gt;0),"Design "&amp;E802&amp;" has another Product Type or Category on another row",IF(COUNTIFS($F$3:$F$1002,F802,$G$3:$G$1002,G802,$H$3:$H$1002,"&lt;&gt;"&amp;H802)&gt;0,F802&amp;" + "&amp;G802&amp;" has another HSN Code on another row",IF(AND(V802&lt;&gt;"",U802=""),"Received Qty needs the Vendor Invoice No",IF(AND(U802&lt;&gt;"",COUNTIFS(Bills!$B$3:$B$302,U802,Bills!$C$3:$C$302,C802)=0),"Add bill "&amp;U802&amp;" of "&amp;C802&amp;" on the Bills sheet",IF(S802&lt;R802,"MRP is below the Purchase Rate","OK")))))))))</f>
        <v/>
      </c>
      <c r="B802" s="29"/>
      <c r="C802" s="22"/>
      <c r="D802" s="22"/>
      <c r="E802" s="24"/>
      <c r="F802" s="22"/>
      <c r="G802" s="22"/>
      <c r="H802" s="22"/>
      <c r="I802" s="30" t="str">
        <f>IF(H802="","",IFERROR(INDEX(Codes!$B$2:$B$13,MATCH(H802,Codes!$A$2:$A$13,0)),""))</f>
        <v/>
      </c>
      <c r="J802" s="23"/>
      <c r="K802" s="23"/>
      <c r="L802" s="23"/>
      <c r="M802" s="23"/>
      <c r="N802" s="23"/>
      <c r="O802" s="23"/>
      <c r="P802" s="23"/>
      <c r="Q802" s="31"/>
      <c r="R802" s="32"/>
      <c r="S802" s="32"/>
      <c r="T802" s="33" t="str">
        <f t="shared" si="24"/>
        <v/>
      </c>
      <c r="U802" s="34"/>
      <c r="V802" s="35"/>
      <c r="W802" s="33" t="str">
        <f t="shared" si="25"/>
        <v/>
      </c>
    </row>
    <row r="803" spans="1:23" x14ac:dyDescent="0.35">
      <c r="A803" s="21" t="str">
        <f>IF(COUNTA(B803:H803,J803:S803,U803:V803)=0,"",IF((IF(B803="","PO Ref, ","")&amp;IF(C803="","Vendor, ","")&amp;IF(D803="","Store, ","")&amp;IF(F803="","Product Type, ","")&amp;IF(G803="","Category, ","")&amp;IF(H803="","HSN Code, ","")&amp;IF(Q803="","Qty, ","")&amp;IF(R803="","Purchase Rate, ","")&amp;IF(S803="","MRP, ",""))&lt;&gt;"","Missing: "&amp;LEFT(IF(B803="","PO Ref, ","")&amp;IF(C803="","Vendor, ","")&amp;IF(D803="","Store, ","")&amp;IF(F803="","Product Type, ","")&amp;IF(G803="","Category, ","")&amp;IF(H803="","HSN Code, ","")&amp;IF(Q803="","Qty, ","")&amp;IF(R803="","Purchase Rate, ","")&amp;IF(S803="","MRP, ",""),LEN(IF(B803="","PO Ref, ","")&amp;IF(C803="","Vendor, ","")&amp;IF(D803="","Store, ","")&amp;IF(F803="","Product Type, ","")&amp;IF(G803="","Category, ","")&amp;IF(H803="","HSN Code, ","")&amp;IF(Q803="","Qty, ","")&amp;IF(R803="","Purchase Rate, ","")&amp;IF(S803="","MRP, ",""))-2),IF(COUNTIF(Vendors!$B$3:$B$202,C803)=0,"Add vendor "&amp;C803&amp;" on the Vendors sheet",IF(ISNA(MATCH(H803,Codes!$A$2:$A$13,0)),"Pick the HSN Code from the list",IF(AND(E803&lt;&gt;"",COUNTIFS($C$3:$C$1002,C803,$E$3:$E$1002,E803,$F$3:$F$1002,"&lt;&gt;"&amp;F803)+COUNTIFS($C$3:$C$1002,C803,$E$3:$E$1002,E803,$G$3:$G$1002,"&lt;&gt;"&amp;G803)&gt;0),"Design "&amp;E803&amp;" has another Product Type or Category on another row",IF(COUNTIFS($F$3:$F$1002,F803,$G$3:$G$1002,G803,$H$3:$H$1002,"&lt;&gt;"&amp;H803)&gt;0,F803&amp;" + "&amp;G803&amp;" has another HSN Code on another row",IF(AND(V803&lt;&gt;"",U803=""),"Received Qty needs the Vendor Invoice No",IF(AND(U803&lt;&gt;"",COUNTIFS(Bills!$B$3:$B$302,U803,Bills!$C$3:$C$302,C803)=0),"Add bill "&amp;U803&amp;" of "&amp;C803&amp;" on the Bills sheet",IF(S803&lt;R803,"MRP is below the Purchase Rate","OK")))))))))</f>
        <v/>
      </c>
      <c r="B803" s="29"/>
      <c r="C803" s="22"/>
      <c r="D803" s="22"/>
      <c r="E803" s="24"/>
      <c r="F803" s="22"/>
      <c r="G803" s="22"/>
      <c r="H803" s="22"/>
      <c r="I803" s="30" t="str">
        <f>IF(H803="","",IFERROR(INDEX(Codes!$B$2:$B$13,MATCH(H803,Codes!$A$2:$A$13,0)),""))</f>
        <v/>
      </c>
      <c r="J803" s="23"/>
      <c r="K803" s="23"/>
      <c r="L803" s="23"/>
      <c r="M803" s="23"/>
      <c r="N803" s="23"/>
      <c r="O803" s="23"/>
      <c r="P803" s="23"/>
      <c r="Q803" s="31"/>
      <c r="R803" s="32"/>
      <c r="S803" s="32"/>
      <c r="T803" s="33" t="str">
        <f t="shared" si="24"/>
        <v/>
      </c>
      <c r="U803" s="34"/>
      <c r="V803" s="35"/>
      <c r="W803" s="33" t="str">
        <f t="shared" si="25"/>
        <v/>
      </c>
    </row>
    <row r="804" spans="1:23" x14ac:dyDescent="0.35">
      <c r="A804" s="21" t="str">
        <f>IF(COUNTA(B804:H804,J804:S804,U804:V804)=0,"",IF((IF(B804="","PO Ref, ","")&amp;IF(C804="","Vendor, ","")&amp;IF(D804="","Store, ","")&amp;IF(F804="","Product Type, ","")&amp;IF(G804="","Category, ","")&amp;IF(H804="","HSN Code, ","")&amp;IF(Q804="","Qty, ","")&amp;IF(R804="","Purchase Rate, ","")&amp;IF(S804="","MRP, ",""))&lt;&gt;"","Missing: "&amp;LEFT(IF(B804="","PO Ref, ","")&amp;IF(C804="","Vendor, ","")&amp;IF(D804="","Store, ","")&amp;IF(F804="","Product Type, ","")&amp;IF(G804="","Category, ","")&amp;IF(H804="","HSN Code, ","")&amp;IF(Q804="","Qty, ","")&amp;IF(R804="","Purchase Rate, ","")&amp;IF(S804="","MRP, ",""),LEN(IF(B804="","PO Ref, ","")&amp;IF(C804="","Vendor, ","")&amp;IF(D804="","Store, ","")&amp;IF(F804="","Product Type, ","")&amp;IF(G804="","Category, ","")&amp;IF(H804="","HSN Code, ","")&amp;IF(Q804="","Qty, ","")&amp;IF(R804="","Purchase Rate, ","")&amp;IF(S804="","MRP, ",""))-2),IF(COUNTIF(Vendors!$B$3:$B$202,C804)=0,"Add vendor "&amp;C804&amp;" on the Vendors sheet",IF(ISNA(MATCH(H804,Codes!$A$2:$A$13,0)),"Pick the HSN Code from the list",IF(AND(E804&lt;&gt;"",COUNTIFS($C$3:$C$1002,C804,$E$3:$E$1002,E804,$F$3:$F$1002,"&lt;&gt;"&amp;F804)+COUNTIFS($C$3:$C$1002,C804,$E$3:$E$1002,E804,$G$3:$G$1002,"&lt;&gt;"&amp;G804)&gt;0),"Design "&amp;E804&amp;" has another Product Type or Category on another row",IF(COUNTIFS($F$3:$F$1002,F804,$G$3:$G$1002,G804,$H$3:$H$1002,"&lt;&gt;"&amp;H804)&gt;0,F804&amp;" + "&amp;G804&amp;" has another HSN Code on another row",IF(AND(V804&lt;&gt;"",U804=""),"Received Qty needs the Vendor Invoice No",IF(AND(U804&lt;&gt;"",COUNTIFS(Bills!$B$3:$B$302,U804,Bills!$C$3:$C$302,C804)=0),"Add bill "&amp;U804&amp;" of "&amp;C804&amp;" on the Bills sheet",IF(S804&lt;R804,"MRP is below the Purchase Rate","OK")))))))))</f>
        <v/>
      </c>
      <c r="B804" s="29"/>
      <c r="C804" s="22"/>
      <c r="D804" s="22"/>
      <c r="E804" s="24"/>
      <c r="F804" s="22"/>
      <c r="G804" s="22"/>
      <c r="H804" s="22"/>
      <c r="I804" s="30" t="str">
        <f>IF(H804="","",IFERROR(INDEX(Codes!$B$2:$B$13,MATCH(H804,Codes!$A$2:$A$13,0)),""))</f>
        <v/>
      </c>
      <c r="J804" s="23"/>
      <c r="K804" s="23"/>
      <c r="L804" s="23"/>
      <c r="M804" s="23"/>
      <c r="N804" s="23"/>
      <c r="O804" s="23"/>
      <c r="P804" s="23"/>
      <c r="Q804" s="31"/>
      <c r="R804" s="32"/>
      <c r="S804" s="32"/>
      <c r="T804" s="33" t="str">
        <f t="shared" si="24"/>
        <v/>
      </c>
      <c r="U804" s="34"/>
      <c r="V804" s="35"/>
      <c r="W804" s="33" t="str">
        <f t="shared" si="25"/>
        <v/>
      </c>
    </row>
    <row r="805" spans="1:23" x14ac:dyDescent="0.35">
      <c r="A805" s="21" t="str">
        <f>IF(COUNTA(B805:H805,J805:S805,U805:V805)=0,"",IF((IF(B805="","PO Ref, ","")&amp;IF(C805="","Vendor, ","")&amp;IF(D805="","Store, ","")&amp;IF(F805="","Product Type, ","")&amp;IF(G805="","Category, ","")&amp;IF(H805="","HSN Code, ","")&amp;IF(Q805="","Qty, ","")&amp;IF(R805="","Purchase Rate, ","")&amp;IF(S805="","MRP, ",""))&lt;&gt;"","Missing: "&amp;LEFT(IF(B805="","PO Ref, ","")&amp;IF(C805="","Vendor, ","")&amp;IF(D805="","Store, ","")&amp;IF(F805="","Product Type, ","")&amp;IF(G805="","Category, ","")&amp;IF(H805="","HSN Code, ","")&amp;IF(Q805="","Qty, ","")&amp;IF(R805="","Purchase Rate, ","")&amp;IF(S805="","MRP, ",""),LEN(IF(B805="","PO Ref, ","")&amp;IF(C805="","Vendor, ","")&amp;IF(D805="","Store, ","")&amp;IF(F805="","Product Type, ","")&amp;IF(G805="","Category, ","")&amp;IF(H805="","HSN Code, ","")&amp;IF(Q805="","Qty, ","")&amp;IF(R805="","Purchase Rate, ","")&amp;IF(S805="","MRP, ",""))-2),IF(COUNTIF(Vendors!$B$3:$B$202,C805)=0,"Add vendor "&amp;C805&amp;" on the Vendors sheet",IF(ISNA(MATCH(H805,Codes!$A$2:$A$13,0)),"Pick the HSN Code from the list",IF(AND(E805&lt;&gt;"",COUNTIFS($C$3:$C$1002,C805,$E$3:$E$1002,E805,$F$3:$F$1002,"&lt;&gt;"&amp;F805)+COUNTIFS($C$3:$C$1002,C805,$E$3:$E$1002,E805,$G$3:$G$1002,"&lt;&gt;"&amp;G805)&gt;0),"Design "&amp;E805&amp;" has another Product Type or Category on another row",IF(COUNTIFS($F$3:$F$1002,F805,$G$3:$G$1002,G805,$H$3:$H$1002,"&lt;&gt;"&amp;H805)&gt;0,F805&amp;" + "&amp;G805&amp;" has another HSN Code on another row",IF(AND(V805&lt;&gt;"",U805=""),"Received Qty needs the Vendor Invoice No",IF(AND(U805&lt;&gt;"",COUNTIFS(Bills!$B$3:$B$302,U805,Bills!$C$3:$C$302,C805)=0),"Add bill "&amp;U805&amp;" of "&amp;C805&amp;" on the Bills sheet",IF(S805&lt;R805,"MRP is below the Purchase Rate","OK")))))))))</f>
        <v/>
      </c>
      <c r="B805" s="29"/>
      <c r="C805" s="22"/>
      <c r="D805" s="22"/>
      <c r="E805" s="24"/>
      <c r="F805" s="22"/>
      <c r="G805" s="22"/>
      <c r="H805" s="22"/>
      <c r="I805" s="30" t="str">
        <f>IF(H805="","",IFERROR(INDEX(Codes!$B$2:$B$13,MATCH(H805,Codes!$A$2:$A$13,0)),""))</f>
        <v/>
      </c>
      <c r="J805" s="23"/>
      <c r="K805" s="23"/>
      <c r="L805" s="23"/>
      <c r="M805" s="23"/>
      <c r="N805" s="23"/>
      <c r="O805" s="23"/>
      <c r="P805" s="23"/>
      <c r="Q805" s="31"/>
      <c r="R805" s="32"/>
      <c r="S805" s="32"/>
      <c r="T805" s="33" t="str">
        <f t="shared" si="24"/>
        <v/>
      </c>
      <c r="U805" s="34"/>
      <c r="V805" s="35"/>
      <c r="W805" s="33" t="str">
        <f t="shared" si="25"/>
        <v/>
      </c>
    </row>
    <row r="806" spans="1:23" x14ac:dyDescent="0.35">
      <c r="A806" s="21" t="str">
        <f>IF(COUNTA(B806:H806,J806:S806,U806:V806)=0,"",IF((IF(B806="","PO Ref, ","")&amp;IF(C806="","Vendor, ","")&amp;IF(D806="","Store, ","")&amp;IF(F806="","Product Type, ","")&amp;IF(G806="","Category, ","")&amp;IF(H806="","HSN Code, ","")&amp;IF(Q806="","Qty, ","")&amp;IF(R806="","Purchase Rate, ","")&amp;IF(S806="","MRP, ",""))&lt;&gt;"","Missing: "&amp;LEFT(IF(B806="","PO Ref, ","")&amp;IF(C806="","Vendor, ","")&amp;IF(D806="","Store, ","")&amp;IF(F806="","Product Type, ","")&amp;IF(G806="","Category, ","")&amp;IF(H806="","HSN Code, ","")&amp;IF(Q806="","Qty, ","")&amp;IF(R806="","Purchase Rate, ","")&amp;IF(S806="","MRP, ",""),LEN(IF(B806="","PO Ref, ","")&amp;IF(C806="","Vendor, ","")&amp;IF(D806="","Store, ","")&amp;IF(F806="","Product Type, ","")&amp;IF(G806="","Category, ","")&amp;IF(H806="","HSN Code, ","")&amp;IF(Q806="","Qty, ","")&amp;IF(R806="","Purchase Rate, ","")&amp;IF(S806="","MRP, ",""))-2),IF(COUNTIF(Vendors!$B$3:$B$202,C806)=0,"Add vendor "&amp;C806&amp;" on the Vendors sheet",IF(ISNA(MATCH(H806,Codes!$A$2:$A$13,0)),"Pick the HSN Code from the list",IF(AND(E806&lt;&gt;"",COUNTIFS($C$3:$C$1002,C806,$E$3:$E$1002,E806,$F$3:$F$1002,"&lt;&gt;"&amp;F806)+COUNTIFS($C$3:$C$1002,C806,$E$3:$E$1002,E806,$G$3:$G$1002,"&lt;&gt;"&amp;G806)&gt;0),"Design "&amp;E806&amp;" has another Product Type or Category on another row",IF(COUNTIFS($F$3:$F$1002,F806,$G$3:$G$1002,G806,$H$3:$H$1002,"&lt;&gt;"&amp;H806)&gt;0,F806&amp;" + "&amp;G806&amp;" has another HSN Code on another row",IF(AND(V806&lt;&gt;"",U806=""),"Received Qty needs the Vendor Invoice No",IF(AND(U806&lt;&gt;"",COUNTIFS(Bills!$B$3:$B$302,U806,Bills!$C$3:$C$302,C806)=0),"Add bill "&amp;U806&amp;" of "&amp;C806&amp;" on the Bills sheet",IF(S806&lt;R806,"MRP is below the Purchase Rate","OK")))))))))</f>
        <v/>
      </c>
      <c r="B806" s="29"/>
      <c r="C806" s="22"/>
      <c r="D806" s="22"/>
      <c r="E806" s="24"/>
      <c r="F806" s="22"/>
      <c r="G806" s="22"/>
      <c r="H806" s="22"/>
      <c r="I806" s="30" t="str">
        <f>IF(H806="","",IFERROR(INDEX(Codes!$B$2:$B$13,MATCH(H806,Codes!$A$2:$A$13,0)),""))</f>
        <v/>
      </c>
      <c r="J806" s="23"/>
      <c r="K806" s="23"/>
      <c r="L806" s="23"/>
      <c r="M806" s="23"/>
      <c r="N806" s="23"/>
      <c r="O806" s="23"/>
      <c r="P806" s="23"/>
      <c r="Q806" s="31"/>
      <c r="R806" s="32"/>
      <c r="S806" s="32"/>
      <c r="T806" s="33" t="str">
        <f t="shared" si="24"/>
        <v/>
      </c>
      <c r="U806" s="34"/>
      <c r="V806" s="35"/>
      <c r="W806" s="33" t="str">
        <f t="shared" si="25"/>
        <v/>
      </c>
    </row>
    <row r="807" spans="1:23" x14ac:dyDescent="0.35">
      <c r="A807" s="21" t="str">
        <f>IF(COUNTA(B807:H807,J807:S807,U807:V807)=0,"",IF((IF(B807="","PO Ref, ","")&amp;IF(C807="","Vendor, ","")&amp;IF(D807="","Store, ","")&amp;IF(F807="","Product Type, ","")&amp;IF(G807="","Category, ","")&amp;IF(H807="","HSN Code, ","")&amp;IF(Q807="","Qty, ","")&amp;IF(R807="","Purchase Rate, ","")&amp;IF(S807="","MRP, ",""))&lt;&gt;"","Missing: "&amp;LEFT(IF(B807="","PO Ref, ","")&amp;IF(C807="","Vendor, ","")&amp;IF(D807="","Store, ","")&amp;IF(F807="","Product Type, ","")&amp;IF(G807="","Category, ","")&amp;IF(H807="","HSN Code, ","")&amp;IF(Q807="","Qty, ","")&amp;IF(R807="","Purchase Rate, ","")&amp;IF(S807="","MRP, ",""),LEN(IF(B807="","PO Ref, ","")&amp;IF(C807="","Vendor, ","")&amp;IF(D807="","Store, ","")&amp;IF(F807="","Product Type, ","")&amp;IF(G807="","Category, ","")&amp;IF(H807="","HSN Code, ","")&amp;IF(Q807="","Qty, ","")&amp;IF(R807="","Purchase Rate, ","")&amp;IF(S807="","MRP, ",""))-2),IF(COUNTIF(Vendors!$B$3:$B$202,C807)=0,"Add vendor "&amp;C807&amp;" on the Vendors sheet",IF(ISNA(MATCH(H807,Codes!$A$2:$A$13,0)),"Pick the HSN Code from the list",IF(AND(E807&lt;&gt;"",COUNTIFS($C$3:$C$1002,C807,$E$3:$E$1002,E807,$F$3:$F$1002,"&lt;&gt;"&amp;F807)+COUNTIFS($C$3:$C$1002,C807,$E$3:$E$1002,E807,$G$3:$G$1002,"&lt;&gt;"&amp;G807)&gt;0),"Design "&amp;E807&amp;" has another Product Type or Category on another row",IF(COUNTIFS($F$3:$F$1002,F807,$G$3:$G$1002,G807,$H$3:$H$1002,"&lt;&gt;"&amp;H807)&gt;0,F807&amp;" + "&amp;G807&amp;" has another HSN Code on another row",IF(AND(V807&lt;&gt;"",U807=""),"Received Qty needs the Vendor Invoice No",IF(AND(U807&lt;&gt;"",COUNTIFS(Bills!$B$3:$B$302,U807,Bills!$C$3:$C$302,C807)=0),"Add bill "&amp;U807&amp;" of "&amp;C807&amp;" on the Bills sheet",IF(S807&lt;R807,"MRP is below the Purchase Rate","OK")))))))))</f>
        <v/>
      </c>
      <c r="B807" s="29"/>
      <c r="C807" s="22"/>
      <c r="D807" s="22"/>
      <c r="E807" s="24"/>
      <c r="F807" s="22"/>
      <c r="G807" s="22"/>
      <c r="H807" s="22"/>
      <c r="I807" s="30" t="str">
        <f>IF(H807="","",IFERROR(INDEX(Codes!$B$2:$B$13,MATCH(H807,Codes!$A$2:$A$13,0)),""))</f>
        <v/>
      </c>
      <c r="J807" s="23"/>
      <c r="K807" s="23"/>
      <c r="L807" s="23"/>
      <c r="M807" s="23"/>
      <c r="N807" s="23"/>
      <c r="O807" s="23"/>
      <c r="P807" s="23"/>
      <c r="Q807" s="31"/>
      <c r="R807" s="32"/>
      <c r="S807" s="32"/>
      <c r="T807" s="33" t="str">
        <f t="shared" si="24"/>
        <v/>
      </c>
      <c r="U807" s="34"/>
      <c r="V807" s="35"/>
      <c r="W807" s="33" t="str">
        <f t="shared" si="25"/>
        <v/>
      </c>
    </row>
    <row r="808" spans="1:23" x14ac:dyDescent="0.35">
      <c r="A808" s="21" t="str">
        <f>IF(COUNTA(B808:H808,J808:S808,U808:V808)=0,"",IF((IF(B808="","PO Ref, ","")&amp;IF(C808="","Vendor, ","")&amp;IF(D808="","Store, ","")&amp;IF(F808="","Product Type, ","")&amp;IF(G808="","Category, ","")&amp;IF(H808="","HSN Code, ","")&amp;IF(Q808="","Qty, ","")&amp;IF(R808="","Purchase Rate, ","")&amp;IF(S808="","MRP, ",""))&lt;&gt;"","Missing: "&amp;LEFT(IF(B808="","PO Ref, ","")&amp;IF(C808="","Vendor, ","")&amp;IF(D808="","Store, ","")&amp;IF(F808="","Product Type, ","")&amp;IF(G808="","Category, ","")&amp;IF(H808="","HSN Code, ","")&amp;IF(Q808="","Qty, ","")&amp;IF(R808="","Purchase Rate, ","")&amp;IF(S808="","MRP, ",""),LEN(IF(B808="","PO Ref, ","")&amp;IF(C808="","Vendor, ","")&amp;IF(D808="","Store, ","")&amp;IF(F808="","Product Type, ","")&amp;IF(G808="","Category, ","")&amp;IF(H808="","HSN Code, ","")&amp;IF(Q808="","Qty, ","")&amp;IF(R808="","Purchase Rate, ","")&amp;IF(S808="","MRP, ",""))-2),IF(COUNTIF(Vendors!$B$3:$B$202,C808)=0,"Add vendor "&amp;C808&amp;" on the Vendors sheet",IF(ISNA(MATCH(H808,Codes!$A$2:$A$13,0)),"Pick the HSN Code from the list",IF(AND(E808&lt;&gt;"",COUNTIFS($C$3:$C$1002,C808,$E$3:$E$1002,E808,$F$3:$F$1002,"&lt;&gt;"&amp;F808)+COUNTIFS($C$3:$C$1002,C808,$E$3:$E$1002,E808,$G$3:$G$1002,"&lt;&gt;"&amp;G808)&gt;0),"Design "&amp;E808&amp;" has another Product Type or Category on another row",IF(COUNTIFS($F$3:$F$1002,F808,$G$3:$G$1002,G808,$H$3:$H$1002,"&lt;&gt;"&amp;H808)&gt;0,F808&amp;" + "&amp;G808&amp;" has another HSN Code on another row",IF(AND(V808&lt;&gt;"",U808=""),"Received Qty needs the Vendor Invoice No",IF(AND(U808&lt;&gt;"",COUNTIFS(Bills!$B$3:$B$302,U808,Bills!$C$3:$C$302,C808)=0),"Add bill "&amp;U808&amp;" of "&amp;C808&amp;" on the Bills sheet",IF(S808&lt;R808,"MRP is below the Purchase Rate","OK")))))))))</f>
        <v/>
      </c>
      <c r="B808" s="29"/>
      <c r="C808" s="22"/>
      <c r="D808" s="22"/>
      <c r="E808" s="24"/>
      <c r="F808" s="22"/>
      <c r="G808" s="22"/>
      <c r="H808" s="22"/>
      <c r="I808" s="30" t="str">
        <f>IF(H808="","",IFERROR(INDEX(Codes!$B$2:$B$13,MATCH(H808,Codes!$A$2:$A$13,0)),""))</f>
        <v/>
      </c>
      <c r="J808" s="23"/>
      <c r="K808" s="23"/>
      <c r="L808" s="23"/>
      <c r="M808" s="23"/>
      <c r="N808" s="23"/>
      <c r="O808" s="23"/>
      <c r="P808" s="23"/>
      <c r="Q808" s="31"/>
      <c r="R808" s="32"/>
      <c r="S808" s="32"/>
      <c r="T808" s="33" t="str">
        <f t="shared" si="24"/>
        <v/>
      </c>
      <c r="U808" s="34"/>
      <c r="V808" s="35"/>
      <c r="W808" s="33" t="str">
        <f t="shared" si="25"/>
        <v/>
      </c>
    </row>
    <row r="809" spans="1:23" x14ac:dyDescent="0.35">
      <c r="A809" s="21" t="str">
        <f>IF(COUNTA(B809:H809,J809:S809,U809:V809)=0,"",IF((IF(B809="","PO Ref, ","")&amp;IF(C809="","Vendor, ","")&amp;IF(D809="","Store, ","")&amp;IF(F809="","Product Type, ","")&amp;IF(G809="","Category, ","")&amp;IF(H809="","HSN Code, ","")&amp;IF(Q809="","Qty, ","")&amp;IF(R809="","Purchase Rate, ","")&amp;IF(S809="","MRP, ",""))&lt;&gt;"","Missing: "&amp;LEFT(IF(B809="","PO Ref, ","")&amp;IF(C809="","Vendor, ","")&amp;IF(D809="","Store, ","")&amp;IF(F809="","Product Type, ","")&amp;IF(G809="","Category, ","")&amp;IF(H809="","HSN Code, ","")&amp;IF(Q809="","Qty, ","")&amp;IF(R809="","Purchase Rate, ","")&amp;IF(S809="","MRP, ",""),LEN(IF(B809="","PO Ref, ","")&amp;IF(C809="","Vendor, ","")&amp;IF(D809="","Store, ","")&amp;IF(F809="","Product Type, ","")&amp;IF(G809="","Category, ","")&amp;IF(H809="","HSN Code, ","")&amp;IF(Q809="","Qty, ","")&amp;IF(R809="","Purchase Rate, ","")&amp;IF(S809="","MRP, ",""))-2),IF(COUNTIF(Vendors!$B$3:$B$202,C809)=0,"Add vendor "&amp;C809&amp;" on the Vendors sheet",IF(ISNA(MATCH(H809,Codes!$A$2:$A$13,0)),"Pick the HSN Code from the list",IF(AND(E809&lt;&gt;"",COUNTIFS($C$3:$C$1002,C809,$E$3:$E$1002,E809,$F$3:$F$1002,"&lt;&gt;"&amp;F809)+COUNTIFS($C$3:$C$1002,C809,$E$3:$E$1002,E809,$G$3:$G$1002,"&lt;&gt;"&amp;G809)&gt;0),"Design "&amp;E809&amp;" has another Product Type or Category on another row",IF(COUNTIFS($F$3:$F$1002,F809,$G$3:$G$1002,G809,$H$3:$H$1002,"&lt;&gt;"&amp;H809)&gt;0,F809&amp;" + "&amp;G809&amp;" has another HSN Code on another row",IF(AND(V809&lt;&gt;"",U809=""),"Received Qty needs the Vendor Invoice No",IF(AND(U809&lt;&gt;"",COUNTIFS(Bills!$B$3:$B$302,U809,Bills!$C$3:$C$302,C809)=0),"Add bill "&amp;U809&amp;" of "&amp;C809&amp;" on the Bills sheet",IF(S809&lt;R809,"MRP is below the Purchase Rate","OK")))))))))</f>
        <v/>
      </c>
      <c r="B809" s="29"/>
      <c r="C809" s="22"/>
      <c r="D809" s="22"/>
      <c r="E809" s="24"/>
      <c r="F809" s="22"/>
      <c r="G809" s="22"/>
      <c r="H809" s="22"/>
      <c r="I809" s="30" t="str">
        <f>IF(H809="","",IFERROR(INDEX(Codes!$B$2:$B$13,MATCH(H809,Codes!$A$2:$A$13,0)),""))</f>
        <v/>
      </c>
      <c r="J809" s="23"/>
      <c r="K809" s="23"/>
      <c r="L809" s="23"/>
      <c r="M809" s="23"/>
      <c r="N809" s="23"/>
      <c r="O809" s="23"/>
      <c r="P809" s="23"/>
      <c r="Q809" s="31"/>
      <c r="R809" s="32"/>
      <c r="S809" s="32"/>
      <c r="T809" s="33" t="str">
        <f t="shared" si="24"/>
        <v/>
      </c>
      <c r="U809" s="34"/>
      <c r="V809" s="35"/>
      <c r="W809" s="33" t="str">
        <f t="shared" si="25"/>
        <v/>
      </c>
    </row>
    <row r="810" spans="1:23" x14ac:dyDescent="0.35">
      <c r="A810" s="21" t="str">
        <f>IF(COUNTA(B810:H810,J810:S810,U810:V810)=0,"",IF((IF(B810="","PO Ref, ","")&amp;IF(C810="","Vendor, ","")&amp;IF(D810="","Store, ","")&amp;IF(F810="","Product Type, ","")&amp;IF(G810="","Category, ","")&amp;IF(H810="","HSN Code, ","")&amp;IF(Q810="","Qty, ","")&amp;IF(R810="","Purchase Rate, ","")&amp;IF(S810="","MRP, ",""))&lt;&gt;"","Missing: "&amp;LEFT(IF(B810="","PO Ref, ","")&amp;IF(C810="","Vendor, ","")&amp;IF(D810="","Store, ","")&amp;IF(F810="","Product Type, ","")&amp;IF(G810="","Category, ","")&amp;IF(H810="","HSN Code, ","")&amp;IF(Q810="","Qty, ","")&amp;IF(R810="","Purchase Rate, ","")&amp;IF(S810="","MRP, ",""),LEN(IF(B810="","PO Ref, ","")&amp;IF(C810="","Vendor, ","")&amp;IF(D810="","Store, ","")&amp;IF(F810="","Product Type, ","")&amp;IF(G810="","Category, ","")&amp;IF(H810="","HSN Code, ","")&amp;IF(Q810="","Qty, ","")&amp;IF(R810="","Purchase Rate, ","")&amp;IF(S810="","MRP, ",""))-2),IF(COUNTIF(Vendors!$B$3:$B$202,C810)=0,"Add vendor "&amp;C810&amp;" on the Vendors sheet",IF(ISNA(MATCH(H810,Codes!$A$2:$A$13,0)),"Pick the HSN Code from the list",IF(AND(E810&lt;&gt;"",COUNTIFS($C$3:$C$1002,C810,$E$3:$E$1002,E810,$F$3:$F$1002,"&lt;&gt;"&amp;F810)+COUNTIFS($C$3:$C$1002,C810,$E$3:$E$1002,E810,$G$3:$G$1002,"&lt;&gt;"&amp;G810)&gt;0),"Design "&amp;E810&amp;" has another Product Type or Category on another row",IF(COUNTIFS($F$3:$F$1002,F810,$G$3:$G$1002,G810,$H$3:$H$1002,"&lt;&gt;"&amp;H810)&gt;0,F810&amp;" + "&amp;G810&amp;" has another HSN Code on another row",IF(AND(V810&lt;&gt;"",U810=""),"Received Qty needs the Vendor Invoice No",IF(AND(U810&lt;&gt;"",COUNTIFS(Bills!$B$3:$B$302,U810,Bills!$C$3:$C$302,C810)=0),"Add bill "&amp;U810&amp;" of "&amp;C810&amp;" on the Bills sheet",IF(S810&lt;R810,"MRP is below the Purchase Rate","OK")))))))))</f>
        <v/>
      </c>
      <c r="B810" s="29"/>
      <c r="C810" s="22"/>
      <c r="D810" s="22"/>
      <c r="E810" s="24"/>
      <c r="F810" s="22"/>
      <c r="G810" s="22"/>
      <c r="H810" s="22"/>
      <c r="I810" s="30" t="str">
        <f>IF(H810="","",IFERROR(INDEX(Codes!$B$2:$B$13,MATCH(H810,Codes!$A$2:$A$13,0)),""))</f>
        <v/>
      </c>
      <c r="J810" s="23"/>
      <c r="K810" s="23"/>
      <c r="L810" s="23"/>
      <c r="M810" s="23"/>
      <c r="N810" s="23"/>
      <c r="O810" s="23"/>
      <c r="P810" s="23"/>
      <c r="Q810" s="31"/>
      <c r="R810" s="32"/>
      <c r="S810" s="32"/>
      <c r="T810" s="33" t="str">
        <f t="shared" si="24"/>
        <v/>
      </c>
      <c r="U810" s="34"/>
      <c r="V810" s="35"/>
      <c r="W810" s="33" t="str">
        <f t="shared" si="25"/>
        <v/>
      </c>
    </row>
    <row r="811" spans="1:23" x14ac:dyDescent="0.35">
      <c r="A811" s="21" t="str">
        <f>IF(COUNTA(B811:H811,J811:S811,U811:V811)=0,"",IF((IF(B811="","PO Ref, ","")&amp;IF(C811="","Vendor, ","")&amp;IF(D811="","Store, ","")&amp;IF(F811="","Product Type, ","")&amp;IF(G811="","Category, ","")&amp;IF(H811="","HSN Code, ","")&amp;IF(Q811="","Qty, ","")&amp;IF(R811="","Purchase Rate, ","")&amp;IF(S811="","MRP, ",""))&lt;&gt;"","Missing: "&amp;LEFT(IF(B811="","PO Ref, ","")&amp;IF(C811="","Vendor, ","")&amp;IF(D811="","Store, ","")&amp;IF(F811="","Product Type, ","")&amp;IF(G811="","Category, ","")&amp;IF(H811="","HSN Code, ","")&amp;IF(Q811="","Qty, ","")&amp;IF(R811="","Purchase Rate, ","")&amp;IF(S811="","MRP, ",""),LEN(IF(B811="","PO Ref, ","")&amp;IF(C811="","Vendor, ","")&amp;IF(D811="","Store, ","")&amp;IF(F811="","Product Type, ","")&amp;IF(G811="","Category, ","")&amp;IF(H811="","HSN Code, ","")&amp;IF(Q811="","Qty, ","")&amp;IF(R811="","Purchase Rate, ","")&amp;IF(S811="","MRP, ",""))-2),IF(COUNTIF(Vendors!$B$3:$B$202,C811)=0,"Add vendor "&amp;C811&amp;" on the Vendors sheet",IF(ISNA(MATCH(H811,Codes!$A$2:$A$13,0)),"Pick the HSN Code from the list",IF(AND(E811&lt;&gt;"",COUNTIFS($C$3:$C$1002,C811,$E$3:$E$1002,E811,$F$3:$F$1002,"&lt;&gt;"&amp;F811)+COUNTIFS($C$3:$C$1002,C811,$E$3:$E$1002,E811,$G$3:$G$1002,"&lt;&gt;"&amp;G811)&gt;0),"Design "&amp;E811&amp;" has another Product Type or Category on another row",IF(COUNTIFS($F$3:$F$1002,F811,$G$3:$G$1002,G811,$H$3:$H$1002,"&lt;&gt;"&amp;H811)&gt;0,F811&amp;" + "&amp;G811&amp;" has another HSN Code on another row",IF(AND(V811&lt;&gt;"",U811=""),"Received Qty needs the Vendor Invoice No",IF(AND(U811&lt;&gt;"",COUNTIFS(Bills!$B$3:$B$302,U811,Bills!$C$3:$C$302,C811)=0),"Add bill "&amp;U811&amp;" of "&amp;C811&amp;" on the Bills sheet",IF(S811&lt;R811,"MRP is below the Purchase Rate","OK")))))))))</f>
        <v/>
      </c>
      <c r="B811" s="29"/>
      <c r="C811" s="22"/>
      <c r="D811" s="22"/>
      <c r="E811" s="24"/>
      <c r="F811" s="22"/>
      <c r="G811" s="22"/>
      <c r="H811" s="22"/>
      <c r="I811" s="30" t="str">
        <f>IF(H811="","",IFERROR(INDEX(Codes!$B$2:$B$13,MATCH(H811,Codes!$A$2:$A$13,0)),""))</f>
        <v/>
      </c>
      <c r="J811" s="23"/>
      <c r="K811" s="23"/>
      <c r="L811" s="23"/>
      <c r="M811" s="23"/>
      <c r="N811" s="23"/>
      <c r="O811" s="23"/>
      <c r="P811" s="23"/>
      <c r="Q811" s="31"/>
      <c r="R811" s="32"/>
      <c r="S811" s="32"/>
      <c r="T811" s="33" t="str">
        <f t="shared" si="24"/>
        <v/>
      </c>
      <c r="U811" s="34"/>
      <c r="V811" s="35"/>
      <c r="W811" s="33" t="str">
        <f t="shared" si="25"/>
        <v/>
      </c>
    </row>
    <row r="812" spans="1:23" x14ac:dyDescent="0.35">
      <c r="A812" s="21" t="str">
        <f>IF(COUNTA(B812:H812,J812:S812,U812:V812)=0,"",IF((IF(B812="","PO Ref, ","")&amp;IF(C812="","Vendor, ","")&amp;IF(D812="","Store, ","")&amp;IF(F812="","Product Type, ","")&amp;IF(G812="","Category, ","")&amp;IF(H812="","HSN Code, ","")&amp;IF(Q812="","Qty, ","")&amp;IF(R812="","Purchase Rate, ","")&amp;IF(S812="","MRP, ",""))&lt;&gt;"","Missing: "&amp;LEFT(IF(B812="","PO Ref, ","")&amp;IF(C812="","Vendor, ","")&amp;IF(D812="","Store, ","")&amp;IF(F812="","Product Type, ","")&amp;IF(G812="","Category, ","")&amp;IF(H812="","HSN Code, ","")&amp;IF(Q812="","Qty, ","")&amp;IF(R812="","Purchase Rate, ","")&amp;IF(S812="","MRP, ",""),LEN(IF(B812="","PO Ref, ","")&amp;IF(C812="","Vendor, ","")&amp;IF(D812="","Store, ","")&amp;IF(F812="","Product Type, ","")&amp;IF(G812="","Category, ","")&amp;IF(H812="","HSN Code, ","")&amp;IF(Q812="","Qty, ","")&amp;IF(R812="","Purchase Rate, ","")&amp;IF(S812="","MRP, ",""))-2),IF(COUNTIF(Vendors!$B$3:$B$202,C812)=0,"Add vendor "&amp;C812&amp;" on the Vendors sheet",IF(ISNA(MATCH(H812,Codes!$A$2:$A$13,0)),"Pick the HSN Code from the list",IF(AND(E812&lt;&gt;"",COUNTIFS($C$3:$C$1002,C812,$E$3:$E$1002,E812,$F$3:$F$1002,"&lt;&gt;"&amp;F812)+COUNTIFS($C$3:$C$1002,C812,$E$3:$E$1002,E812,$G$3:$G$1002,"&lt;&gt;"&amp;G812)&gt;0),"Design "&amp;E812&amp;" has another Product Type or Category on another row",IF(COUNTIFS($F$3:$F$1002,F812,$G$3:$G$1002,G812,$H$3:$H$1002,"&lt;&gt;"&amp;H812)&gt;0,F812&amp;" + "&amp;G812&amp;" has another HSN Code on another row",IF(AND(V812&lt;&gt;"",U812=""),"Received Qty needs the Vendor Invoice No",IF(AND(U812&lt;&gt;"",COUNTIFS(Bills!$B$3:$B$302,U812,Bills!$C$3:$C$302,C812)=0),"Add bill "&amp;U812&amp;" of "&amp;C812&amp;" on the Bills sheet",IF(S812&lt;R812,"MRP is below the Purchase Rate","OK")))))))))</f>
        <v/>
      </c>
      <c r="B812" s="29"/>
      <c r="C812" s="22"/>
      <c r="D812" s="22"/>
      <c r="E812" s="24"/>
      <c r="F812" s="22"/>
      <c r="G812" s="22"/>
      <c r="H812" s="22"/>
      <c r="I812" s="30" t="str">
        <f>IF(H812="","",IFERROR(INDEX(Codes!$B$2:$B$13,MATCH(H812,Codes!$A$2:$A$13,0)),""))</f>
        <v/>
      </c>
      <c r="J812" s="23"/>
      <c r="K812" s="23"/>
      <c r="L812" s="23"/>
      <c r="M812" s="23"/>
      <c r="N812" s="23"/>
      <c r="O812" s="23"/>
      <c r="P812" s="23"/>
      <c r="Q812" s="31"/>
      <c r="R812" s="32"/>
      <c r="S812" s="32"/>
      <c r="T812" s="33" t="str">
        <f t="shared" si="24"/>
        <v/>
      </c>
      <c r="U812" s="34"/>
      <c r="V812" s="35"/>
      <c r="W812" s="33" t="str">
        <f t="shared" si="25"/>
        <v/>
      </c>
    </row>
    <row r="813" spans="1:23" x14ac:dyDescent="0.35">
      <c r="A813" s="21" t="str">
        <f>IF(COUNTA(B813:H813,J813:S813,U813:V813)=0,"",IF((IF(B813="","PO Ref, ","")&amp;IF(C813="","Vendor, ","")&amp;IF(D813="","Store, ","")&amp;IF(F813="","Product Type, ","")&amp;IF(G813="","Category, ","")&amp;IF(H813="","HSN Code, ","")&amp;IF(Q813="","Qty, ","")&amp;IF(R813="","Purchase Rate, ","")&amp;IF(S813="","MRP, ",""))&lt;&gt;"","Missing: "&amp;LEFT(IF(B813="","PO Ref, ","")&amp;IF(C813="","Vendor, ","")&amp;IF(D813="","Store, ","")&amp;IF(F813="","Product Type, ","")&amp;IF(G813="","Category, ","")&amp;IF(H813="","HSN Code, ","")&amp;IF(Q813="","Qty, ","")&amp;IF(R813="","Purchase Rate, ","")&amp;IF(S813="","MRP, ",""),LEN(IF(B813="","PO Ref, ","")&amp;IF(C813="","Vendor, ","")&amp;IF(D813="","Store, ","")&amp;IF(F813="","Product Type, ","")&amp;IF(G813="","Category, ","")&amp;IF(H813="","HSN Code, ","")&amp;IF(Q813="","Qty, ","")&amp;IF(R813="","Purchase Rate, ","")&amp;IF(S813="","MRP, ",""))-2),IF(COUNTIF(Vendors!$B$3:$B$202,C813)=0,"Add vendor "&amp;C813&amp;" on the Vendors sheet",IF(ISNA(MATCH(H813,Codes!$A$2:$A$13,0)),"Pick the HSN Code from the list",IF(AND(E813&lt;&gt;"",COUNTIFS($C$3:$C$1002,C813,$E$3:$E$1002,E813,$F$3:$F$1002,"&lt;&gt;"&amp;F813)+COUNTIFS($C$3:$C$1002,C813,$E$3:$E$1002,E813,$G$3:$G$1002,"&lt;&gt;"&amp;G813)&gt;0),"Design "&amp;E813&amp;" has another Product Type or Category on another row",IF(COUNTIFS($F$3:$F$1002,F813,$G$3:$G$1002,G813,$H$3:$H$1002,"&lt;&gt;"&amp;H813)&gt;0,F813&amp;" + "&amp;G813&amp;" has another HSN Code on another row",IF(AND(V813&lt;&gt;"",U813=""),"Received Qty needs the Vendor Invoice No",IF(AND(U813&lt;&gt;"",COUNTIFS(Bills!$B$3:$B$302,U813,Bills!$C$3:$C$302,C813)=0),"Add bill "&amp;U813&amp;" of "&amp;C813&amp;" on the Bills sheet",IF(S813&lt;R813,"MRP is below the Purchase Rate","OK")))))))))</f>
        <v/>
      </c>
      <c r="B813" s="29"/>
      <c r="C813" s="22"/>
      <c r="D813" s="22"/>
      <c r="E813" s="24"/>
      <c r="F813" s="22"/>
      <c r="G813" s="22"/>
      <c r="H813" s="22"/>
      <c r="I813" s="30" t="str">
        <f>IF(H813="","",IFERROR(INDEX(Codes!$B$2:$B$13,MATCH(H813,Codes!$A$2:$A$13,0)),""))</f>
        <v/>
      </c>
      <c r="J813" s="23"/>
      <c r="K813" s="23"/>
      <c r="L813" s="23"/>
      <c r="M813" s="23"/>
      <c r="N813" s="23"/>
      <c r="O813" s="23"/>
      <c r="P813" s="23"/>
      <c r="Q813" s="31"/>
      <c r="R813" s="32"/>
      <c r="S813" s="32"/>
      <c r="T813" s="33" t="str">
        <f t="shared" si="24"/>
        <v/>
      </c>
      <c r="U813" s="34"/>
      <c r="V813" s="35"/>
      <c r="W813" s="33" t="str">
        <f t="shared" si="25"/>
        <v/>
      </c>
    </row>
    <row r="814" spans="1:23" x14ac:dyDescent="0.35">
      <c r="A814" s="21" t="str">
        <f>IF(COUNTA(B814:H814,J814:S814,U814:V814)=0,"",IF((IF(B814="","PO Ref, ","")&amp;IF(C814="","Vendor, ","")&amp;IF(D814="","Store, ","")&amp;IF(F814="","Product Type, ","")&amp;IF(G814="","Category, ","")&amp;IF(H814="","HSN Code, ","")&amp;IF(Q814="","Qty, ","")&amp;IF(R814="","Purchase Rate, ","")&amp;IF(S814="","MRP, ",""))&lt;&gt;"","Missing: "&amp;LEFT(IF(B814="","PO Ref, ","")&amp;IF(C814="","Vendor, ","")&amp;IF(D814="","Store, ","")&amp;IF(F814="","Product Type, ","")&amp;IF(G814="","Category, ","")&amp;IF(H814="","HSN Code, ","")&amp;IF(Q814="","Qty, ","")&amp;IF(R814="","Purchase Rate, ","")&amp;IF(S814="","MRP, ",""),LEN(IF(B814="","PO Ref, ","")&amp;IF(C814="","Vendor, ","")&amp;IF(D814="","Store, ","")&amp;IF(F814="","Product Type, ","")&amp;IF(G814="","Category, ","")&amp;IF(H814="","HSN Code, ","")&amp;IF(Q814="","Qty, ","")&amp;IF(R814="","Purchase Rate, ","")&amp;IF(S814="","MRP, ",""))-2),IF(COUNTIF(Vendors!$B$3:$B$202,C814)=0,"Add vendor "&amp;C814&amp;" on the Vendors sheet",IF(ISNA(MATCH(H814,Codes!$A$2:$A$13,0)),"Pick the HSN Code from the list",IF(AND(E814&lt;&gt;"",COUNTIFS($C$3:$C$1002,C814,$E$3:$E$1002,E814,$F$3:$F$1002,"&lt;&gt;"&amp;F814)+COUNTIFS($C$3:$C$1002,C814,$E$3:$E$1002,E814,$G$3:$G$1002,"&lt;&gt;"&amp;G814)&gt;0),"Design "&amp;E814&amp;" has another Product Type or Category on another row",IF(COUNTIFS($F$3:$F$1002,F814,$G$3:$G$1002,G814,$H$3:$H$1002,"&lt;&gt;"&amp;H814)&gt;0,F814&amp;" + "&amp;G814&amp;" has another HSN Code on another row",IF(AND(V814&lt;&gt;"",U814=""),"Received Qty needs the Vendor Invoice No",IF(AND(U814&lt;&gt;"",COUNTIFS(Bills!$B$3:$B$302,U814,Bills!$C$3:$C$302,C814)=0),"Add bill "&amp;U814&amp;" of "&amp;C814&amp;" on the Bills sheet",IF(S814&lt;R814,"MRP is below the Purchase Rate","OK")))))))))</f>
        <v/>
      </c>
      <c r="B814" s="29"/>
      <c r="C814" s="22"/>
      <c r="D814" s="22"/>
      <c r="E814" s="24"/>
      <c r="F814" s="22"/>
      <c r="G814" s="22"/>
      <c r="H814" s="22"/>
      <c r="I814" s="30" t="str">
        <f>IF(H814="","",IFERROR(INDEX(Codes!$B$2:$B$13,MATCH(H814,Codes!$A$2:$A$13,0)),""))</f>
        <v/>
      </c>
      <c r="J814" s="23"/>
      <c r="K814" s="23"/>
      <c r="L814" s="23"/>
      <c r="M814" s="23"/>
      <c r="N814" s="23"/>
      <c r="O814" s="23"/>
      <c r="P814" s="23"/>
      <c r="Q814" s="31"/>
      <c r="R814" s="32"/>
      <c r="S814" s="32"/>
      <c r="T814" s="33" t="str">
        <f t="shared" si="24"/>
        <v/>
      </c>
      <c r="U814" s="34"/>
      <c r="V814" s="35"/>
      <c r="W814" s="33" t="str">
        <f t="shared" si="25"/>
        <v/>
      </c>
    </row>
    <row r="815" spans="1:23" x14ac:dyDescent="0.35">
      <c r="A815" s="21" t="str">
        <f>IF(COUNTA(B815:H815,J815:S815,U815:V815)=0,"",IF((IF(B815="","PO Ref, ","")&amp;IF(C815="","Vendor, ","")&amp;IF(D815="","Store, ","")&amp;IF(F815="","Product Type, ","")&amp;IF(G815="","Category, ","")&amp;IF(H815="","HSN Code, ","")&amp;IF(Q815="","Qty, ","")&amp;IF(R815="","Purchase Rate, ","")&amp;IF(S815="","MRP, ",""))&lt;&gt;"","Missing: "&amp;LEFT(IF(B815="","PO Ref, ","")&amp;IF(C815="","Vendor, ","")&amp;IF(D815="","Store, ","")&amp;IF(F815="","Product Type, ","")&amp;IF(G815="","Category, ","")&amp;IF(H815="","HSN Code, ","")&amp;IF(Q815="","Qty, ","")&amp;IF(R815="","Purchase Rate, ","")&amp;IF(S815="","MRP, ",""),LEN(IF(B815="","PO Ref, ","")&amp;IF(C815="","Vendor, ","")&amp;IF(D815="","Store, ","")&amp;IF(F815="","Product Type, ","")&amp;IF(G815="","Category, ","")&amp;IF(H815="","HSN Code, ","")&amp;IF(Q815="","Qty, ","")&amp;IF(R815="","Purchase Rate, ","")&amp;IF(S815="","MRP, ",""))-2),IF(COUNTIF(Vendors!$B$3:$B$202,C815)=0,"Add vendor "&amp;C815&amp;" on the Vendors sheet",IF(ISNA(MATCH(H815,Codes!$A$2:$A$13,0)),"Pick the HSN Code from the list",IF(AND(E815&lt;&gt;"",COUNTIFS($C$3:$C$1002,C815,$E$3:$E$1002,E815,$F$3:$F$1002,"&lt;&gt;"&amp;F815)+COUNTIFS($C$3:$C$1002,C815,$E$3:$E$1002,E815,$G$3:$G$1002,"&lt;&gt;"&amp;G815)&gt;0),"Design "&amp;E815&amp;" has another Product Type or Category on another row",IF(COUNTIFS($F$3:$F$1002,F815,$G$3:$G$1002,G815,$H$3:$H$1002,"&lt;&gt;"&amp;H815)&gt;0,F815&amp;" + "&amp;G815&amp;" has another HSN Code on another row",IF(AND(V815&lt;&gt;"",U815=""),"Received Qty needs the Vendor Invoice No",IF(AND(U815&lt;&gt;"",COUNTIFS(Bills!$B$3:$B$302,U815,Bills!$C$3:$C$302,C815)=0),"Add bill "&amp;U815&amp;" of "&amp;C815&amp;" on the Bills sheet",IF(S815&lt;R815,"MRP is below the Purchase Rate","OK")))))))))</f>
        <v/>
      </c>
      <c r="B815" s="29"/>
      <c r="C815" s="22"/>
      <c r="D815" s="22"/>
      <c r="E815" s="24"/>
      <c r="F815" s="22"/>
      <c r="G815" s="22"/>
      <c r="H815" s="22"/>
      <c r="I815" s="30" t="str">
        <f>IF(H815="","",IFERROR(INDEX(Codes!$B$2:$B$13,MATCH(H815,Codes!$A$2:$A$13,0)),""))</f>
        <v/>
      </c>
      <c r="J815" s="23"/>
      <c r="K815" s="23"/>
      <c r="L815" s="23"/>
      <c r="M815" s="23"/>
      <c r="N815" s="23"/>
      <c r="O815" s="23"/>
      <c r="P815" s="23"/>
      <c r="Q815" s="31"/>
      <c r="R815" s="32"/>
      <c r="S815" s="32"/>
      <c r="T815" s="33" t="str">
        <f t="shared" si="24"/>
        <v/>
      </c>
      <c r="U815" s="34"/>
      <c r="V815" s="35"/>
      <c r="W815" s="33" t="str">
        <f t="shared" si="25"/>
        <v/>
      </c>
    </row>
    <row r="816" spans="1:23" x14ac:dyDescent="0.35">
      <c r="A816" s="21" t="str">
        <f>IF(COUNTA(B816:H816,J816:S816,U816:V816)=0,"",IF((IF(B816="","PO Ref, ","")&amp;IF(C816="","Vendor, ","")&amp;IF(D816="","Store, ","")&amp;IF(F816="","Product Type, ","")&amp;IF(G816="","Category, ","")&amp;IF(H816="","HSN Code, ","")&amp;IF(Q816="","Qty, ","")&amp;IF(R816="","Purchase Rate, ","")&amp;IF(S816="","MRP, ",""))&lt;&gt;"","Missing: "&amp;LEFT(IF(B816="","PO Ref, ","")&amp;IF(C816="","Vendor, ","")&amp;IF(D816="","Store, ","")&amp;IF(F816="","Product Type, ","")&amp;IF(G816="","Category, ","")&amp;IF(H816="","HSN Code, ","")&amp;IF(Q816="","Qty, ","")&amp;IF(R816="","Purchase Rate, ","")&amp;IF(S816="","MRP, ",""),LEN(IF(B816="","PO Ref, ","")&amp;IF(C816="","Vendor, ","")&amp;IF(D816="","Store, ","")&amp;IF(F816="","Product Type, ","")&amp;IF(G816="","Category, ","")&amp;IF(H816="","HSN Code, ","")&amp;IF(Q816="","Qty, ","")&amp;IF(R816="","Purchase Rate, ","")&amp;IF(S816="","MRP, ",""))-2),IF(COUNTIF(Vendors!$B$3:$B$202,C816)=0,"Add vendor "&amp;C816&amp;" on the Vendors sheet",IF(ISNA(MATCH(H816,Codes!$A$2:$A$13,0)),"Pick the HSN Code from the list",IF(AND(E816&lt;&gt;"",COUNTIFS($C$3:$C$1002,C816,$E$3:$E$1002,E816,$F$3:$F$1002,"&lt;&gt;"&amp;F816)+COUNTIFS($C$3:$C$1002,C816,$E$3:$E$1002,E816,$G$3:$G$1002,"&lt;&gt;"&amp;G816)&gt;0),"Design "&amp;E816&amp;" has another Product Type or Category on another row",IF(COUNTIFS($F$3:$F$1002,F816,$G$3:$G$1002,G816,$H$3:$H$1002,"&lt;&gt;"&amp;H816)&gt;0,F816&amp;" + "&amp;G816&amp;" has another HSN Code on another row",IF(AND(V816&lt;&gt;"",U816=""),"Received Qty needs the Vendor Invoice No",IF(AND(U816&lt;&gt;"",COUNTIFS(Bills!$B$3:$B$302,U816,Bills!$C$3:$C$302,C816)=0),"Add bill "&amp;U816&amp;" of "&amp;C816&amp;" on the Bills sheet",IF(S816&lt;R816,"MRP is below the Purchase Rate","OK")))))))))</f>
        <v/>
      </c>
      <c r="B816" s="29"/>
      <c r="C816" s="22"/>
      <c r="D816" s="22"/>
      <c r="E816" s="24"/>
      <c r="F816" s="22"/>
      <c r="G816" s="22"/>
      <c r="H816" s="22"/>
      <c r="I816" s="30" t="str">
        <f>IF(H816="","",IFERROR(INDEX(Codes!$B$2:$B$13,MATCH(H816,Codes!$A$2:$A$13,0)),""))</f>
        <v/>
      </c>
      <c r="J816" s="23"/>
      <c r="K816" s="23"/>
      <c r="L816" s="23"/>
      <c r="M816" s="23"/>
      <c r="N816" s="23"/>
      <c r="O816" s="23"/>
      <c r="P816" s="23"/>
      <c r="Q816" s="31"/>
      <c r="R816" s="32"/>
      <c r="S816" s="32"/>
      <c r="T816" s="33" t="str">
        <f t="shared" si="24"/>
        <v/>
      </c>
      <c r="U816" s="34"/>
      <c r="V816" s="35"/>
      <c r="W816" s="33" t="str">
        <f t="shared" si="25"/>
        <v/>
      </c>
    </row>
    <row r="817" spans="1:23" x14ac:dyDescent="0.35">
      <c r="A817" s="21" t="str">
        <f>IF(COUNTA(B817:H817,J817:S817,U817:V817)=0,"",IF((IF(B817="","PO Ref, ","")&amp;IF(C817="","Vendor, ","")&amp;IF(D817="","Store, ","")&amp;IF(F817="","Product Type, ","")&amp;IF(G817="","Category, ","")&amp;IF(H817="","HSN Code, ","")&amp;IF(Q817="","Qty, ","")&amp;IF(R817="","Purchase Rate, ","")&amp;IF(S817="","MRP, ",""))&lt;&gt;"","Missing: "&amp;LEFT(IF(B817="","PO Ref, ","")&amp;IF(C817="","Vendor, ","")&amp;IF(D817="","Store, ","")&amp;IF(F817="","Product Type, ","")&amp;IF(G817="","Category, ","")&amp;IF(H817="","HSN Code, ","")&amp;IF(Q817="","Qty, ","")&amp;IF(R817="","Purchase Rate, ","")&amp;IF(S817="","MRP, ",""),LEN(IF(B817="","PO Ref, ","")&amp;IF(C817="","Vendor, ","")&amp;IF(D817="","Store, ","")&amp;IF(F817="","Product Type, ","")&amp;IF(G817="","Category, ","")&amp;IF(H817="","HSN Code, ","")&amp;IF(Q817="","Qty, ","")&amp;IF(R817="","Purchase Rate, ","")&amp;IF(S817="","MRP, ",""))-2),IF(COUNTIF(Vendors!$B$3:$B$202,C817)=0,"Add vendor "&amp;C817&amp;" on the Vendors sheet",IF(ISNA(MATCH(H817,Codes!$A$2:$A$13,0)),"Pick the HSN Code from the list",IF(AND(E817&lt;&gt;"",COUNTIFS($C$3:$C$1002,C817,$E$3:$E$1002,E817,$F$3:$F$1002,"&lt;&gt;"&amp;F817)+COUNTIFS($C$3:$C$1002,C817,$E$3:$E$1002,E817,$G$3:$G$1002,"&lt;&gt;"&amp;G817)&gt;0),"Design "&amp;E817&amp;" has another Product Type or Category on another row",IF(COUNTIFS($F$3:$F$1002,F817,$G$3:$G$1002,G817,$H$3:$H$1002,"&lt;&gt;"&amp;H817)&gt;0,F817&amp;" + "&amp;G817&amp;" has another HSN Code on another row",IF(AND(V817&lt;&gt;"",U817=""),"Received Qty needs the Vendor Invoice No",IF(AND(U817&lt;&gt;"",COUNTIFS(Bills!$B$3:$B$302,U817,Bills!$C$3:$C$302,C817)=0),"Add bill "&amp;U817&amp;" of "&amp;C817&amp;" on the Bills sheet",IF(S817&lt;R817,"MRP is below the Purchase Rate","OK")))))))))</f>
        <v/>
      </c>
      <c r="B817" s="29"/>
      <c r="C817" s="22"/>
      <c r="D817" s="22"/>
      <c r="E817" s="24"/>
      <c r="F817" s="22"/>
      <c r="G817" s="22"/>
      <c r="H817" s="22"/>
      <c r="I817" s="30" t="str">
        <f>IF(H817="","",IFERROR(INDEX(Codes!$B$2:$B$13,MATCH(H817,Codes!$A$2:$A$13,0)),""))</f>
        <v/>
      </c>
      <c r="J817" s="23"/>
      <c r="K817" s="23"/>
      <c r="L817" s="23"/>
      <c r="M817" s="23"/>
      <c r="N817" s="23"/>
      <c r="O817" s="23"/>
      <c r="P817" s="23"/>
      <c r="Q817" s="31"/>
      <c r="R817" s="32"/>
      <c r="S817" s="32"/>
      <c r="T817" s="33" t="str">
        <f t="shared" si="24"/>
        <v/>
      </c>
      <c r="U817" s="34"/>
      <c r="V817" s="35"/>
      <c r="W817" s="33" t="str">
        <f t="shared" si="25"/>
        <v/>
      </c>
    </row>
    <row r="818" spans="1:23" x14ac:dyDescent="0.35">
      <c r="A818" s="21" t="str">
        <f>IF(COUNTA(B818:H818,J818:S818,U818:V818)=0,"",IF((IF(B818="","PO Ref, ","")&amp;IF(C818="","Vendor, ","")&amp;IF(D818="","Store, ","")&amp;IF(F818="","Product Type, ","")&amp;IF(G818="","Category, ","")&amp;IF(H818="","HSN Code, ","")&amp;IF(Q818="","Qty, ","")&amp;IF(R818="","Purchase Rate, ","")&amp;IF(S818="","MRP, ",""))&lt;&gt;"","Missing: "&amp;LEFT(IF(B818="","PO Ref, ","")&amp;IF(C818="","Vendor, ","")&amp;IF(D818="","Store, ","")&amp;IF(F818="","Product Type, ","")&amp;IF(G818="","Category, ","")&amp;IF(H818="","HSN Code, ","")&amp;IF(Q818="","Qty, ","")&amp;IF(R818="","Purchase Rate, ","")&amp;IF(S818="","MRP, ",""),LEN(IF(B818="","PO Ref, ","")&amp;IF(C818="","Vendor, ","")&amp;IF(D818="","Store, ","")&amp;IF(F818="","Product Type, ","")&amp;IF(G818="","Category, ","")&amp;IF(H818="","HSN Code, ","")&amp;IF(Q818="","Qty, ","")&amp;IF(R818="","Purchase Rate, ","")&amp;IF(S818="","MRP, ",""))-2),IF(COUNTIF(Vendors!$B$3:$B$202,C818)=0,"Add vendor "&amp;C818&amp;" on the Vendors sheet",IF(ISNA(MATCH(H818,Codes!$A$2:$A$13,0)),"Pick the HSN Code from the list",IF(AND(E818&lt;&gt;"",COUNTIFS($C$3:$C$1002,C818,$E$3:$E$1002,E818,$F$3:$F$1002,"&lt;&gt;"&amp;F818)+COUNTIFS($C$3:$C$1002,C818,$E$3:$E$1002,E818,$G$3:$G$1002,"&lt;&gt;"&amp;G818)&gt;0),"Design "&amp;E818&amp;" has another Product Type or Category on another row",IF(COUNTIFS($F$3:$F$1002,F818,$G$3:$G$1002,G818,$H$3:$H$1002,"&lt;&gt;"&amp;H818)&gt;0,F818&amp;" + "&amp;G818&amp;" has another HSN Code on another row",IF(AND(V818&lt;&gt;"",U818=""),"Received Qty needs the Vendor Invoice No",IF(AND(U818&lt;&gt;"",COUNTIFS(Bills!$B$3:$B$302,U818,Bills!$C$3:$C$302,C818)=0),"Add bill "&amp;U818&amp;" of "&amp;C818&amp;" on the Bills sheet",IF(S818&lt;R818,"MRP is below the Purchase Rate","OK")))))))))</f>
        <v/>
      </c>
      <c r="B818" s="29"/>
      <c r="C818" s="22"/>
      <c r="D818" s="22"/>
      <c r="E818" s="24"/>
      <c r="F818" s="22"/>
      <c r="G818" s="22"/>
      <c r="H818" s="22"/>
      <c r="I818" s="30" t="str">
        <f>IF(H818="","",IFERROR(INDEX(Codes!$B$2:$B$13,MATCH(H818,Codes!$A$2:$A$13,0)),""))</f>
        <v/>
      </c>
      <c r="J818" s="23"/>
      <c r="K818" s="23"/>
      <c r="L818" s="23"/>
      <c r="M818" s="23"/>
      <c r="N818" s="23"/>
      <c r="O818" s="23"/>
      <c r="P818" s="23"/>
      <c r="Q818" s="31"/>
      <c r="R818" s="32"/>
      <c r="S818" s="32"/>
      <c r="T818" s="33" t="str">
        <f t="shared" si="24"/>
        <v/>
      </c>
      <c r="U818" s="34"/>
      <c r="V818" s="35"/>
      <c r="W818" s="33" t="str">
        <f t="shared" si="25"/>
        <v/>
      </c>
    </row>
    <row r="819" spans="1:23" x14ac:dyDescent="0.35">
      <c r="A819" s="21" t="str">
        <f>IF(COUNTA(B819:H819,J819:S819,U819:V819)=0,"",IF((IF(B819="","PO Ref, ","")&amp;IF(C819="","Vendor, ","")&amp;IF(D819="","Store, ","")&amp;IF(F819="","Product Type, ","")&amp;IF(G819="","Category, ","")&amp;IF(H819="","HSN Code, ","")&amp;IF(Q819="","Qty, ","")&amp;IF(R819="","Purchase Rate, ","")&amp;IF(S819="","MRP, ",""))&lt;&gt;"","Missing: "&amp;LEFT(IF(B819="","PO Ref, ","")&amp;IF(C819="","Vendor, ","")&amp;IF(D819="","Store, ","")&amp;IF(F819="","Product Type, ","")&amp;IF(G819="","Category, ","")&amp;IF(H819="","HSN Code, ","")&amp;IF(Q819="","Qty, ","")&amp;IF(R819="","Purchase Rate, ","")&amp;IF(S819="","MRP, ",""),LEN(IF(B819="","PO Ref, ","")&amp;IF(C819="","Vendor, ","")&amp;IF(D819="","Store, ","")&amp;IF(F819="","Product Type, ","")&amp;IF(G819="","Category, ","")&amp;IF(H819="","HSN Code, ","")&amp;IF(Q819="","Qty, ","")&amp;IF(R819="","Purchase Rate, ","")&amp;IF(S819="","MRP, ",""))-2),IF(COUNTIF(Vendors!$B$3:$B$202,C819)=0,"Add vendor "&amp;C819&amp;" on the Vendors sheet",IF(ISNA(MATCH(H819,Codes!$A$2:$A$13,0)),"Pick the HSN Code from the list",IF(AND(E819&lt;&gt;"",COUNTIFS($C$3:$C$1002,C819,$E$3:$E$1002,E819,$F$3:$F$1002,"&lt;&gt;"&amp;F819)+COUNTIFS($C$3:$C$1002,C819,$E$3:$E$1002,E819,$G$3:$G$1002,"&lt;&gt;"&amp;G819)&gt;0),"Design "&amp;E819&amp;" has another Product Type or Category on another row",IF(COUNTIFS($F$3:$F$1002,F819,$G$3:$G$1002,G819,$H$3:$H$1002,"&lt;&gt;"&amp;H819)&gt;0,F819&amp;" + "&amp;G819&amp;" has another HSN Code on another row",IF(AND(V819&lt;&gt;"",U819=""),"Received Qty needs the Vendor Invoice No",IF(AND(U819&lt;&gt;"",COUNTIFS(Bills!$B$3:$B$302,U819,Bills!$C$3:$C$302,C819)=0),"Add bill "&amp;U819&amp;" of "&amp;C819&amp;" on the Bills sheet",IF(S819&lt;R819,"MRP is below the Purchase Rate","OK")))))))))</f>
        <v/>
      </c>
      <c r="B819" s="29"/>
      <c r="C819" s="22"/>
      <c r="D819" s="22"/>
      <c r="E819" s="24"/>
      <c r="F819" s="22"/>
      <c r="G819" s="22"/>
      <c r="H819" s="22"/>
      <c r="I819" s="30" t="str">
        <f>IF(H819="","",IFERROR(INDEX(Codes!$B$2:$B$13,MATCH(H819,Codes!$A$2:$A$13,0)),""))</f>
        <v/>
      </c>
      <c r="J819" s="23"/>
      <c r="K819" s="23"/>
      <c r="L819" s="23"/>
      <c r="M819" s="23"/>
      <c r="N819" s="23"/>
      <c r="O819" s="23"/>
      <c r="P819" s="23"/>
      <c r="Q819" s="31"/>
      <c r="R819" s="32"/>
      <c r="S819" s="32"/>
      <c r="T819" s="33" t="str">
        <f t="shared" si="24"/>
        <v/>
      </c>
      <c r="U819" s="34"/>
      <c r="V819" s="35"/>
      <c r="W819" s="33" t="str">
        <f t="shared" si="25"/>
        <v/>
      </c>
    </row>
    <row r="820" spans="1:23" x14ac:dyDescent="0.35">
      <c r="A820" s="21" t="str">
        <f>IF(COUNTA(B820:H820,J820:S820,U820:V820)=0,"",IF((IF(B820="","PO Ref, ","")&amp;IF(C820="","Vendor, ","")&amp;IF(D820="","Store, ","")&amp;IF(F820="","Product Type, ","")&amp;IF(G820="","Category, ","")&amp;IF(H820="","HSN Code, ","")&amp;IF(Q820="","Qty, ","")&amp;IF(R820="","Purchase Rate, ","")&amp;IF(S820="","MRP, ",""))&lt;&gt;"","Missing: "&amp;LEFT(IF(B820="","PO Ref, ","")&amp;IF(C820="","Vendor, ","")&amp;IF(D820="","Store, ","")&amp;IF(F820="","Product Type, ","")&amp;IF(G820="","Category, ","")&amp;IF(H820="","HSN Code, ","")&amp;IF(Q820="","Qty, ","")&amp;IF(R820="","Purchase Rate, ","")&amp;IF(S820="","MRP, ",""),LEN(IF(B820="","PO Ref, ","")&amp;IF(C820="","Vendor, ","")&amp;IF(D820="","Store, ","")&amp;IF(F820="","Product Type, ","")&amp;IF(G820="","Category, ","")&amp;IF(H820="","HSN Code, ","")&amp;IF(Q820="","Qty, ","")&amp;IF(R820="","Purchase Rate, ","")&amp;IF(S820="","MRP, ",""))-2),IF(COUNTIF(Vendors!$B$3:$B$202,C820)=0,"Add vendor "&amp;C820&amp;" on the Vendors sheet",IF(ISNA(MATCH(H820,Codes!$A$2:$A$13,0)),"Pick the HSN Code from the list",IF(AND(E820&lt;&gt;"",COUNTIFS($C$3:$C$1002,C820,$E$3:$E$1002,E820,$F$3:$F$1002,"&lt;&gt;"&amp;F820)+COUNTIFS($C$3:$C$1002,C820,$E$3:$E$1002,E820,$G$3:$G$1002,"&lt;&gt;"&amp;G820)&gt;0),"Design "&amp;E820&amp;" has another Product Type or Category on another row",IF(COUNTIFS($F$3:$F$1002,F820,$G$3:$G$1002,G820,$H$3:$H$1002,"&lt;&gt;"&amp;H820)&gt;0,F820&amp;" + "&amp;G820&amp;" has another HSN Code on another row",IF(AND(V820&lt;&gt;"",U820=""),"Received Qty needs the Vendor Invoice No",IF(AND(U820&lt;&gt;"",COUNTIFS(Bills!$B$3:$B$302,U820,Bills!$C$3:$C$302,C820)=0),"Add bill "&amp;U820&amp;" of "&amp;C820&amp;" on the Bills sheet",IF(S820&lt;R820,"MRP is below the Purchase Rate","OK")))))))))</f>
        <v/>
      </c>
      <c r="B820" s="29"/>
      <c r="C820" s="22"/>
      <c r="D820" s="22"/>
      <c r="E820" s="24"/>
      <c r="F820" s="22"/>
      <c r="G820" s="22"/>
      <c r="H820" s="22"/>
      <c r="I820" s="30" t="str">
        <f>IF(H820="","",IFERROR(INDEX(Codes!$B$2:$B$13,MATCH(H820,Codes!$A$2:$A$13,0)),""))</f>
        <v/>
      </c>
      <c r="J820" s="23"/>
      <c r="K820" s="23"/>
      <c r="L820" s="23"/>
      <c r="M820" s="23"/>
      <c r="N820" s="23"/>
      <c r="O820" s="23"/>
      <c r="P820" s="23"/>
      <c r="Q820" s="31"/>
      <c r="R820" s="32"/>
      <c r="S820" s="32"/>
      <c r="T820" s="33" t="str">
        <f t="shared" si="24"/>
        <v/>
      </c>
      <c r="U820" s="34"/>
      <c r="V820" s="35"/>
      <c r="W820" s="33" t="str">
        <f t="shared" si="25"/>
        <v/>
      </c>
    </row>
    <row r="821" spans="1:23" x14ac:dyDescent="0.35">
      <c r="A821" s="21" t="str">
        <f>IF(COUNTA(B821:H821,J821:S821,U821:V821)=0,"",IF((IF(B821="","PO Ref, ","")&amp;IF(C821="","Vendor, ","")&amp;IF(D821="","Store, ","")&amp;IF(F821="","Product Type, ","")&amp;IF(G821="","Category, ","")&amp;IF(H821="","HSN Code, ","")&amp;IF(Q821="","Qty, ","")&amp;IF(R821="","Purchase Rate, ","")&amp;IF(S821="","MRP, ",""))&lt;&gt;"","Missing: "&amp;LEFT(IF(B821="","PO Ref, ","")&amp;IF(C821="","Vendor, ","")&amp;IF(D821="","Store, ","")&amp;IF(F821="","Product Type, ","")&amp;IF(G821="","Category, ","")&amp;IF(H821="","HSN Code, ","")&amp;IF(Q821="","Qty, ","")&amp;IF(R821="","Purchase Rate, ","")&amp;IF(S821="","MRP, ",""),LEN(IF(B821="","PO Ref, ","")&amp;IF(C821="","Vendor, ","")&amp;IF(D821="","Store, ","")&amp;IF(F821="","Product Type, ","")&amp;IF(G821="","Category, ","")&amp;IF(H821="","HSN Code, ","")&amp;IF(Q821="","Qty, ","")&amp;IF(R821="","Purchase Rate, ","")&amp;IF(S821="","MRP, ",""))-2),IF(COUNTIF(Vendors!$B$3:$B$202,C821)=0,"Add vendor "&amp;C821&amp;" on the Vendors sheet",IF(ISNA(MATCH(H821,Codes!$A$2:$A$13,0)),"Pick the HSN Code from the list",IF(AND(E821&lt;&gt;"",COUNTIFS($C$3:$C$1002,C821,$E$3:$E$1002,E821,$F$3:$F$1002,"&lt;&gt;"&amp;F821)+COUNTIFS($C$3:$C$1002,C821,$E$3:$E$1002,E821,$G$3:$G$1002,"&lt;&gt;"&amp;G821)&gt;0),"Design "&amp;E821&amp;" has another Product Type or Category on another row",IF(COUNTIFS($F$3:$F$1002,F821,$G$3:$G$1002,G821,$H$3:$H$1002,"&lt;&gt;"&amp;H821)&gt;0,F821&amp;" + "&amp;G821&amp;" has another HSN Code on another row",IF(AND(V821&lt;&gt;"",U821=""),"Received Qty needs the Vendor Invoice No",IF(AND(U821&lt;&gt;"",COUNTIFS(Bills!$B$3:$B$302,U821,Bills!$C$3:$C$302,C821)=0),"Add bill "&amp;U821&amp;" of "&amp;C821&amp;" on the Bills sheet",IF(S821&lt;R821,"MRP is below the Purchase Rate","OK")))))))))</f>
        <v/>
      </c>
      <c r="B821" s="29"/>
      <c r="C821" s="22"/>
      <c r="D821" s="22"/>
      <c r="E821" s="24"/>
      <c r="F821" s="22"/>
      <c r="G821" s="22"/>
      <c r="H821" s="22"/>
      <c r="I821" s="30" t="str">
        <f>IF(H821="","",IFERROR(INDEX(Codes!$B$2:$B$13,MATCH(H821,Codes!$A$2:$A$13,0)),""))</f>
        <v/>
      </c>
      <c r="J821" s="23"/>
      <c r="K821" s="23"/>
      <c r="L821" s="23"/>
      <c r="M821" s="23"/>
      <c r="N821" s="23"/>
      <c r="O821" s="23"/>
      <c r="P821" s="23"/>
      <c r="Q821" s="31"/>
      <c r="R821" s="32"/>
      <c r="S821" s="32"/>
      <c r="T821" s="33" t="str">
        <f t="shared" si="24"/>
        <v/>
      </c>
      <c r="U821" s="34"/>
      <c r="V821" s="35"/>
      <c r="W821" s="33" t="str">
        <f t="shared" si="25"/>
        <v/>
      </c>
    </row>
    <row r="822" spans="1:23" x14ac:dyDescent="0.35">
      <c r="A822" s="21" t="str">
        <f>IF(COUNTA(B822:H822,J822:S822,U822:V822)=0,"",IF((IF(B822="","PO Ref, ","")&amp;IF(C822="","Vendor, ","")&amp;IF(D822="","Store, ","")&amp;IF(F822="","Product Type, ","")&amp;IF(G822="","Category, ","")&amp;IF(H822="","HSN Code, ","")&amp;IF(Q822="","Qty, ","")&amp;IF(R822="","Purchase Rate, ","")&amp;IF(S822="","MRP, ",""))&lt;&gt;"","Missing: "&amp;LEFT(IF(B822="","PO Ref, ","")&amp;IF(C822="","Vendor, ","")&amp;IF(D822="","Store, ","")&amp;IF(F822="","Product Type, ","")&amp;IF(G822="","Category, ","")&amp;IF(H822="","HSN Code, ","")&amp;IF(Q822="","Qty, ","")&amp;IF(R822="","Purchase Rate, ","")&amp;IF(S822="","MRP, ",""),LEN(IF(B822="","PO Ref, ","")&amp;IF(C822="","Vendor, ","")&amp;IF(D822="","Store, ","")&amp;IF(F822="","Product Type, ","")&amp;IF(G822="","Category, ","")&amp;IF(H822="","HSN Code, ","")&amp;IF(Q822="","Qty, ","")&amp;IF(R822="","Purchase Rate, ","")&amp;IF(S822="","MRP, ",""))-2),IF(COUNTIF(Vendors!$B$3:$B$202,C822)=0,"Add vendor "&amp;C822&amp;" on the Vendors sheet",IF(ISNA(MATCH(H822,Codes!$A$2:$A$13,0)),"Pick the HSN Code from the list",IF(AND(E822&lt;&gt;"",COUNTIFS($C$3:$C$1002,C822,$E$3:$E$1002,E822,$F$3:$F$1002,"&lt;&gt;"&amp;F822)+COUNTIFS($C$3:$C$1002,C822,$E$3:$E$1002,E822,$G$3:$G$1002,"&lt;&gt;"&amp;G822)&gt;0),"Design "&amp;E822&amp;" has another Product Type or Category on another row",IF(COUNTIFS($F$3:$F$1002,F822,$G$3:$G$1002,G822,$H$3:$H$1002,"&lt;&gt;"&amp;H822)&gt;0,F822&amp;" + "&amp;G822&amp;" has another HSN Code on another row",IF(AND(V822&lt;&gt;"",U822=""),"Received Qty needs the Vendor Invoice No",IF(AND(U822&lt;&gt;"",COUNTIFS(Bills!$B$3:$B$302,U822,Bills!$C$3:$C$302,C822)=0),"Add bill "&amp;U822&amp;" of "&amp;C822&amp;" on the Bills sheet",IF(S822&lt;R822,"MRP is below the Purchase Rate","OK")))))))))</f>
        <v/>
      </c>
      <c r="B822" s="29"/>
      <c r="C822" s="22"/>
      <c r="D822" s="22"/>
      <c r="E822" s="24"/>
      <c r="F822" s="22"/>
      <c r="G822" s="22"/>
      <c r="H822" s="22"/>
      <c r="I822" s="30" t="str">
        <f>IF(H822="","",IFERROR(INDEX(Codes!$B$2:$B$13,MATCH(H822,Codes!$A$2:$A$13,0)),""))</f>
        <v/>
      </c>
      <c r="J822" s="23"/>
      <c r="K822" s="23"/>
      <c r="L822" s="23"/>
      <c r="M822" s="23"/>
      <c r="N822" s="23"/>
      <c r="O822" s="23"/>
      <c r="P822" s="23"/>
      <c r="Q822" s="31"/>
      <c r="R822" s="32"/>
      <c r="S822" s="32"/>
      <c r="T822" s="33" t="str">
        <f t="shared" si="24"/>
        <v/>
      </c>
      <c r="U822" s="34"/>
      <c r="V822" s="35"/>
      <c r="W822" s="33" t="str">
        <f t="shared" si="25"/>
        <v/>
      </c>
    </row>
    <row r="823" spans="1:23" x14ac:dyDescent="0.35">
      <c r="A823" s="21" t="str">
        <f>IF(COUNTA(B823:H823,J823:S823,U823:V823)=0,"",IF((IF(B823="","PO Ref, ","")&amp;IF(C823="","Vendor, ","")&amp;IF(D823="","Store, ","")&amp;IF(F823="","Product Type, ","")&amp;IF(G823="","Category, ","")&amp;IF(H823="","HSN Code, ","")&amp;IF(Q823="","Qty, ","")&amp;IF(R823="","Purchase Rate, ","")&amp;IF(S823="","MRP, ",""))&lt;&gt;"","Missing: "&amp;LEFT(IF(B823="","PO Ref, ","")&amp;IF(C823="","Vendor, ","")&amp;IF(D823="","Store, ","")&amp;IF(F823="","Product Type, ","")&amp;IF(G823="","Category, ","")&amp;IF(H823="","HSN Code, ","")&amp;IF(Q823="","Qty, ","")&amp;IF(R823="","Purchase Rate, ","")&amp;IF(S823="","MRP, ",""),LEN(IF(B823="","PO Ref, ","")&amp;IF(C823="","Vendor, ","")&amp;IF(D823="","Store, ","")&amp;IF(F823="","Product Type, ","")&amp;IF(G823="","Category, ","")&amp;IF(H823="","HSN Code, ","")&amp;IF(Q823="","Qty, ","")&amp;IF(R823="","Purchase Rate, ","")&amp;IF(S823="","MRP, ",""))-2),IF(COUNTIF(Vendors!$B$3:$B$202,C823)=0,"Add vendor "&amp;C823&amp;" on the Vendors sheet",IF(ISNA(MATCH(H823,Codes!$A$2:$A$13,0)),"Pick the HSN Code from the list",IF(AND(E823&lt;&gt;"",COUNTIFS($C$3:$C$1002,C823,$E$3:$E$1002,E823,$F$3:$F$1002,"&lt;&gt;"&amp;F823)+COUNTIFS($C$3:$C$1002,C823,$E$3:$E$1002,E823,$G$3:$G$1002,"&lt;&gt;"&amp;G823)&gt;0),"Design "&amp;E823&amp;" has another Product Type or Category on another row",IF(COUNTIFS($F$3:$F$1002,F823,$G$3:$G$1002,G823,$H$3:$H$1002,"&lt;&gt;"&amp;H823)&gt;0,F823&amp;" + "&amp;G823&amp;" has another HSN Code on another row",IF(AND(V823&lt;&gt;"",U823=""),"Received Qty needs the Vendor Invoice No",IF(AND(U823&lt;&gt;"",COUNTIFS(Bills!$B$3:$B$302,U823,Bills!$C$3:$C$302,C823)=0),"Add bill "&amp;U823&amp;" of "&amp;C823&amp;" on the Bills sheet",IF(S823&lt;R823,"MRP is below the Purchase Rate","OK")))))))))</f>
        <v/>
      </c>
      <c r="B823" s="29"/>
      <c r="C823" s="22"/>
      <c r="D823" s="22"/>
      <c r="E823" s="24"/>
      <c r="F823" s="22"/>
      <c r="G823" s="22"/>
      <c r="H823" s="22"/>
      <c r="I823" s="30" t="str">
        <f>IF(H823="","",IFERROR(INDEX(Codes!$B$2:$B$13,MATCH(H823,Codes!$A$2:$A$13,0)),""))</f>
        <v/>
      </c>
      <c r="J823" s="23"/>
      <c r="K823" s="23"/>
      <c r="L823" s="23"/>
      <c r="M823" s="23"/>
      <c r="N823" s="23"/>
      <c r="O823" s="23"/>
      <c r="P823" s="23"/>
      <c r="Q823" s="31"/>
      <c r="R823" s="32"/>
      <c r="S823" s="32"/>
      <c r="T823" s="33" t="str">
        <f t="shared" si="24"/>
        <v/>
      </c>
      <c r="U823" s="34"/>
      <c r="V823" s="35"/>
      <c r="W823" s="33" t="str">
        <f t="shared" si="25"/>
        <v/>
      </c>
    </row>
    <row r="824" spans="1:23" x14ac:dyDescent="0.35">
      <c r="A824" s="21" t="str">
        <f>IF(COUNTA(B824:H824,J824:S824,U824:V824)=0,"",IF((IF(B824="","PO Ref, ","")&amp;IF(C824="","Vendor, ","")&amp;IF(D824="","Store, ","")&amp;IF(F824="","Product Type, ","")&amp;IF(G824="","Category, ","")&amp;IF(H824="","HSN Code, ","")&amp;IF(Q824="","Qty, ","")&amp;IF(R824="","Purchase Rate, ","")&amp;IF(S824="","MRP, ",""))&lt;&gt;"","Missing: "&amp;LEFT(IF(B824="","PO Ref, ","")&amp;IF(C824="","Vendor, ","")&amp;IF(D824="","Store, ","")&amp;IF(F824="","Product Type, ","")&amp;IF(G824="","Category, ","")&amp;IF(H824="","HSN Code, ","")&amp;IF(Q824="","Qty, ","")&amp;IF(R824="","Purchase Rate, ","")&amp;IF(S824="","MRP, ",""),LEN(IF(B824="","PO Ref, ","")&amp;IF(C824="","Vendor, ","")&amp;IF(D824="","Store, ","")&amp;IF(F824="","Product Type, ","")&amp;IF(G824="","Category, ","")&amp;IF(H824="","HSN Code, ","")&amp;IF(Q824="","Qty, ","")&amp;IF(R824="","Purchase Rate, ","")&amp;IF(S824="","MRP, ",""))-2),IF(COUNTIF(Vendors!$B$3:$B$202,C824)=0,"Add vendor "&amp;C824&amp;" on the Vendors sheet",IF(ISNA(MATCH(H824,Codes!$A$2:$A$13,0)),"Pick the HSN Code from the list",IF(AND(E824&lt;&gt;"",COUNTIFS($C$3:$C$1002,C824,$E$3:$E$1002,E824,$F$3:$F$1002,"&lt;&gt;"&amp;F824)+COUNTIFS($C$3:$C$1002,C824,$E$3:$E$1002,E824,$G$3:$G$1002,"&lt;&gt;"&amp;G824)&gt;0),"Design "&amp;E824&amp;" has another Product Type or Category on another row",IF(COUNTIFS($F$3:$F$1002,F824,$G$3:$G$1002,G824,$H$3:$H$1002,"&lt;&gt;"&amp;H824)&gt;0,F824&amp;" + "&amp;G824&amp;" has another HSN Code on another row",IF(AND(V824&lt;&gt;"",U824=""),"Received Qty needs the Vendor Invoice No",IF(AND(U824&lt;&gt;"",COUNTIFS(Bills!$B$3:$B$302,U824,Bills!$C$3:$C$302,C824)=0),"Add bill "&amp;U824&amp;" of "&amp;C824&amp;" on the Bills sheet",IF(S824&lt;R824,"MRP is below the Purchase Rate","OK")))))))))</f>
        <v/>
      </c>
      <c r="B824" s="29"/>
      <c r="C824" s="22"/>
      <c r="D824" s="22"/>
      <c r="E824" s="24"/>
      <c r="F824" s="22"/>
      <c r="G824" s="22"/>
      <c r="H824" s="22"/>
      <c r="I824" s="30" t="str">
        <f>IF(H824="","",IFERROR(INDEX(Codes!$B$2:$B$13,MATCH(H824,Codes!$A$2:$A$13,0)),""))</f>
        <v/>
      </c>
      <c r="J824" s="23"/>
      <c r="K824" s="23"/>
      <c r="L824" s="23"/>
      <c r="M824" s="23"/>
      <c r="N824" s="23"/>
      <c r="O824" s="23"/>
      <c r="P824" s="23"/>
      <c r="Q824" s="31"/>
      <c r="R824" s="32"/>
      <c r="S824" s="32"/>
      <c r="T824" s="33" t="str">
        <f t="shared" si="24"/>
        <v/>
      </c>
      <c r="U824" s="34"/>
      <c r="V824" s="35"/>
      <c r="W824" s="33" t="str">
        <f t="shared" si="25"/>
        <v/>
      </c>
    </row>
    <row r="825" spans="1:23" x14ac:dyDescent="0.35">
      <c r="A825" s="21" t="str">
        <f>IF(COUNTA(B825:H825,J825:S825,U825:V825)=0,"",IF((IF(B825="","PO Ref, ","")&amp;IF(C825="","Vendor, ","")&amp;IF(D825="","Store, ","")&amp;IF(F825="","Product Type, ","")&amp;IF(G825="","Category, ","")&amp;IF(H825="","HSN Code, ","")&amp;IF(Q825="","Qty, ","")&amp;IF(R825="","Purchase Rate, ","")&amp;IF(S825="","MRP, ",""))&lt;&gt;"","Missing: "&amp;LEFT(IF(B825="","PO Ref, ","")&amp;IF(C825="","Vendor, ","")&amp;IF(D825="","Store, ","")&amp;IF(F825="","Product Type, ","")&amp;IF(G825="","Category, ","")&amp;IF(H825="","HSN Code, ","")&amp;IF(Q825="","Qty, ","")&amp;IF(R825="","Purchase Rate, ","")&amp;IF(S825="","MRP, ",""),LEN(IF(B825="","PO Ref, ","")&amp;IF(C825="","Vendor, ","")&amp;IF(D825="","Store, ","")&amp;IF(F825="","Product Type, ","")&amp;IF(G825="","Category, ","")&amp;IF(H825="","HSN Code, ","")&amp;IF(Q825="","Qty, ","")&amp;IF(R825="","Purchase Rate, ","")&amp;IF(S825="","MRP, ",""))-2),IF(COUNTIF(Vendors!$B$3:$B$202,C825)=0,"Add vendor "&amp;C825&amp;" on the Vendors sheet",IF(ISNA(MATCH(H825,Codes!$A$2:$A$13,0)),"Pick the HSN Code from the list",IF(AND(E825&lt;&gt;"",COUNTIFS($C$3:$C$1002,C825,$E$3:$E$1002,E825,$F$3:$F$1002,"&lt;&gt;"&amp;F825)+COUNTIFS($C$3:$C$1002,C825,$E$3:$E$1002,E825,$G$3:$G$1002,"&lt;&gt;"&amp;G825)&gt;0),"Design "&amp;E825&amp;" has another Product Type or Category on another row",IF(COUNTIFS($F$3:$F$1002,F825,$G$3:$G$1002,G825,$H$3:$H$1002,"&lt;&gt;"&amp;H825)&gt;0,F825&amp;" + "&amp;G825&amp;" has another HSN Code on another row",IF(AND(V825&lt;&gt;"",U825=""),"Received Qty needs the Vendor Invoice No",IF(AND(U825&lt;&gt;"",COUNTIFS(Bills!$B$3:$B$302,U825,Bills!$C$3:$C$302,C825)=0),"Add bill "&amp;U825&amp;" of "&amp;C825&amp;" on the Bills sheet",IF(S825&lt;R825,"MRP is below the Purchase Rate","OK")))))))))</f>
        <v/>
      </c>
      <c r="B825" s="29"/>
      <c r="C825" s="22"/>
      <c r="D825" s="22"/>
      <c r="E825" s="24"/>
      <c r="F825" s="22"/>
      <c r="G825" s="22"/>
      <c r="H825" s="22"/>
      <c r="I825" s="30" t="str">
        <f>IF(H825="","",IFERROR(INDEX(Codes!$B$2:$B$13,MATCH(H825,Codes!$A$2:$A$13,0)),""))</f>
        <v/>
      </c>
      <c r="J825" s="23"/>
      <c r="K825" s="23"/>
      <c r="L825" s="23"/>
      <c r="M825" s="23"/>
      <c r="N825" s="23"/>
      <c r="O825" s="23"/>
      <c r="P825" s="23"/>
      <c r="Q825" s="31"/>
      <c r="R825" s="32"/>
      <c r="S825" s="32"/>
      <c r="T825" s="33" t="str">
        <f t="shared" si="24"/>
        <v/>
      </c>
      <c r="U825" s="34"/>
      <c r="V825" s="35"/>
      <c r="W825" s="33" t="str">
        <f t="shared" si="25"/>
        <v/>
      </c>
    </row>
    <row r="826" spans="1:23" x14ac:dyDescent="0.35">
      <c r="A826" s="21" t="str">
        <f>IF(COUNTA(B826:H826,J826:S826,U826:V826)=0,"",IF((IF(B826="","PO Ref, ","")&amp;IF(C826="","Vendor, ","")&amp;IF(D826="","Store, ","")&amp;IF(F826="","Product Type, ","")&amp;IF(G826="","Category, ","")&amp;IF(H826="","HSN Code, ","")&amp;IF(Q826="","Qty, ","")&amp;IF(R826="","Purchase Rate, ","")&amp;IF(S826="","MRP, ",""))&lt;&gt;"","Missing: "&amp;LEFT(IF(B826="","PO Ref, ","")&amp;IF(C826="","Vendor, ","")&amp;IF(D826="","Store, ","")&amp;IF(F826="","Product Type, ","")&amp;IF(G826="","Category, ","")&amp;IF(H826="","HSN Code, ","")&amp;IF(Q826="","Qty, ","")&amp;IF(R826="","Purchase Rate, ","")&amp;IF(S826="","MRP, ",""),LEN(IF(B826="","PO Ref, ","")&amp;IF(C826="","Vendor, ","")&amp;IF(D826="","Store, ","")&amp;IF(F826="","Product Type, ","")&amp;IF(G826="","Category, ","")&amp;IF(H826="","HSN Code, ","")&amp;IF(Q826="","Qty, ","")&amp;IF(R826="","Purchase Rate, ","")&amp;IF(S826="","MRP, ",""))-2),IF(COUNTIF(Vendors!$B$3:$B$202,C826)=0,"Add vendor "&amp;C826&amp;" on the Vendors sheet",IF(ISNA(MATCH(H826,Codes!$A$2:$A$13,0)),"Pick the HSN Code from the list",IF(AND(E826&lt;&gt;"",COUNTIFS($C$3:$C$1002,C826,$E$3:$E$1002,E826,$F$3:$F$1002,"&lt;&gt;"&amp;F826)+COUNTIFS($C$3:$C$1002,C826,$E$3:$E$1002,E826,$G$3:$G$1002,"&lt;&gt;"&amp;G826)&gt;0),"Design "&amp;E826&amp;" has another Product Type or Category on another row",IF(COUNTIFS($F$3:$F$1002,F826,$G$3:$G$1002,G826,$H$3:$H$1002,"&lt;&gt;"&amp;H826)&gt;0,F826&amp;" + "&amp;G826&amp;" has another HSN Code on another row",IF(AND(V826&lt;&gt;"",U826=""),"Received Qty needs the Vendor Invoice No",IF(AND(U826&lt;&gt;"",COUNTIFS(Bills!$B$3:$B$302,U826,Bills!$C$3:$C$302,C826)=0),"Add bill "&amp;U826&amp;" of "&amp;C826&amp;" on the Bills sheet",IF(S826&lt;R826,"MRP is below the Purchase Rate","OK")))))))))</f>
        <v/>
      </c>
      <c r="B826" s="29"/>
      <c r="C826" s="22"/>
      <c r="D826" s="22"/>
      <c r="E826" s="24"/>
      <c r="F826" s="22"/>
      <c r="G826" s="22"/>
      <c r="H826" s="22"/>
      <c r="I826" s="30" t="str">
        <f>IF(H826="","",IFERROR(INDEX(Codes!$B$2:$B$13,MATCH(H826,Codes!$A$2:$A$13,0)),""))</f>
        <v/>
      </c>
      <c r="J826" s="23"/>
      <c r="K826" s="23"/>
      <c r="L826" s="23"/>
      <c r="M826" s="23"/>
      <c r="N826" s="23"/>
      <c r="O826" s="23"/>
      <c r="P826" s="23"/>
      <c r="Q826" s="31"/>
      <c r="R826" s="32"/>
      <c r="S826" s="32"/>
      <c r="T826" s="33" t="str">
        <f t="shared" si="24"/>
        <v/>
      </c>
      <c r="U826" s="34"/>
      <c r="V826" s="35"/>
      <c r="W826" s="33" t="str">
        <f t="shared" si="25"/>
        <v/>
      </c>
    </row>
    <row r="827" spans="1:23" x14ac:dyDescent="0.35">
      <c r="A827" s="21" t="str">
        <f>IF(COUNTA(B827:H827,J827:S827,U827:V827)=0,"",IF((IF(B827="","PO Ref, ","")&amp;IF(C827="","Vendor, ","")&amp;IF(D827="","Store, ","")&amp;IF(F827="","Product Type, ","")&amp;IF(G827="","Category, ","")&amp;IF(H827="","HSN Code, ","")&amp;IF(Q827="","Qty, ","")&amp;IF(R827="","Purchase Rate, ","")&amp;IF(S827="","MRP, ",""))&lt;&gt;"","Missing: "&amp;LEFT(IF(B827="","PO Ref, ","")&amp;IF(C827="","Vendor, ","")&amp;IF(D827="","Store, ","")&amp;IF(F827="","Product Type, ","")&amp;IF(G827="","Category, ","")&amp;IF(H827="","HSN Code, ","")&amp;IF(Q827="","Qty, ","")&amp;IF(R827="","Purchase Rate, ","")&amp;IF(S827="","MRP, ",""),LEN(IF(B827="","PO Ref, ","")&amp;IF(C827="","Vendor, ","")&amp;IF(D827="","Store, ","")&amp;IF(F827="","Product Type, ","")&amp;IF(G827="","Category, ","")&amp;IF(H827="","HSN Code, ","")&amp;IF(Q827="","Qty, ","")&amp;IF(R827="","Purchase Rate, ","")&amp;IF(S827="","MRP, ",""))-2),IF(COUNTIF(Vendors!$B$3:$B$202,C827)=0,"Add vendor "&amp;C827&amp;" on the Vendors sheet",IF(ISNA(MATCH(H827,Codes!$A$2:$A$13,0)),"Pick the HSN Code from the list",IF(AND(E827&lt;&gt;"",COUNTIFS($C$3:$C$1002,C827,$E$3:$E$1002,E827,$F$3:$F$1002,"&lt;&gt;"&amp;F827)+COUNTIFS($C$3:$C$1002,C827,$E$3:$E$1002,E827,$G$3:$G$1002,"&lt;&gt;"&amp;G827)&gt;0),"Design "&amp;E827&amp;" has another Product Type or Category on another row",IF(COUNTIFS($F$3:$F$1002,F827,$G$3:$G$1002,G827,$H$3:$H$1002,"&lt;&gt;"&amp;H827)&gt;0,F827&amp;" + "&amp;G827&amp;" has another HSN Code on another row",IF(AND(V827&lt;&gt;"",U827=""),"Received Qty needs the Vendor Invoice No",IF(AND(U827&lt;&gt;"",COUNTIFS(Bills!$B$3:$B$302,U827,Bills!$C$3:$C$302,C827)=0),"Add bill "&amp;U827&amp;" of "&amp;C827&amp;" on the Bills sheet",IF(S827&lt;R827,"MRP is below the Purchase Rate","OK")))))))))</f>
        <v/>
      </c>
      <c r="B827" s="29"/>
      <c r="C827" s="22"/>
      <c r="D827" s="22"/>
      <c r="E827" s="24"/>
      <c r="F827" s="22"/>
      <c r="G827" s="22"/>
      <c r="H827" s="22"/>
      <c r="I827" s="30" t="str">
        <f>IF(H827="","",IFERROR(INDEX(Codes!$B$2:$B$13,MATCH(H827,Codes!$A$2:$A$13,0)),""))</f>
        <v/>
      </c>
      <c r="J827" s="23"/>
      <c r="K827" s="23"/>
      <c r="L827" s="23"/>
      <c r="M827" s="23"/>
      <c r="N827" s="23"/>
      <c r="O827" s="23"/>
      <c r="P827" s="23"/>
      <c r="Q827" s="31"/>
      <c r="R827" s="32"/>
      <c r="S827" s="32"/>
      <c r="T827" s="33" t="str">
        <f t="shared" si="24"/>
        <v/>
      </c>
      <c r="U827" s="34"/>
      <c r="V827" s="35"/>
      <c r="W827" s="33" t="str">
        <f t="shared" si="25"/>
        <v/>
      </c>
    </row>
    <row r="828" spans="1:23" x14ac:dyDescent="0.35">
      <c r="A828" s="21" t="str">
        <f>IF(COUNTA(B828:H828,J828:S828,U828:V828)=0,"",IF((IF(B828="","PO Ref, ","")&amp;IF(C828="","Vendor, ","")&amp;IF(D828="","Store, ","")&amp;IF(F828="","Product Type, ","")&amp;IF(G828="","Category, ","")&amp;IF(H828="","HSN Code, ","")&amp;IF(Q828="","Qty, ","")&amp;IF(R828="","Purchase Rate, ","")&amp;IF(S828="","MRP, ",""))&lt;&gt;"","Missing: "&amp;LEFT(IF(B828="","PO Ref, ","")&amp;IF(C828="","Vendor, ","")&amp;IF(D828="","Store, ","")&amp;IF(F828="","Product Type, ","")&amp;IF(G828="","Category, ","")&amp;IF(H828="","HSN Code, ","")&amp;IF(Q828="","Qty, ","")&amp;IF(R828="","Purchase Rate, ","")&amp;IF(S828="","MRP, ",""),LEN(IF(B828="","PO Ref, ","")&amp;IF(C828="","Vendor, ","")&amp;IF(D828="","Store, ","")&amp;IF(F828="","Product Type, ","")&amp;IF(G828="","Category, ","")&amp;IF(H828="","HSN Code, ","")&amp;IF(Q828="","Qty, ","")&amp;IF(R828="","Purchase Rate, ","")&amp;IF(S828="","MRP, ",""))-2),IF(COUNTIF(Vendors!$B$3:$B$202,C828)=0,"Add vendor "&amp;C828&amp;" on the Vendors sheet",IF(ISNA(MATCH(H828,Codes!$A$2:$A$13,0)),"Pick the HSN Code from the list",IF(AND(E828&lt;&gt;"",COUNTIFS($C$3:$C$1002,C828,$E$3:$E$1002,E828,$F$3:$F$1002,"&lt;&gt;"&amp;F828)+COUNTIFS($C$3:$C$1002,C828,$E$3:$E$1002,E828,$G$3:$G$1002,"&lt;&gt;"&amp;G828)&gt;0),"Design "&amp;E828&amp;" has another Product Type or Category on another row",IF(COUNTIFS($F$3:$F$1002,F828,$G$3:$G$1002,G828,$H$3:$H$1002,"&lt;&gt;"&amp;H828)&gt;0,F828&amp;" + "&amp;G828&amp;" has another HSN Code on another row",IF(AND(V828&lt;&gt;"",U828=""),"Received Qty needs the Vendor Invoice No",IF(AND(U828&lt;&gt;"",COUNTIFS(Bills!$B$3:$B$302,U828,Bills!$C$3:$C$302,C828)=0),"Add bill "&amp;U828&amp;" of "&amp;C828&amp;" on the Bills sheet",IF(S828&lt;R828,"MRP is below the Purchase Rate","OK")))))))))</f>
        <v/>
      </c>
      <c r="B828" s="29"/>
      <c r="C828" s="22"/>
      <c r="D828" s="22"/>
      <c r="E828" s="24"/>
      <c r="F828" s="22"/>
      <c r="G828" s="22"/>
      <c r="H828" s="22"/>
      <c r="I828" s="30" t="str">
        <f>IF(H828="","",IFERROR(INDEX(Codes!$B$2:$B$13,MATCH(H828,Codes!$A$2:$A$13,0)),""))</f>
        <v/>
      </c>
      <c r="J828" s="23"/>
      <c r="K828" s="23"/>
      <c r="L828" s="23"/>
      <c r="M828" s="23"/>
      <c r="N828" s="23"/>
      <c r="O828" s="23"/>
      <c r="P828" s="23"/>
      <c r="Q828" s="31"/>
      <c r="R828" s="32"/>
      <c r="S828" s="32"/>
      <c r="T828" s="33" t="str">
        <f t="shared" si="24"/>
        <v/>
      </c>
      <c r="U828" s="34"/>
      <c r="V828" s="35"/>
      <c r="W828" s="33" t="str">
        <f t="shared" si="25"/>
        <v/>
      </c>
    </row>
    <row r="829" spans="1:23" x14ac:dyDescent="0.35">
      <c r="A829" s="21" t="str">
        <f>IF(COUNTA(B829:H829,J829:S829,U829:V829)=0,"",IF((IF(B829="","PO Ref, ","")&amp;IF(C829="","Vendor, ","")&amp;IF(D829="","Store, ","")&amp;IF(F829="","Product Type, ","")&amp;IF(G829="","Category, ","")&amp;IF(H829="","HSN Code, ","")&amp;IF(Q829="","Qty, ","")&amp;IF(R829="","Purchase Rate, ","")&amp;IF(S829="","MRP, ",""))&lt;&gt;"","Missing: "&amp;LEFT(IF(B829="","PO Ref, ","")&amp;IF(C829="","Vendor, ","")&amp;IF(D829="","Store, ","")&amp;IF(F829="","Product Type, ","")&amp;IF(G829="","Category, ","")&amp;IF(H829="","HSN Code, ","")&amp;IF(Q829="","Qty, ","")&amp;IF(R829="","Purchase Rate, ","")&amp;IF(S829="","MRP, ",""),LEN(IF(B829="","PO Ref, ","")&amp;IF(C829="","Vendor, ","")&amp;IF(D829="","Store, ","")&amp;IF(F829="","Product Type, ","")&amp;IF(G829="","Category, ","")&amp;IF(H829="","HSN Code, ","")&amp;IF(Q829="","Qty, ","")&amp;IF(R829="","Purchase Rate, ","")&amp;IF(S829="","MRP, ",""))-2),IF(COUNTIF(Vendors!$B$3:$B$202,C829)=0,"Add vendor "&amp;C829&amp;" on the Vendors sheet",IF(ISNA(MATCH(H829,Codes!$A$2:$A$13,0)),"Pick the HSN Code from the list",IF(AND(E829&lt;&gt;"",COUNTIFS($C$3:$C$1002,C829,$E$3:$E$1002,E829,$F$3:$F$1002,"&lt;&gt;"&amp;F829)+COUNTIFS($C$3:$C$1002,C829,$E$3:$E$1002,E829,$G$3:$G$1002,"&lt;&gt;"&amp;G829)&gt;0),"Design "&amp;E829&amp;" has another Product Type or Category on another row",IF(COUNTIFS($F$3:$F$1002,F829,$G$3:$G$1002,G829,$H$3:$H$1002,"&lt;&gt;"&amp;H829)&gt;0,F829&amp;" + "&amp;G829&amp;" has another HSN Code on another row",IF(AND(V829&lt;&gt;"",U829=""),"Received Qty needs the Vendor Invoice No",IF(AND(U829&lt;&gt;"",COUNTIFS(Bills!$B$3:$B$302,U829,Bills!$C$3:$C$302,C829)=0),"Add bill "&amp;U829&amp;" of "&amp;C829&amp;" on the Bills sheet",IF(S829&lt;R829,"MRP is below the Purchase Rate","OK")))))))))</f>
        <v/>
      </c>
      <c r="B829" s="29"/>
      <c r="C829" s="22"/>
      <c r="D829" s="22"/>
      <c r="E829" s="24"/>
      <c r="F829" s="22"/>
      <c r="G829" s="22"/>
      <c r="H829" s="22"/>
      <c r="I829" s="30" t="str">
        <f>IF(H829="","",IFERROR(INDEX(Codes!$B$2:$B$13,MATCH(H829,Codes!$A$2:$A$13,0)),""))</f>
        <v/>
      </c>
      <c r="J829" s="23"/>
      <c r="K829" s="23"/>
      <c r="L829" s="23"/>
      <c r="M829" s="23"/>
      <c r="N829" s="23"/>
      <c r="O829" s="23"/>
      <c r="P829" s="23"/>
      <c r="Q829" s="31"/>
      <c r="R829" s="32"/>
      <c r="S829" s="32"/>
      <c r="T829" s="33" t="str">
        <f t="shared" si="24"/>
        <v/>
      </c>
      <c r="U829" s="34"/>
      <c r="V829" s="35"/>
      <c r="W829" s="33" t="str">
        <f t="shared" si="25"/>
        <v/>
      </c>
    </row>
    <row r="830" spans="1:23" x14ac:dyDescent="0.35">
      <c r="A830" s="21" t="str">
        <f>IF(COUNTA(B830:H830,J830:S830,U830:V830)=0,"",IF((IF(B830="","PO Ref, ","")&amp;IF(C830="","Vendor, ","")&amp;IF(D830="","Store, ","")&amp;IF(F830="","Product Type, ","")&amp;IF(G830="","Category, ","")&amp;IF(H830="","HSN Code, ","")&amp;IF(Q830="","Qty, ","")&amp;IF(R830="","Purchase Rate, ","")&amp;IF(S830="","MRP, ",""))&lt;&gt;"","Missing: "&amp;LEFT(IF(B830="","PO Ref, ","")&amp;IF(C830="","Vendor, ","")&amp;IF(D830="","Store, ","")&amp;IF(F830="","Product Type, ","")&amp;IF(G830="","Category, ","")&amp;IF(H830="","HSN Code, ","")&amp;IF(Q830="","Qty, ","")&amp;IF(R830="","Purchase Rate, ","")&amp;IF(S830="","MRP, ",""),LEN(IF(B830="","PO Ref, ","")&amp;IF(C830="","Vendor, ","")&amp;IF(D830="","Store, ","")&amp;IF(F830="","Product Type, ","")&amp;IF(G830="","Category, ","")&amp;IF(H830="","HSN Code, ","")&amp;IF(Q830="","Qty, ","")&amp;IF(R830="","Purchase Rate, ","")&amp;IF(S830="","MRP, ",""))-2),IF(COUNTIF(Vendors!$B$3:$B$202,C830)=0,"Add vendor "&amp;C830&amp;" on the Vendors sheet",IF(ISNA(MATCH(H830,Codes!$A$2:$A$13,0)),"Pick the HSN Code from the list",IF(AND(E830&lt;&gt;"",COUNTIFS($C$3:$C$1002,C830,$E$3:$E$1002,E830,$F$3:$F$1002,"&lt;&gt;"&amp;F830)+COUNTIFS($C$3:$C$1002,C830,$E$3:$E$1002,E830,$G$3:$G$1002,"&lt;&gt;"&amp;G830)&gt;0),"Design "&amp;E830&amp;" has another Product Type or Category on another row",IF(COUNTIFS($F$3:$F$1002,F830,$G$3:$G$1002,G830,$H$3:$H$1002,"&lt;&gt;"&amp;H830)&gt;0,F830&amp;" + "&amp;G830&amp;" has another HSN Code on another row",IF(AND(V830&lt;&gt;"",U830=""),"Received Qty needs the Vendor Invoice No",IF(AND(U830&lt;&gt;"",COUNTIFS(Bills!$B$3:$B$302,U830,Bills!$C$3:$C$302,C830)=0),"Add bill "&amp;U830&amp;" of "&amp;C830&amp;" on the Bills sheet",IF(S830&lt;R830,"MRP is below the Purchase Rate","OK")))))))))</f>
        <v/>
      </c>
      <c r="B830" s="29"/>
      <c r="C830" s="22"/>
      <c r="D830" s="22"/>
      <c r="E830" s="24"/>
      <c r="F830" s="22"/>
      <c r="G830" s="22"/>
      <c r="H830" s="22"/>
      <c r="I830" s="30" t="str">
        <f>IF(H830="","",IFERROR(INDEX(Codes!$B$2:$B$13,MATCH(H830,Codes!$A$2:$A$13,0)),""))</f>
        <v/>
      </c>
      <c r="J830" s="23"/>
      <c r="K830" s="23"/>
      <c r="L830" s="23"/>
      <c r="M830" s="23"/>
      <c r="N830" s="23"/>
      <c r="O830" s="23"/>
      <c r="P830" s="23"/>
      <c r="Q830" s="31"/>
      <c r="R830" s="32"/>
      <c r="S830" s="32"/>
      <c r="T830" s="33" t="str">
        <f t="shared" si="24"/>
        <v/>
      </c>
      <c r="U830" s="34"/>
      <c r="V830" s="35"/>
      <c r="W830" s="33" t="str">
        <f t="shared" si="25"/>
        <v/>
      </c>
    </row>
    <row r="831" spans="1:23" x14ac:dyDescent="0.35">
      <c r="A831" s="21" t="str">
        <f>IF(COUNTA(B831:H831,J831:S831,U831:V831)=0,"",IF((IF(B831="","PO Ref, ","")&amp;IF(C831="","Vendor, ","")&amp;IF(D831="","Store, ","")&amp;IF(F831="","Product Type, ","")&amp;IF(G831="","Category, ","")&amp;IF(H831="","HSN Code, ","")&amp;IF(Q831="","Qty, ","")&amp;IF(R831="","Purchase Rate, ","")&amp;IF(S831="","MRP, ",""))&lt;&gt;"","Missing: "&amp;LEFT(IF(B831="","PO Ref, ","")&amp;IF(C831="","Vendor, ","")&amp;IF(D831="","Store, ","")&amp;IF(F831="","Product Type, ","")&amp;IF(G831="","Category, ","")&amp;IF(H831="","HSN Code, ","")&amp;IF(Q831="","Qty, ","")&amp;IF(R831="","Purchase Rate, ","")&amp;IF(S831="","MRP, ",""),LEN(IF(B831="","PO Ref, ","")&amp;IF(C831="","Vendor, ","")&amp;IF(D831="","Store, ","")&amp;IF(F831="","Product Type, ","")&amp;IF(G831="","Category, ","")&amp;IF(H831="","HSN Code, ","")&amp;IF(Q831="","Qty, ","")&amp;IF(R831="","Purchase Rate, ","")&amp;IF(S831="","MRP, ",""))-2),IF(COUNTIF(Vendors!$B$3:$B$202,C831)=0,"Add vendor "&amp;C831&amp;" on the Vendors sheet",IF(ISNA(MATCH(H831,Codes!$A$2:$A$13,0)),"Pick the HSN Code from the list",IF(AND(E831&lt;&gt;"",COUNTIFS($C$3:$C$1002,C831,$E$3:$E$1002,E831,$F$3:$F$1002,"&lt;&gt;"&amp;F831)+COUNTIFS($C$3:$C$1002,C831,$E$3:$E$1002,E831,$G$3:$G$1002,"&lt;&gt;"&amp;G831)&gt;0),"Design "&amp;E831&amp;" has another Product Type or Category on another row",IF(COUNTIFS($F$3:$F$1002,F831,$G$3:$G$1002,G831,$H$3:$H$1002,"&lt;&gt;"&amp;H831)&gt;0,F831&amp;" + "&amp;G831&amp;" has another HSN Code on another row",IF(AND(V831&lt;&gt;"",U831=""),"Received Qty needs the Vendor Invoice No",IF(AND(U831&lt;&gt;"",COUNTIFS(Bills!$B$3:$B$302,U831,Bills!$C$3:$C$302,C831)=0),"Add bill "&amp;U831&amp;" of "&amp;C831&amp;" on the Bills sheet",IF(S831&lt;R831,"MRP is below the Purchase Rate","OK")))))))))</f>
        <v/>
      </c>
      <c r="B831" s="29"/>
      <c r="C831" s="22"/>
      <c r="D831" s="22"/>
      <c r="E831" s="24"/>
      <c r="F831" s="22"/>
      <c r="G831" s="22"/>
      <c r="H831" s="22"/>
      <c r="I831" s="30" t="str">
        <f>IF(H831="","",IFERROR(INDEX(Codes!$B$2:$B$13,MATCH(H831,Codes!$A$2:$A$13,0)),""))</f>
        <v/>
      </c>
      <c r="J831" s="23"/>
      <c r="K831" s="23"/>
      <c r="L831" s="23"/>
      <c r="M831" s="23"/>
      <c r="N831" s="23"/>
      <c r="O831" s="23"/>
      <c r="P831" s="23"/>
      <c r="Q831" s="31"/>
      <c r="R831" s="32"/>
      <c r="S831" s="32"/>
      <c r="T831" s="33" t="str">
        <f t="shared" si="24"/>
        <v/>
      </c>
      <c r="U831" s="34"/>
      <c r="V831" s="35"/>
      <c r="W831" s="33" t="str">
        <f t="shared" si="25"/>
        <v/>
      </c>
    </row>
    <row r="832" spans="1:23" x14ac:dyDescent="0.35">
      <c r="A832" s="21" t="str">
        <f>IF(COUNTA(B832:H832,J832:S832,U832:V832)=0,"",IF((IF(B832="","PO Ref, ","")&amp;IF(C832="","Vendor, ","")&amp;IF(D832="","Store, ","")&amp;IF(F832="","Product Type, ","")&amp;IF(G832="","Category, ","")&amp;IF(H832="","HSN Code, ","")&amp;IF(Q832="","Qty, ","")&amp;IF(R832="","Purchase Rate, ","")&amp;IF(S832="","MRP, ",""))&lt;&gt;"","Missing: "&amp;LEFT(IF(B832="","PO Ref, ","")&amp;IF(C832="","Vendor, ","")&amp;IF(D832="","Store, ","")&amp;IF(F832="","Product Type, ","")&amp;IF(G832="","Category, ","")&amp;IF(H832="","HSN Code, ","")&amp;IF(Q832="","Qty, ","")&amp;IF(R832="","Purchase Rate, ","")&amp;IF(S832="","MRP, ",""),LEN(IF(B832="","PO Ref, ","")&amp;IF(C832="","Vendor, ","")&amp;IF(D832="","Store, ","")&amp;IF(F832="","Product Type, ","")&amp;IF(G832="","Category, ","")&amp;IF(H832="","HSN Code, ","")&amp;IF(Q832="","Qty, ","")&amp;IF(R832="","Purchase Rate, ","")&amp;IF(S832="","MRP, ",""))-2),IF(COUNTIF(Vendors!$B$3:$B$202,C832)=0,"Add vendor "&amp;C832&amp;" on the Vendors sheet",IF(ISNA(MATCH(H832,Codes!$A$2:$A$13,0)),"Pick the HSN Code from the list",IF(AND(E832&lt;&gt;"",COUNTIFS($C$3:$C$1002,C832,$E$3:$E$1002,E832,$F$3:$F$1002,"&lt;&gt;"&amp;F832)+COUNTIFS($C$3:$C$1002,C832,$E$3:$E$1002,E832,$G$3:$G$1002,"&lt;&gt;"&amp;G832)&gt;0),"Design "&amp;E832&amp;" has another Product Type or Category on another row",IF(COUNTIFS($F$3:$F$1002,F832,$G$3:$G$1002,G832,$H$3:$H$1002,"&lt;&gt;"&amp;H832)&gt;0,F832&amp;" + "&amp;G832&amp;" has another HSN Code on another row",IF(AND(V832&lt;&gt;"",U832=""),"Received Qty needs the Vendor Invoice No",IF(AND(U832&lt;&gt;"",COUNTIFS(Bills!$B$3:$B$302,U832,Bills!$C$3:$C$302,C832)=0),"Add bill "&amp;U832&amp;" of "&amp;C832&amp;" on the Bills sheet",IF(S832&lt;R832,"MRP is below the Purchase Rate","OK")))))))))</f>
        <v/>
      </c>
      <c r="B832" s="29"/>
      <c r="C832" s="22"/>
      <c r="D832" s="22"/>
      <c r="E832" s="24"/>
      <c r="F832" s="22"/>
      <c r="G832" s="22"/>
      <c r="H832" s="22"/>
      <c r="I832" s="30" t="str">
        <f>IF(H832="","",IFERROR(INDEX(Codes!$B$2:$B$13,MATCH(H832,Codes!$A$2:$A$13,0)),""))</f>
        <v/>
      </c>
      <c r="J832" s="23"/>
      <c r="K832" s="23"/>
      <c r="L832" s="23"/>
      <c r="M832" s="23"/>
      <c r="N832" s="23"/>
      <c r="O832" s="23"/>
      <c r="P832" s="23"/>
      <c r="Q832" s="31"/>
      <c r="R832" s="32"/>
      <c r="S832" s="32"/>
      <c r="T832" s="33" t="str">
        <f t="shared" si="24"/>
        <v/>
      </c>
      <c r="U832" s="34"/>
      <c r="V832" s="35"/>
      <c r="W832" s="33" t="str">
        <f t="shared" si="25"/>
        <v/>
      </c>
    </row>
    <row r="833" spans="1:23" x14ac:dyDescent="0.35">
      <c r="A833" s="21" t="str">
        <f>IF(COUNTA(B833:H833,J833:S833,U833:V833)=0,"",IF((IF(B833="","PO Ref, ","")&amp;IF(C833="","Vendor, ","")&amp;IF(D833="","Store, ","")&amp;IF(F833="","Product Type, ","")&amp;IF(G833="","Category, ","")&amp;IF(H833="","HSN Code, ","")&amp;IF(Q833="","Qty, ","")&amp;IF(R833="","Purchase Rate, ","")&amp;IF(S833="","MRP, ",""))&lt;&gt;"","Missing: "&amp;LEFT(IF(B833="","PO Ref, ","")&amp;IF(C833="","Vendor, ","")&amp;IF(D833="","Store, ","")&amp;IF(F833="","Product Type, ","")&amp;IF(G833="","Category, ","")&amp;IF(H833="","HSN Code, ","")&amp;IF(Q833="","Qty, ","")&amp;IF(R833="","Purchase Rate, ","")&amp;IF(S833="","MRP, ",""),LEN(IF(B833="","PO Ref, ","")&amp;IF(C833="","Vendor, ","")&amp;IF(D833="","Store, ","")&amp;IF(F833="","Product Type, ","")&amp;IF(G833="","Category, ","")&amp;IF(H833="","HSN Code, ","")&amp;IF(Q833="","Qty, ","")&amp;IF(R833="","Purchase Rate, ","")&amp;IF(S833="","MRP, ",""))-2),IF(COUNTIF(Vendors!$B$3:$B$202,C833)=0,"Add vendor "&amp;C833&amp;" on the Vendors sheet",IF(ISNA(MATCH(H833,Codes!$A$2:$A$13,0)),"Pick the HSN Code from the list",IF(AND(E833&lt;&gt;"",COUNTIFS($C$3:$C$1002,C833,$E$3:$E$1002,E833,$F$3:$F$1002,"&lt;&gt;"&amp;F833)+COUNTIFS($C$3:$C$1002,C833,$E$3:$E$1002,E833,$G$3:$G$1002,"&lt;&gt;"&amp;G833)&gt;0),"Design "&amp;E833&amp;" has another Product Type or Category on another row",IF(COUNTIFS($F$3:$F$1002,F833,$G$3:$G$1002,G833,$H$3:$H$1002,"&lt;&gt;"&amp;H833)&gt;0,F833&amp;" + "&amp;G833&amp;" has another HSN Code on another row",IF(AND(V833&lt;&gt;"",U833=""),"Received Qty needs the Vendor Invoice No",IF(AND(U833&lt;&gt;"",COUNTIFS(Bills!$B$3:$B$302,U833,Bills!$C$3:$C$302,C833)=0),"Add bill "&amp;U833&amp;" of "&amp;C833&amp;" on the Bills sheet",IF(S833&lt;R833,"MRP is below the Purchase Rate","OK")))))))))</f>
        <v/>
      </c>
      <c r="B833" s="29"/>
      <c r="C833" s="22"/>
      <c r="D833" s="22"/>
      <c r="E833" s="24"/>
      <c r="F833" s="22"/>
      <c r="G833" s="22"/>
      <c r="H833" s="22"/>
      <c r="I833" s="30" t="str">
        <f>IF(H833="","",IFERROR(INDEX(Codes!$B$2:$B$13,MATCH(H833,Codes!$A$2:$A$13,0)),""))</f>
        <v/>
      </c>
      <c r="J833" s="23"/>
      <c r="K833" s="23"/>
      <c r="L833" s="23"/>
      <c r="M833" s="23"/>
      <c r="N833" s="23"/>
      <c r="O833" s="23"/>
      <c r="P833" s="23"/>
      <c r="Q833" s="31"/>
      <c r="R833" s="32"/>
      <c r="S833" s="32"/>
      <c r="T833" s="33" t="str">
        <f t="shared" si="24"/>
        <v/>
      </c>
      <c r="U833" s="34"/>
      <c r="V833" s="35"/>
      <c r="W833" s="33" t="str">
        <f t="shared" si="25"/>
        <v/>
      </c>
    </row>
    <row r="834" spans="1:23" x14ac:dyDescent="0.35">
      <c r="A834" s="21" t="str">
        <f>IF(COUNTA(B834:H834,J834:S834,U834:V834)=0,"",IF((IF(B834="","PO Ref, ","")&amp;IF(C834="","Vendor, ","")&amp;IF(D834="","Store, ","")&amp;IF(F834="","Product Type, ","")&amp;IF(G834="","Category, ","")&amp;IF(H834="","HSN Code, ","")&amp;IF(Q834="","Qty, ","")&amp;IF(R834="","Purchase Rate, ","")&amp;IF(S834="","MRP, ",""))&lt;&gt;"","Missing: "&amp;LEFT(IF(B834="","PO Ref, ","")&amp;IF(C834="","Vendor, ","")&amp;IF(D834="","Store, ","")&amp;IF(F834="","Product Type, ","")&amp;IF(G834="","Category, ","")&amp;IF(H834="","HSN Code, ","")&amp;IF(Q834="","Qty, ","")&amp;IF(R834="","Purchase Rate, ","")&amp;IF(S834="","MRP, ",""),LEN(IF(B834="","PO Ref, ","")&amp;IF(C834="","Vendor, ","")&amp;IF(D834="","Store, ","")&amp;IF(F834="","Product Type, ","")&amp;IF(G834="","Category, ","")&amp;IF(H834="","HSN Code, ","")&amp;IF(Q834="","Qty, ","")&amp;IF(R834="","Purchase Rate, ","")&amp;IF(S834="","MRP, ",""))-2),IF(COUNTIF(Vendors!$B$3:$B$202,C834)=0,"Add vendor "&amp;C834&amp;" on the Vendors sheet",IF(ISNA(MATCH(H834,Codes!$A$2:$A$13,0)),"Pick the HSN Code from the list",IF(AND(E834&lt;&gt;"",COUNTIFS($C$3:$C$1002,C834,$E$3:$E$1002,E834,$F$3:$F$1002,"&lt;&gt;"&amp;F834)+COUNTIFS($C$3:$C$1002,C834,$E$3:$E$1002,E834,$G$3:$G$1002,"&lt;&gt;"&amp;G834)&gt;0),"Design "&amp;E834&amp;" has another Product Type or Category on another row",IF(COUNTIFS($F$3:$F$1002,F834,$G$3:$G$1002,G834,$H$3:$H$1002,"&lt;&gt;"&amp;H834)&gt;0,F834&amp;" + "&amp;G834&amp;" has another HSN Code on another row",IF(AND(V834&lt;&gt;"",U834=""),"Received Qty needs the Vendor Invoice No",IF(AND(U834&lt;&gt;"",COUNTIFS(Bills!$B$3:$B$302,U834,Bills!$C$3:$C$302,C834)=0),"Add bill "&amp;U834&amp;" of "&amp;C834&amp;" on the Bills sheet",IF(S834&lt;R834,"MRP is below the Purchase Rate","OK")))))))))</f>
        <v/>
      </c>
      <c r="B834" s="29"/>
      <c r="C834" s="22"/>
      <c r="D834" s="22"/>
      <c r="E834" s="24"/>
      <c r="F834" s="22"/>
      <c r="G834" s="22"/>
      <c r="H834" s="22"/>
      <c r="I834" s="30" t="str">
        <f>IF(H834="","",IFERROR(INDEX(Codes!$B$2:$B$13,MATCH(H834,Codes!$A$2:$A$13,0)),""))</f>
        <v/>
      </c>
      <c r="J834" s="23"/>
      <c r="K834" s="23"/>
      <c r="L834" s="23"/>
      <c r="M834" s="23"/>
      <c r="N834" s="23"/>
      <c r="O834" s="23"/>
      <c r="P834" s="23"/>
      <c r="Q834" s="31"/>
      <c r="R834" s="32"/>
      <c r="S834" s="32"/>
      <c r="T834" s="33" t="str">
        <f t="shared" si="24"/>
        <v/>
      </c>
      <c r="U834" s="34"/>
      <c r="V834" s="35"/>
      <c r="W834" s="33" t="str">
        <f t="shared" si="25"/>
        <v/>
      </c>
    </row>
    <row r="835" spans="1:23" x14ac:dyDescent="0.35">
      <c r="A835" s="21" t="str">
        <f>IF(COUNTA(B835:H835,J835:S835,U835:V835)=0,"",IF((IF(B835="","PO Ref, ","")&amp;IF(C835="","Vendor, ","")&amp;IF(D835="","Store, ","")&amp;IF(F835="","Product Type, ","")&amp;IF(G835="","Category, ","")&amp;IF(H835="","HSN Code, ","")&amp;IF(Q835="","Qty, ","")&amp;IF(R835="","Purchase Rate, ","")&amp;IF(S835="","MRP, ",""))&lt;&gt;"","Missing: "&amp;LEFT(IF(B835="","PO Ref, ","")&amp;IF(C835="","Vendor, ","")&amp;IF(D835="","Store, ","")&amp;IF(F835="","Product Type, ","")&amp;IF(G835="","Category, ","")&amp;IF(H835="","HSN Code, ","")&amp;IF(Q835="","Qty, ","")&amp;IF(R835="","Purchase Rate, ","")&amp;IF(S835="","MRP, ",""),LEN(IF(B835="","PO Ref, ","")&amp;IF(C835="","Vendor, ","")&amp;IF(D835="","Store, ","")&amp;IF(F835="","Product Type, ","")&amp;IF(G835="","Category, ","")&amp;IF(H835="","HSN Code, ","")&amp;IF(Q835="","Qty, ","")&amp;IF(R835="","Purchase Rate, ","")&amp;IF(S835="","MRP, ",""))-2),IF(COUNTIF(Vendors!$B$3:$B$202,C835)=0,"Add vendor "&amp;C835&amp;" on the Vendors sheet",IF(ISNA(MATCH(H835,Codes!$A$2:$A$13,0)),"Pick the HSN Code from the list",IF(AND(E835&lt;&gt;"",COUNTIFS($C$3:$C$1002,C835,$E$3:$E$1002,E835,$F$3:$F$1002,"&lt;&gt;"&amp;F835)+COUNTIFS($C$3:$C$1002,C835,$E$3:$E$1002,E835,$G$3:$G$1002,"&lt;&gt;"&amp;G835)&gt;0),"Design "&amp;E835&amp;" has another Product Type or Category on another row",IF(COUNTIFS($F$3:$F$1002,F835,$G$3:$G$1002,G835,$H$3:$H$1002,"&lt;&gt;"&amp;H835)&gt;0,F835&amp;" + "&amp;G835&amp;" has another HSN Code on another row",IF(AND(V835&lt;&gt;"",U835=""),"Received Qty needs the Vendor Invoice No",IF(AND(U835&lt;&gt;"",COUNTIFS(Bills!$B$3:$B$302,U835,Bills!$C$3:$C$302,C835)=0),"Add bill "&amp;U835&amp;" of "&amp;C835&amp;" on the Bills sheet",IF(S835&lt;R835,"MRP is below the Purchase Rate","OK")))))))))</f>
        <v/>
      </c>
      <c r="B835" s="29"/>
      <c r="C835" s="22"/>
      <c r="D835" s="22"/>
      <c r="E835" s="24"/>
      <c r="F835" s="22"/>
      <c r="G835" s="22"/>
      <c r="H835" s="22"/>
      <c r="I835" s="30" t="str">
        <f>IF(H835="","",IFERROR(INDEX(Codes!$B$2:$B$13,MATCH(H835,Codes!$A$2:$A$13,0)),""))</f>
        <v/>
      </c>
      <c r="J835" s="23"/>
      <c r="K835" s="23"/>
      <c r="L835" s="23"/>
      <c r="M835" s="23"/>
      <c r="N835" s="23"/>
      <c r="O835" s="23"/>
      <c r="P835" s="23"/>
      <c r="Q835" s="31"/>
      <c r="R835" s="32"/>
      <c r="S835" s="32"/>
      <c r="T835" s="33" t="str">
        <f t="shared" ref="T835:T898" si="26">IF(OR(Q835="",R835=""),"",Q835*R835)</f>
        <v/>
      </c>
      <c r="U835" s="34"/>
      <c r="V835" s="35"/>
      <c r="W835" s="33" t="str">
        <f t="shared" ref="W835:W898" si="27">IF(OR(U835="",R835=""),"",IF(V835="",Q835,V835)*R835)</f>
        <v/>
      </c>
    </row>
    <row r="836" spans="1:23" x14ac:dyDescent="0.35">
      <c r="A836" s="21" t="str">
        <f>IF(COUNTA(B836:H836,J836:S836,U836:V836)=0,"",IF((IF(B836="","PO Ref, ","")&amp;IF(C836="","Vendor, ","")&amp;IF(D836="","Store, ","")&amp;IF(F836="","Product Type, ","")&amp;IF(G836="","Category, ","")&amp;IF(H836="","HSN Code, ","")&amp;IF(Q836="","Qty, ","")&amp;IF(R836="","Purchase Rate, ","")&amp;IF(S836="","MRP, ",""))&lt;&gt;"","Missing: "&amp;LEFT(IF(B836="","PO Ref, ","")&amp;IF(C836="","Vendor, ","")&amp;IF(D836="","Store, ","")&amp;IF(F836="","Product Type, ","")&amp;IF(G836="","Category, ","")&amp;IF(H836="","HSN Code, ","")&amp;IF(Q836="","Qty, ","")&amp;IF(R836="","Purchase Rate, ","")&amp;IF(S836="","MRP, ",""),LEN(IF(B836="","PO Ref, ","")&amp;IF(C836="","Vendor, ","")&amp;IF(D836="","Store, ","")&amp;IF(F836="","Product Type, ","")&amp;IF(G836="","Category, ","")&amp;IF(H836="","HSN Code, ","")&amp;IF(Q836="","Qty, ","")&amp;IF(R836="","Purchase Rate, ","")&amp;IF(S836="","MRP, ",""))-2),IF(COUNTIF(Vendors!$B$3:$B$202,C836)=0,"Add vendor "&amp;C836&amp;" on the Vendors sheet",IF(ISNA(MATCH(H836,Codes!$A$2:$A$13,0)),"Pick the HSN Code from the list",IF(AND(E836&lt;&gt;"",COUNTIFS($C$3:$C$1002,C836,$E$3:$E$1002,E836,$F$3:$F$1002,"&lt;&gt;"&amp;F836)+COUNTIFS($C$3:$C$1002,C836,$E$3:$E$1002,E836,$G$3:$G$1002,"&lt;&gt;"&amp;G836)&gt;0),"Design "&amp;E836&amp;" has another Product Type or Category on another row",IF(COUNTIFS($F$3:$F$1002,F836,$G$3:$G$1002,G836,$H$3:$H$1002,"&lt;&gt;"&amp;H836)&gt;0,F836&amp;" + "&amp;G836&amp;" has another HSN Code on another row",IF(AND(V836&lt;&gt;"",U836=""),"Received Qty needs the Vendor Invoice No",IF(AND(U836&lt;&gt;"",COUNTIFS(Bills!$B$3:$B$302,U836,Bills!$C$3:$C$302,C836)=0),"Add bill "&amp;U836&amp;" of "&amp;C836&amp;" on the Bills sheet",IF(S836&lt;R836,"MRP is below the Purchase Rate","OK")))))))))</f>
        <v/>
      </c>
      <c r="B836" s="29"/>
      <c r="C836" s="22"/>
      <c r="D836" s="22"/>
      <c r="E836" s="24"/>
      <c r="F836" s="22"/>
      <c r="G836" s="22"/>
      <c r="H836" s="22"/>
      <c r="I836" s="30" t="str">
        <f>IF(H836="","",IFERROR(INDEX(Codes!$B$2:$B$13,MATCH(H836,Codes!$A$2:$A$13,0)),""))</f>
        <v/>
      </c>
      <c r="J836" s="23"/>
      <c r="K836" s="23"/>
      <c r="L836" s="23"/>
      <c r="M836" s="23"/>
      <c r="N836" s="23"/>
      <c r="O836" s="23"/>
      <c r="P836" s="23"/>
      <c r="Q836" s="31"/>
      <c r="R836" s="32"/>
      <c r="S836" s="32"/>
      <c r="T836" s="33" t="str">
        <f t="shared" si="26"/>
        <v/>
      </c>
      <c r="U836" s="34"/>
      <c r="V836" s="35"/>
      <c r="W836" s="33" t="str">
        <f t="shared" si="27"/>
        <v/>
      </c>
    </row>
    <row r="837" spans="1:23" x14ac:dyDescent="0.35">
      <c r="A837" s="21" t="str">
        <f>IF(COUNTA(B837:H837,J837:S837,U837:V837)=0,"",IF((IF(B837="","PO Ref, ","")&amp;IF(C837="","Vendor, ","")&amp;IF(D837="","Store, ","")&amp;IF(F837="","Product Type, ","")&amp;IF(G837="","Category, ","")&amp;IF(H837="","HSN Code, ","")&amp;IF(Q837="","Qty, ","")&amp;IF(R837="","Purchase Rate, ","")&amp;IF(S837="","MRP, ",""))&lt;&gt;"","Missing: "&amp;LEFT(IF(B837="","PO Ref, ","")&amp;IF(C837="","Vendor, ","")&amp;IF(D837="","Store, ","")&amp;IF(F837="","Product Type, ","")&amp;IF(G837="","Category, ","")&amp;IF(H837="","HSN Code, ","")&amp;IF(Q837="","Qty, ","")&amp;IF(R837="","Purchase Rate, ","")&amp;IF(S837="","MRP, ",""),LEN(IF(B837="","PO Ref, ","")&amp;IF(C837="","Vendor, ","")&amp;IF(D837="","Store, ","")&amp;IF(F837="","Product Type, ","")&amp;IF(G837="","Category, ","")&amp;IF(H837="","HSN Code, ","")&amp;IF(Q837="","Qty, ","")&amp;IF(R837="","Purchase Rate, ","")&amp;IF(S837="","MRP, ",""))-2),IF(COUNTIF(Vendors!$B$3:$B$202,C837)=0,"Add vendor "&amp;C837&amp;" on the Vendors sheet",IF(ISNA(MATCH(H837,Codes!$A$2:$A$13,0)),"Pick the HSN Code from the list",IF(AND(E837&lt;&gt;"",COUNTIFS($C$3:$C$1002,C837,$E$3:$E$1002,E837,$F$3:$F$1002,"&lt;&gt;"&amp;F837)+COUNTIFS($C$3:$C$1002,C837,$E$3:$E$1002,E837,$G$3:$G$1002,"&lt;&gt;"&amp;G837)&gt;0),"Design "&amp;E837&amp;" has another Product Type or Category on another row",IF(COUNTIFS($F$3:$F$1002,F837,$G$3:$G$1002,G837,$H$3:$H$1002,"&lt;&gt;"&amp;H837)&gt;0,F837&amp;" + "&amp;G837&amp;" has another HSN Code on another row",IF(AND(V837&lt;&gt;"",U837=""),"Received Qty needs the Vendor Invoice No",IF(AND(U837&lt;&gt;"",COUNTIFS(Bills!$B$3:$B$302,U837,Bills!$C$3:$C$302,C837)=0),"Add bill "&amp;U837&amp;" of "&amp;C837&amp;" on the Bills sheet",IF(S837&lt;R837,"MRP is below the Purchase Rate","OK")))))))))</f>
        <v/>
      </c>
      <c r="B837" s="29"/>
      <c r="C837" s="22"/>
      <c r="D837" s="22"/>
      <c r="E837" s="24"/>
      <c r="F837" s="22"/>
      <c r="G837" s="22"/>
      <c r="H837" s="22"/>
      <c r="I837" s="30" t="str">
        <f>IF(H837="","",IFERROR(INDEX(Codes!$B$2:$B$13,MATCH(H837,Codes!$A$2:$A$13,0)),""))</f>
        <v/>
      </c>
      <c r="J837" s="23"/>
      <c r="K837" s="23"/>
      <c r="L837" s="23"/>
      <c r="M837" s="23"/>
      <c r="N837" s="23"/>
      <c r="O837" s="23"/>
      <c r="P837" s="23"/>
      <c r="Q837" s="31"/>
      <c r="R837" s="32"/>
      <c r="S837" s="32"/>
      <c r="T837" s="33" t="str">
        <f t="shared" si="26"/>
        <v/>
      </c>
      <c r="U837" s="34"/>
      <c r="V837" s="35"/>
      <c r="W837" s="33" t="str">
        <f t="shared" si="27"/>
        <v/>
      </c>
    </row>
    <row r="838" spans="1:23" x14ac:dyDescent="0.35">
      <c r="A838" s="21" t="str">
        <f>IF(COUNTA(B838:H838,J838:S838,U838:V838)=0,"",IF((IF(B838="","PO Ref, ","")&amp;IF(C838="","Vendor, ","")&amp;IF(D838="","Store, ","")&amp;IF(F838="","Product Type, ","")&amp;IF(G838="","Category, ","")&amp;IF(H838="","HSN Code, ","")&amp;IF(Q838="","Qty, ","")&amp;IF(R838="","Purchase Rate, ","")&amp;IF(S838="","MRP, ",""))&lt;&gt;"","Missing: "&amp;LEFT(IF(B838="","PO Ref, ","")&amp;IF(C838="","Vendor, ","")&amp;IF(D838="","Store, ","")&amp;IF(F838="","Product Type, ","")&amp;IF(G838="","Category, ","")&amp;IF(H838="","HSN Code, ","")&amp;IF(Q838="","Qty, ","")&amp;IF(R838="","Purchase Rate, ","")&amp;IF(S838="","MRP, ",""),LEN(IF(B838="","PO Ref, ","")&amp;IF(C838="","Vendor, ","")&amp;IF(D838="","Store, ","")&amp;IF(F838="","Product Type, ","")&amp;IF(G838="","Category, ","")&amp;IF(H838="","HSN Code, ","")&amp;IF(Q838="","Qty, ","")&amp;IF(R838="","Purchase Rate, ","")&amp;IF(S838="","MRP, ",""))-2),IF(COUNTIF(Vendors!$B$3:$B$202,C838)=0,"Add vendor "&amp;C838&amp;" on the Vendors sheet",IF(ISNA(MATCH(H838,Codes!$A$2:$A$13,0)),"Pick the HSN Code from the list",IF(AND(E838&lt;&gt;"",COUNTIFS($C$3:$C$1002,C838,$E$3:$E$1002,E838,$F$3:$F$1002,"&lt;&gt;"&amp;F838)+COUNTIFS($C$3:$C$1002,C838,$E$3:$E$1002,E838,$G$3:$G$1002,"&lt;&gt;"&amp;G838)&gt;0),"Design "&amp;E838&amp;" has another Product Type or Category on another row",IF(COUNTIFS($F$3:$F$1002,F838,$G$3:$G$1002,G838,$H$3:$H$1002,"&lt;&gt;"&amp;H838)&gt;0,F838&amp;" + "&amp;G838&amp;" has another HSN Code on another row",IF(AND(V838&lt;&gt;"",U838=""),"Received Qty needs the Vendor Invoice No",IF(AND(U838&lt;&gt;"",COUNTIFS(Bills!$B$3:$B$302,U838,Bills!$C$3:$C$302,C838)=0),"Add bill "&amp;U838&amp;" of "&amp;C838&amp;" on the Bills sheet",IF(S838&lt;R838,"MRP is below the Purchase Rate","OK")))))))))</f>
        <v/>
      </c>
      <c r="B838" s="29"/>
      <c r="C838" s="22"/>
      <c r="D838" s="22"/>
      <c r="E838" s="24"/>
      <c r="F838" s="22"/>
      <c r="G838" s="22"/>
      <c r="H838" s="22"/>
      <c r="I838" s="30" t="str">
        <f>IF(H838="","",IFERROR(INDEX(Codes!$B$2:$B$13,MATCH(H838,Codes!$A$2:$A$13,0)),""))</f>
        <v/>
      </c>
      <c r="J838" s="23"/>
      <c r="K838" s="23"/>
      <c r="L838" s="23"/>
      <c r="M838" s="23"/>
      <c r="N838" s="23"/>
      <c r="O838" s="23"/>
      <c r="P838" s="23"/>
      <c r="Q838" s="31"/>
      <c r="R838" s="32"/>
      <c r="S838" s="32"/>
      <c r="T838" s="33" t="str">
        <f t="shared" si="26"/>
        <v/>
      </c>
      <c r="U838" s="34"/>
      <c r="V838" s="35"/>
      <c r="W838" s="33" t="str">
        <f t="shared" si="27"/>
        <v/>
      </c>
    </row>
    <row r="839" spans="1:23" x14ac:dyDescent="0.35">
      <c r="A839" s="21" t="str">
        <f>IF(COUNTA(B839:H839,J839:S839,U839:V839)=0,"",IF((IF(B839="","PO Ref, ","")&amp;IF(C839="","Vendor, ","")&amp;IF(D839="","Store, ","")&amp;IF(F839="","Product Type, ","")&amp;IF(G839="","Category, ","")&amp;IF(H839="","HSN Code, ","")&amp;IF(Q839="","Qty, ","")&amp;IF(R839="","Purchase Rate, ","")&amp;IF(S839="","MRP, ",""))&lt;&gt;"","Missing: "&amp;LEFT(IF(B839="","PO Ref, ","")&amp;IF(C839="","Vendor, ","")&amp;IF(D839="","Store, ","")&amp;IF(F839="","Product Type, ","")&amp;IF(G839="","Category, ","")&amp;IF(H839="","HSN Code, ","")&amp;IF(Q839="","Qty, ","")&amp;IF(R839="","Purchase Rate, ","")&amp;IF(S839="","MRP, ",""),LEN(IF(B839="","PO Ref, ","")&amp;IF(C839="","Vendor, ","")&amp;IF(D839="","Store, ","")&amp;IF(F839="","Product Type, ","")&amp;IF(G839="","Category, ","")&amp;IF(H839="","HSN Code, ","")&amp;IF(Q839="","Qty, ","")&amp;IF(R839="","Purchase Rate, ","")&amp;IF(S839="","MRP, ",""))-2),IF(COUNTIF(Vendors!$B$3:$B$202,C839)=0,"Add vendor "&amp;C839&amp;" on the Vendors sheet",IF(ISNA(MATCH(H839,Codes!$A$2:$A$13,0)),"Pick the HSN Code from the list",IF(AND(E839&lt;&gt;"",COUNTIFS($C$3:$C$1002,C839,$E$3:$E$1002,E839,$F$3:$F$1002,"&lt;&gt;"&amp;F839)+COUNTIFS($C$3:$C$1002,C839,$E$3:$E$1002,E839,$G$3:$G$1002,"&lt;&gt;"&amp;G839)&gt;0),"Design "&amp;E839&amp;" has another Product Type or Category on another row",IF(COUNTIFS($F$3:$F$1002,F839,$G$3:$G$1002,G839,$H$3:$H$1002,"&lt;&gt;"&amp;H839)&gt;0,F839&amp;" + "&amp;G839&amp;" has another HSN Code on another row",IF(AND(V839&lt;&gt;"",U839=""),"Received Qty needs the Vendor Invoice No",IF(AND(U839&lt;&gt;"",COUNTIFS(Bills!$B$3:$B$302,U839,Bills!$C$3:$C$302,C839)=0),"Add bill "&amp;U839&amp;" of "&amp;C839&amp;" on the Bills sheet",IF(S839&lt;R839,"MRP is below the Purchase Rate","OK")))))))))</f>
        <v/>
      </c>
      <c r="B839" s="29"/>
      <c r="C839" s="22"/>
      <c r="D839" s="22"/>
      <c r="E839" s="24"/>
      <c r="F839" s="22"/>
      <c r="G839" s="22"/>
      <c r="H839" s="22"/>
      <c r="I839" s="30" t="str">
        <f>IF(H839="","",IFERROR(INDEX(Codes!$B$2:$B$13,MATCH(H839,Codes!$A$2:$A$13,0)),""))</f>
        <v/>
      </c>
      <c r="J839" s="23"/>
      <c r="K839" s="23"/>
      <c r="L839" s="23"/>
      <c r="M839" s="23"/>
      <c r="N839" s="23"/>
      <c r="O839" s="23"/>
      <c r="P839" s="23"/>
      <c r="Q839" s="31"/>
      <c r="R839" s="32"/>
      <c r="S839" s="32"/>
      <c r="T839" s="33" t="str">
        <f t="shared" si="26"/>
        <v/>
      </c>
      <c r="U839" s="34"/>
      <c r="V839" s="35"/>
      <c r="W839" s="33" t="str">
        <f t="shared" si="27"/>
        <v/>
      </c>
    </row>
    <row r="840" spans="1:23" x14ac:dyDescent="0.35">
      <c r="A840" s="21" t="str">
        <f>IF(COUNTA(B840:H840,J840:S840,U840:V840)=0,"",IF((IF(B840="","PO Ref, ","")&amp;IF(C840="","Vendor, ","")&amp;IF(D840="","Store, ","")&amp;IF(F840="","Product Type, ","")&amp;IF(G840="","Category, ","")&amp;IF(H840="","HSN Code, ","")&amp;IF(Q840="","Qty, ","")&amp;IF(R840="","Purchase Rate, ","")&amp;IF(S840="","MRP, ",""))&lt;&gt;"","Missing: "&amp;LEFT(IF(B840="","PO Ref, ","")&amp;IF(C840="","Vendor, ","")&amp;IF(D840="","Store, ","")&amp;IF(F840="","Product Type, ","")&amp;IF(G840="","Category, ","")&amp;IF(H840="","HSN Code, ","")&amp;IF(Q840="","Qty, ","")&amp;IF(R840="","Purchase Rate, ","")&amp;IF(S840="","MRP, ",""),LEN(IF(B840="","PO Ref, ","")&amp;IF(C840="","Vendor, ","")&amp;IF(D840="","Store, ","")&amp;IF(F840="","Product Type, ","")&amp;IF(G840="","Category, ","")&amp;IF(H840="","HSN Code, ","")&amp;IF(Q840="","Qty, ","")&amp;IF(R840="","Purchase Rate, ","")&amp;IF(S840="","MRP, ",""))-2),IF(COUNTIF(Vendors!$B$3:$B$202,C840)=0,"Add vendor "&amp;C840&amp;" on the Vendors sheet",IF(ISNA(MATCH(H840,Codes!$A$2:$A$13,0)),"Pick the HSN Code from the list",IF(AND(E840&lt;&gt;"",COUNTIFS($C$3:$C$1002,C840,$E$3:$E$1002,E840,$F$3:$F$1002,"&lt;&gt;"&amp;F840)+COUNTIFS($C$3:$C$1002,C840,$E$3:$E$1002,E840,$G$3:$G$1002,"&lt;&gt;"&amp;G840)&gt;0),"Design "&amp;E840&amp;" has another Product Type or Category on another row",IF(COUNTIFS($F$3:$F$1002,F840,$G$3:$G$1002,G840,$H$3:$H$1002,"&lt;&gt;"&amp;H840)&gt;0,F840&amp;" + "&amp;G840&amp;" has another HSN Code on another row",IF(AND(V840&lt;&gt;"",U840=""),"Received Qty needs the Vendor Invoice No",IF(AND(U840&lt;&gt;"",COUNTIFS(Bills!$B$3:$B$302,U840,Bills!$C$3:$C$302,C840)=0),"Add bill "&amp;U840&amp;" of "&amp;C840&amp;" on the Bills sheet",IF(S840&lt;R840,"MRP is below the Purchase Rate","OK")))))))))</f>
        <v/>
      </c>
      <c r="B840" s="29"/>
      <c r="C840" s="22"/>
      <c r="D840" s="22"/>
      <c r="E840" s="24"/>
      <c r="F840" s="22"/>
      <c r="G840" s="22"/>
      <c r="H840" s="22"/>
      <c r="I840" s="30" t="str">
        <f>IF(H840="","",IFERROR(INDEX(Codes!$B$2:$B$13,MATCH(H840,Codes!$A$2:$A$13,0)),""))</f>
        <v/>
      </c>
      <c r="J840" s="23"/>
      <c r="K840" s="23"/>
      <c r="L840" s="23"/>
      <c r="M840" s="23"/>
      <c r="N840" s="23"/>
      <c r="O840" s="23"/>
      <c r="P840" s="23"/>
      <c r="Q840" s="31"/>
      <c r="R840" s="32"/>
      <c r="S840" s="32"/>
      <c r="T840" s="33" t="str">
        <f t="shared" si="26"/>
        <v/>
      </c>
      <c r="U840" s="34"/>
      <c r="V840" s="35"/>
      <c r="W840" s="33" t="str">
        <f t="shared" si="27"/>
        <v/>
      </c>
    </row>
    <row r="841" spans="1:23" x14ac:dyDescent="0.35">
      <c r="A841" s="21" t="str">
        <f>IF(COUNTA(B841:H841,J841:S841,U841:V841)=0,"",IF((IF(B841="","PO Ref, ","")&amp;IF(C841="","Vendor, ","")&amp;IF(D841="","Store, ","")&amp;IF(F841="","Product Type, ","")&amp;IF(G841="","Category, ","")&amp;IF(H841="","HSN Code, ","")&amp;IF(Q841="","Qty, ","")&amp;IF(R841="","Purchase Rate, ","")&amp;IF(S841="","MRP, ",""))&lt;&gt;"","Missing: "&amp;LEFT(IF(B841="","PO Ref, ","")&amp;IF(C841="","Vendor, ","")&amp;IF(D841="","Store, ","")&amp;IF(F841="","Product Type, ","")&amp;IF(G841="","Category, ","")&amp;IF(H841="","HSN Code, ","")&amp;IF(Q841="","Qty, ","")&amp;IF(R841="","Purchase Rate, ","")&amp;IF(S841="","MRP, ",""),LEN(IF(B841="","PO Ref, ","")&amp;IF(C841="","Vendor, ","")&amp;IF(D841="","Store, ","")&amp;IF(F841="","Product Type, ","")&amp;IF(G841="","Category, ","")&amp;IF(H841="","HSN Code, ","")&amp;IF(Q841="","Qty, ","")&amp;IF(R841="","Purchase Rate, ","")&amp;IF(S841="","MRP, ",""))-2),IF(COUNTIF(Vendors!$B$3:$B$202,C841)=0,"Add vendor "&amp;C841&amp;" on the Vendors sheet",IF(ISNA(MATCH(H841,Codes!$A$2:$A$13,0)),"Pick the HSN Code from the list",IF(AND(E841&lt;&gt;"",COUNTIFS($C$3:$C$1002,C841,$E$3:$E$1002,E841,$F$3:$F$1002,"&lt;&gt;"&amp;F841)+COUNTIFS($C$3:$C$1002,C841,$E$3:$E$1002,E841,$G$3:$G$1002,"&lt;&gt;"&amp;G841)&gt;0),"Design "&amp;E841&amp;" has another Product Type or Category on another row",IF(COUNTIFS($F$3:$F$1002,F841,$G$3:$G$1002,G841,$H$3:$H$1002,"&lt;&gt;"&amp;H841)&gt;0,F841&amp;" + "&amp;G841&amp;" has another HSN Code on another row",IF(AND(V841&lt;&gt;"",U841=""),"Received Qty needs the Vendor Invoice No",IF(AND(U841&lt;&gt;"",COUNTIFS(Bills!$B$3:$B$302,U841,Bills!$C$3:$C$302,C841)=0),"Add bill "&amp;U841&amp;" of "&amp;C841&amp;" on the Bills sheet",IF(S841&lt;R841,"MRP is below the Purchase Rate","OK")))))))))</f>
        <v/>
      </c>
      <c r="B841" s="29"/>
      <c r="C841" s="22"/>
      <c r="D841" s="22"/>
      <c r="E841" s="24"/>
      <c r="F841" s="22"/>
      <c r="G841" s="22"/>
      <c r="H841" s="22"/>
      <c r="I841" s="30" t="str">
        <f>IF(H841="","",IFERROR(INDEX(Codes!$B$2:$B$13,MATCH(H841,Codes!$A$2:$A$13,0)),""))</f>
        <v/>
      </c>
      <c r="J841" s="23"/>
      <c r="K841" s="23"/>
      <c r="L841" s="23"/>
      <c r="M841" s="23"/>
      <c r="N841" s="23"/>
      <c r="O841" s="23"/>
      <c r="P841" s="23"/>
      <c r="Q841" s="31"/>
      <c r="R841" s="32"/>
      <c r="S841" s="32"/>
      <c r="T841" s="33" t="str">
        <f t="shared" si="26"/>
        <v/>
      </c>
      <c r="U841" s="34"/>
      <c r="V841" s="35"/>
      <c r="W841" s="33" t="str">
        <f t="shared" si="27"/>
        <v/>
      </c>
    </row>
    <row r="842" spans="1:23" x14ac:dyDescent="0.35">
      <c r="A842" s="21" t="str">
        <f>IF(COUNTA(B842:H842,J842:S842,U842:V842)=0,"",IF((IF(B842="","PO Ref, ","")&amp;IF(C842="","Vendor, ","")&amp;IF(D842="","Store, ","")&amp;IF(F842="","Product Type, ","")&amp;IF(G842="","Category, ","")&amp;IF(H842="","HSN Code, ","")&amp;IF(Q842="","Qty, ","")&amp;IF(R842="","Purchase Rate, ","")&amp;IF(S842="","MRP, ",""))&lt;&gt;"","Missing: "&amp;LEFT(IF(B842="","PO Ref, ","")&amp;IF(C842="","Vendor, ","")&amp;IF(D842="","Store, ","")&amp;IF(F842="","Product Type, ","")&amp;IF(G842="","Category, ","")&amp;IF(H842="","HSN Code, ","")&amp;IF(Q842="","Qty, ","")&amp;IF(R842="","Purchase Rate, ","")&amp;IF(S842="","MRP, ",""),LEN(IF(B842="","PO Ref, ","")&amp;IF(C842="","Vendor, ","")&amp;IF(D842="","Store, ","")&amp;IF(F842="","Product Type, ","")&amp;IF(G842="","Category, ","")&amp;IF(H842="","HSN Code, ","")&amp;IF(Q842="","Qty, ","")&amp;IF(R842="","Purchase Rate, ","")&amp;IF(S842="","MRP, ",""))-2),IF(COUNTIF(Vendors!$B$3:$B$202,C842)=0,"Add vendor "&amp;C842&amp;" on the Vendors sheet",IF(ISNA(MATCH(H842,Codes!$A$2:$A$13,0)),"Pick the HSN Code from the list",IF(AND(E842&lt;&gt;"",COUNTIFS($C$3:$C$1002,C842,$E$3:$E$1002,E842,$F$3:$F$1002,"&lt;&gt;"&amp;F842)+COUNTIFS($C$3:$C$1002,C842,$E$3:$E$1002,E842,$G$3:$G$1002,"&lt;&gt;"&amp;G842)&gt;0),"Design "&amp;E842&amp;" has another Product Type or Category on another row",IF(COUNTIFS($F$3:$F$1002,F842,$G$3:$G$1002,G842,$H$3:$H$1002,"&lt;&gt;"&amp;H842)&gt;0,F842&amp;" + "&amp;G842&amp;" has another HSN Code on another row",IF(AND(V842&lt;&gt;"",U842=""),"Received Qty needs the Vendor Invoice No",IF(AND(U842&lt;&gt;"",COUNTIFS(Bills!$B$3:$B$302,U842,Bills!$C$3:$C$302,C842)=0),"Add bill "&amp;U842&amp;" of "&amp;C842&amp;" on the Bills sheet",IF(S842&lt;R842,"MRP is below the Purchase Rate","OK")))))))))</f>
        <v/>
      </c>
      <c r="B842" s="29"/>
      <c r="C842" s="22"/>
      <c r="D842" s="22"/>
      <c r="E842" s="24"/>
      <c r="F842" s="22"/>
      <c r="G842" s="22"/>
      <c r="H842" s="22"/>
      <c r="I842" s="30" t="str">
        <f>IF(H842="","",IFERROR(INDEX(Codes!$B$2:$B$13,MATCH(H842,Codes!$A$2:$A$13,0)),""))</f>
        <v/>
      </c>
      <c r="J842" s="23"/>
      <c r="K842" s="23"/>
      <c r="L842" s="23"/>
      <c r="M842" s="23"/>
      <c r="N842" s="23"/>
      <c r="O842" s="23"/>
      <c r="P842" s="23"/>
      <c r="Q842" s="31"/>
      <c r="R842" s="32"/>
      <c r="S842" s="32"/>
      <c r="T842" s="33" t="str">
        <f t="shared" si="26"/>
        <v/>
      </c>
      <c r="U842" s="34"/>
      <c r="V842" s="35"/>
      <c r="W842" s="33" t="str">
        <f t="shared" si="27"/>
        <v/>
      </c>
    </row>
    <row r="843" spans="1:23" x14ac:dyDescent="0.35">
      <c r="A843" s="21" t="str">
        <f>IF(COUNTA(B843:H843,J843:S843,U843:V843)=0,"",IF((IF(B843="","PO Ref, ","")&amp;IF(C843="","Vendor, ","")&amp;IF(D843="","Store, ","")&amp;IF(F843="","Product Type, ","")&amp;IF(G843="","Category, ","")&amp;IF(H843="","HSN Code, ","")&amp;IF(Q843="","Qty, ","")&amp;IF(R843="","Purchase Rate, ","")&amp;IF(S843="","MRP, ",""))&lt;&gt;"","Missing: "&amp;LEFT(IF(B843="","PO Ref, ","")&amp;IF(C843="","Vendor, ","")&amp;IF(D843="","Store, ","")&amp;IF(F843="","Product Type, ","")&amp;IF(G843="","Category, ","")&amp;IF(H843="","HSN Code, ","")&amp;IF(Q843="","Qty, ","")&amp;IF(R843="","Purchase Rate, ","")&amp;IF(S843="","MRP, ",""),LEN(IF(B843="","PO Ref, ","")&amp;IF(C843="","Vendor, ","")&amp;IF(D843="","Store, ","")&amp;IF(F843="","Product Type, ","")&amp;IF(G843="","Category, ","")&amp;IF(H843="","HSN Code, ","")&amp;IF(Q843="","Qty, ","")&amp;IF(R843="","Purchase Rate, ","")&amp;IF(S843="","MRP, ",""))-2),IF(COUNTIF(Vendors!$B$3:$B$202,C843)=0,"Add vendor "&amp;C843&amp;" on the Vendors sheet",IF(ISNA(MATCH(H843,Codes!$A$2:$A$13,0)),"Pick the HSN Code from the list",IF(AND(E843&lt;&gt;"",COUNTIFS($C$3:$C$1002,C843,$E$3:$E$1002,E843,$F$3:$F$1002,"&lt;&gt;"&amp;F843)+COUNTIFS($C$3:$C$1002,C843,$E$3:$E$1002,E843,$G$3:$G$1002,"&lt;&gt;"&amp;G843)&gt;0),"Design "&amp;E843&amp;" has another Product Type or Category on another row",IF(COUNTIFS($F$3:$F$1002,F843,$G$3:$G$1002,G843,$H$3:$H$1002,"&lt;&gt;"&amp;H843)&gt;0,F843&amp;" + "&amp;G843&amp;" has another HSN Code on another row",IF(AND(V843&lt;&gt;"",U843=""),"Received Qty needs the Vendor Invoice No",IF(AND(U843&lt;&gt;"",COUNTIFS(Bills!$B$3:$B$302,U843,Bills!$C$3:$C$302,C843)=0),"Add bill "&amp;U843&amp;" of "&amp;C843&amp;" on the Bills sheet",IF(S843&lt;R843,"MRP is below the Purchase Rate","OK")))))))))</f>
        <v/>
      </c>
      <c r="B843" s="29"/>
      <c r="C843" s="22"/>
      <c r="D843" s="22"/>
      <c r="E843" s="24"/>
      <c r="F843" s="22"/>
      <c r="G843" s="22"/>
      <c r="H843" s="22"/>
      <c r="I843" s="30" t="str">
        <f>IF(H843="","",IFERROR(INDEX(Codes!$B$2:$B$13,MATCH(H843,Codes!$A$2:$A$13,0)),""))</f>
        <v/>
      </c>
      <c r="J843" s="23"/>
      <c r="K843" s="23"/>
      <c r="L843" s="23"/>
      <c r="M843" s="23"/>
      <c r="N843" s="23"/>
      <c r="O843" s="23"/>
      <c r="P843" s="23"/>
      <c r="Q843" s="31"/>
      <c r="R843" s="32"/>
      <c r="S843" s="32"/>
      <c r="T843" s="33" t="str">
        <f t="shared" si="26"/>
        <v/>
      </c>
      <c r="U843" s="34"/>
      <c r="V843" s="35"/>
      <c r="W843" s="33" t="str">
        <f t="shared" si="27"/>
        <v/>
      </c>
    </row>
    <row r="844" spans="1:23" x14ac:dyDescent="0.35">
      <c r="A844" s="21" t="str">
        <f>IF(COUNTA(B844:H844,J844:S844,U844:V844)=0,"",IF((IF(B844="","PO Ref, ","")&amp;IF(C844="","Vendor, ","")&amp;IF(D844="","Store, ","")&amp;IF(F844="","Product Type, ","")&amp;IF(G844="","Category, ","")&amp;IF(H844="","HSN Code, ","")&amp;IF(Q844="","Qty, ","")&amp;IF(R844="","Purchase Rate, ","")&amp;IF(S844="","MRP, ",""))&lt;&gt;"","Missing: "&amp;LEFT(IF(B844="","PO Ref, ","")&amp;IF(C844="","Vendor, ","")&amp;IF(D844="","Store, ","")&amp;IF(F844="","Product Type, ","")&amp;IF(G844="","Category, ","")&amp;IF(H844="","HSN Code, ","")&amp;IF(Q844="","Qty, ","")&amp;IF(R844="","Purchase Rate, ","")&amp;IF(S844="","MRP, ",""),LEN(IF(B844="","PO Ref, ","")&amp;IF(C844="","Vendor, ","")&amp;IF(D844="","Store, ","")&amp;IF(F844="","Product Type, ","")&amp;IF(G844="","Category, ","")&amp;IF(H844="","HSN Code, ","")&amp;IF(Q844="","Qty, ","")&amp;IF(R844="","Purchase Rate, ","")&amp;IF(S844="","MRP, ",""))-2),IF(COUNTIF(Vendors!$B$3:$B$202,C844)=0,"Add vendor "&amp;C844&amp;" on the Vendors sheet",IF(ISNA(MATCH(H844,Codes!$A$2:$A$13,0)),"Pick the HSN Code from the list",IF(AND(E844&lt;&gt;"",COUNTIFS($C$3:$C$1002,C844,$E$3:$E$1002,E844,$F$3:$F$1002,"&lt;&gt;"&amp;F844)+COUNTIFS($C$3:$C$1002,C844,$E$3:$E$1002,E844,$G$3:$G$1002,"&lt;&gt;"&amp;G844)&gt;0),"Design "&amp;E844&amp;" has another Product Type or Category on another row",IF(COUNTIFS($F$3:$F$1002,F844,$G$3:$G$1002,G844,$H$3:$H$1002,"&lt;&gt;"&amp;H844)&gt;0,F844&amp;" + "&amp;G844&amp;" has another HSN Code on another row",IF(AND(V844&lt;&gt;"",U844=""),"Received Qty needs the Vendor Invoice No",IF(AND(U844&lt;&gt;"",COUNTIFS(Bills!$B$3:$B$302,U844,Bills!$C$3:$C$302,C844)=0),"Add bill "&amp;U844&amp;" of "&amp;C844&amp;" on the Bills sheet",IF(S844&lt;R844,"MRP is below the Purchase Rate","OK")))))))))</f>
        <v/>
      </c>
      <c r="B844" s="29"/>
      <c r="C844" s="22"/>
      <c r="D844" s="22"/>
      <c r="E844" s="24"/>
      <c r="F844" s="22"/>
      <c r="G844" s="22"/>
      <c r="H844" s="22"/>
      <c r="I844" s="30" t="str">
        <f>IF(H844="","",IFERROR(INDEX(Codes!$B$2:$B$13,MATCH(H844,Codes!$A$2:$A$13,0)),""))</f>
        <v/>
      </c>
      <c r="J844" s="23"/>
      <c r="K844" s="23"/>
      <c r="L844" s="23"/>
      <c r="M844" s="23"/>
      <c r="N844" s="23"/>
      <c r="O844" s="23"/>
      <c r="P844" s="23"/>
      <c r="Q844" s="31"/>
      <c r="R844" s="32"/>
      <c r="S844" s="32"/>
      <c r="T844" s="33" t="str">
        <f t="shared" si="26"/>
        <v/>
      </c>
      <c r="U844" s="34"/>
      <c r="V844" s="35"/>
      <c r="W844" s="33" t="str">
        <f t="shared" si="27"/>
        <v/>
      </c>
    </row>
    <row r="845" spans="1:23" x14ac:dyDescent="0.35">
      <c r="A845" s="21" t="str">
        <f>IF(COUNTA(B845:H845,J845:S845,U845:V845)=0,"",IF((IF(B845="","PO Ref, ","")&amp;IF(C845="","Vendor, ","")&amp;IF(D845="","Store, ","")&amp;IF(F845="","Product Type, ","")&amp;IF(G845="","Category, ","")&amp;IF(H845="","HSN Code, ","")&amp;IF(Q845="","Qty, ","")&amp;IF(R845="","Purchase Rate, ","")&amp;IF(S845="","MRP, ",""))&lt;&gt;"","Missing: "&amp;LEFT(IF(B845="","PO Ref, ","")&amp;IF(C845="","Vendor, ","")&amp;IF(D845="","Store, ","")&amp;IF(F845="","Product Type, ","")&amp;IF(G845="","Category, ","")&amp;IF(H845="","HSN Code, ","")&amp;IF(Q845="","Qty, ","")&amp;IF(R845="","Purchase Rate, ","")&amp;IF(S845="","MRP, ",""),LEN(IF(B845="","PO Ref, ","")&amp;IF(C845="","Vendor, ","")&amp;IF(D845="","Store, ","")&amp;IF(F845="","Product Type, ","")&amp;IF(G845="","Category, ","")&amp;IF(H845="","HSN Code, ","")&amp;IF(Q845="","Qty, ","")&amp;IF(R845="","Purchase Rate, ","")&amp;IF(S845="","MRP, ",""))-2),IF(COUNTIF(Vendors!$B$3:$B$202,C845)=0,"Add vendor "&amp;C845&amp;" on the Vendors sheet",IF(ISNA(MATCH(H845,Codes!$A$2:$A$13,0)),"Pick the HSN Code from the list",IF(AND(E845&lt;&gt;"",COUNTIFS($C$3:$C$1002,C845,$E$3:$E$1002,E845,$F$3:$F$1002,"&lt;&gt;"&amp;F845)+COUNTIFS($C$3:$C$1002,C845,$E$3:$E$1002,E845,$G$3:$G$1002,"&lt;&gt;"&amp;G845)&gt;0),"Design "&amp;E845&amp;" has another Product Type or Category on another row",IF(COUNTIFS($F$3:$F$1002,F845,$G$3:$G$1002,G845,$H$3:$H$1002,"&lt;&gt;"&amp;H845)&gt;0,F845&amp;" + "&amp;G845&amp;" has another HSN Code on another row",IF(AND(V845&lt;&gt;"",U845=""),"Received Qty needs the Vendor Invoice No",IF(AND(U845&lt;&gt;"",COUNTIFS(Bills!$B$3:$B$302,U845,Bills!$C$3:$C$302,C845)=0),"Add bill "&amp;U845&amp;" of "&amp;C845&amp;" on the Bills sheet",IF(S845&lt;R845,"MRP is below the Purchase Rate","OK")))))))))</f>
        <v/>
      </c>
      <c r="B845" s="29"/>
      <c r="C845" s="22"/>
      <c r="D845" s="22"/>
      <c r="E845" s="24"/>
      <c r="F845" s="22"/>
      <c r="G845" s="22"/>
      <c r="H845" s="22"/>
      <c r="I845" s="30" t="str">
        <f>IF(H845="","",IFERROR(INDEX(Codes!$B$2:$B$13,MATCH(H845,Codes!$A$2:$A$13,0)),""))</f>
        <v/>
      </c>
      <c r="J845" s="23"/>
      <c r="K845" s="23"/>
      <c r="L845" s="23"/>
      <c r="M845" s="23"/>
      <c r="N845" s="23"/>
      <c r="O845" s="23"/>
      <c r="P845" s="23"/>
      <c r="Q845" s="31"/>
      <c r="R845" s="32"/>
      <c r="S845" s="32"/>
      <c r="T845" s="33" t="str">
        <f t="shared" si="26"/>
        <v/>
      </c>
      <c r="U845" s="34"/>
      <c r="V845" s="35"/>
      <c r="W845" s="33" t="str">
        <f t="shared" si="27"/>
        <v/>
      </c>
    </row>
    <row r="846" spans="1:23" x14ac:dyDescent="0.35">
      <c r="A846" s="21" t="str">
        <f>IF(COUNTA(B846:H846,J846:S846,U846:V846)=0,"",IF((IF(B846="","PO Ref, ","")&amp;IF(C846="","Vendor, ","")&amp;IF(D846="","Store, ","")&amp;IF(F846="","Product Type, ","")&amp;IF(G846="","Category, ","")&amp;IF(H846="","HSN Code, ","")&amp;IF(Q846="","Qty, ","")&amp;IF(R846="","Purchase Rate, ","")&amp;IF(S846="","MRP, ",""))&lt;&gt;"","Missing: "&amp;LEFT(IF(B846="","PO Ref, ","")&amp;IF(C846="","Vendor, ","")&amp;IF(D846="","Store, ","")&amp;IF(F846="","Product Type, ","")&amp;IF(G846="","Category, ","")&amp;IF(H846="","HSN Code, ","")&amp;IF(Q846="","Qty, ","")&amp;IF(R846="","Purchase Rate, ","")&amp;IF(S846="","MRP, ",""),LEN(IF(B846="","PO Ref, ","")&amp;IF(C846="","Vendor, ","")&amp;IF(D846="","Store, ","")&amp;IF(F846="","Product Type, ","")&amp;IF(G846="","Category, ","")&amp;IF(H846="","HSN Code, ","")&amp;IF(Q846="","Qty, ","")&amp;IF(R846="","Purchase Rate, ","")&amp;IF(S846="","MRP, ",""))-2),IF(COUNTIF(Vendors!$B$3:$B$202,C846)=0,"Add vendor "&amp;C846&amp;" on the Vendors sheet",IF(ISNA(MATCH(H846,Codes!$A$2:$A$13,0)),"Pick the HSN Code from the list",IF(AND(E846&lt;&gt;"",COUNTIFS($C$3:$C$1002,C846,$E$3:$E$1002,E846,$F$3:$F$1002,"&lt;&gt;"&amp;F846)+COUNTIFS($C$3:$C$1002,C846,$E$3:$E$1002,E846,$G$3:$G$1002,"&lt;&gt;"&amp;G846)&gt;0),"Design "&amp;E846&amp;" has another Product Type or Category on another row",IF(COUNTIFS($F$3:$F$1002,F846,$G$3:$G$1002,G846,$H$3:$H$1002,"&lt;&gt;"&amp;H846)&gt;0,F846&amp;" + "&amp;G846&amp;" has another HSN Code on another row",IF(AND(V846&lt;&gt;"",U846=""),"Received Qty needs the Vendor Invoice No",IF(AND(U846&lt;&gt;"",COUNTIFS(Bills!$B$3:$B$302,U846,Bills!$C$3:$C$302,C846)=0),"Add bill "&amp;U846&amp;" of "&amp;C846&amp;" on the Bills sheet",IF(S846&lt;R846,"MRP is below the Purchase Rate","OK")))))))))</f>
        <v/>
      </c>
      <c r="B846" s="29"/>
      <c r="C846" s="22"/>
      <c r="D846" s="22"/>
      <c r="E846" s="24"/>
      <c r="F846" s="22"/>
      <c r="G846" s="22"/>
      <c r="H846" s="22"/>
      <c r="I846" s="30" t="str">
        <f>IF(H846="","",IFERROR(INDEX(Codes!$B$2:$B$13,MATCH(H846,Codes!$A$2:$A$13,0)),""))</f>
        <v/>
      </c>
      <c r="J846" s="23"/>
      <c r="K846" s="23"/>
      <c r="L846" s="23"/>
      <c r="M846" s="23"/>
      <c r="N846" s="23"/>
      <c r="O846" s="23"/>
      <c r="P846" s="23"/>
      <c r="Q846" s="31"/>
      <c r="R846" s="32"/>
      <c r="S846" s="32"/>
      <c r="T846" s="33" t="str">
        <f t="shared" si="26"/>
        <v/>
      </c>
      <c r="U846" s="34"/>
      <c r="V846" s="35"/>
      <c r="W846" s="33" t="str">
        <f t="shared" si="27"/>
        <v/>
      </c>
    </row>
    <row r="847" spans="1:23" x14ac:dyDescent="0.35">
      <c r="A847" s="21" t="str">
        <f>IF(COUNTA(B847:H847,J847:S847,U847:V847)=0,"",IF((IF(B847="","PO Ref, ","")&amp;IF(C847="","Vendor, ","")&amp;IF(D847="","Store, ","")&amp;IF(F847="","Product Type, ","")&amp;IF(G847="","Category, ","")&amp;IF(H847="","HSN Code, ","")&amp;IF(Q847="","Qty, ","")&amp;IF(R847="","Purchase Rate, ","")&amp;IF(S847="","MRP, ",""))&lt;&gt;"","Missing: "&amp;LEFT(IF(B847="","PO Ref, ","")&amp;IF(C847="","Vendor, ","")&amp;IF(D847="","Store, ","")&amp;IF(F847="","Product Type, ","")&amp;IF(G847="","Category, ","")&amp;IF(H847="","HSN Code, ","")&amp;IF(Q847="","Qty, ","")&amp;IF(R847="","Purchase Rate, ","")&amp;IF(S847="","MRP, ",""),LEN(IF(B847="","PO Ref, ","")&amp;IF(C847="","Vendor, ","")&amp;IF(D847="","Store, ","")&amp;IF(F847="","Product Type, ","")&amp;IF(G847="","Category, ","")&amp;IF(H847="","HSN Code, ","")&amp;IF(Q847="","Qty, ","")&amp;IF(R847="","Purchase Rate, ","")&amp;IF(S847="","MRP, ",""))-2),IF(COUNTIF(Vendors!$B$3:$B$202,C847)=0,"Add vendor "&amp;C847&amp;" on the Vendors sheet",IF(ISNA(MATCH(H847,Codes!$A$2:$A$13,0)),"Pick the HSN Code from the list",IF(AND(E847&lt;&gt;"",COUNTIFS($C$3:$C$1002,C847,$E$3:$E$1002,E847,$F$3:$F$1002,"&lt;&gt;"&amp;F847)+COUNTIFS($C$3:$C$1002,C847,$E$3:$E$1002,E847,$G$3:$G$1002,"&lt;&gt;"&amp;G847)&gt;0),"Design "&amp;E847&amp;" has another Product Type or Category on another row",IF(COUNTIFS($F$3:$F$1002,F847,$G$3:$G$1002,G847,$H$3:$H$1002,"&lt;&gt;"&amp;H847)&gt;0,F847&amp;" + "&amp;G847&amp;" has another HSN Code on another row",IF(AND(V847&lt;&gt;"",U847=""),"Received Qty needs the Vendor Invoice No",IF(AND(U847&lt;&gt;"",COUNTIFS(Bills!$B$3:$B$302,U847,Bills!$C$3:$C$302,C847)=0),"Add bill "&amp;U847&amp;" of "&amp;C847&amp;" on the Bills sheet",IF(S847&lt;R847,"MRP is below the Purchase Rate","OK")))))))))</f>
        <v/>
      </c>
      <c r="B847" s="29"/>
      <c r="C847" s="22"/>
      <c r="D847" s="22"/>
      <c r="E847" s="24"/>
      <c r="F847" s="22"/>
      <c r="G847" s="22"/>
      <c r="H847" s="22"/>
      <c r="I847" s="30" t="str">
        <f>IF(H847="","",IFERROR(INDEX(Codes!$B$2:$B$13,MATCH(H847,Codes!$A$2:$A$13,0)),""))</f>
        <v/>
      </c>
      <c r="J847" s="23"/>
      <c r="K847" s="23"/>
      <c r="L847" s="23"/>
      <c r="M847" s="23"/>
      <c r="N847" s="23"/>
      <c r="O847" s="23"/>
      <c r="P847" s="23"/>
      <c r="Q847" s="31"/>
      <c r="R847" s="32"/>
      <c r="S847" s="32"/>
      <c r="T847" s="33" t="str">
        <f t="shared" si="26"/>
        <v/>
      </c>
      <c r="U847" s="34"/>
      <c r="V847" s="35"/>
      <c r="W847" s="33" t="str">
        <f t="shared" si="27"/>
        <v/>
      </c>
    </row>
    <row r="848" spans="1:23" x14ac:dyDescent="0.35">
      <c r="A848" s="21" t="str">
        <f>IF(COUNTA(B848:H848,J848:S848,U848:V848)=0,"",IF((IF(B848="","PO Ref, ","")&amp;IF(C848="","Vendor, ","")&amp;IF(D848="","Store, ","")&amp;IF(F848="","Product Type, ","")&amp;IF(G848="","Category, ","")&amp;IF(H848="","HSN Code, ","")&amp;IF(Q848="","Qty, ","")&amp;IF(R848="","Purchase Rate, ","")&amp;IF(S848="","MRP, ",""))&lt;&gt;"","Missing: "&amp;LEFT(IF(B848="","PO Ref, ","")&amp;IF(C848="","Vendor, ","")&amp;IF(D848="","Store, ","")&amp;IF(F848="","Product Type, ","")&amp;IF(G848="","Category, ","")&amp;IF(H848="","HSN Code, ","")&amp;IF(Q848="","Qty, ","")&amp;IF(R848="","Purchase Rate, ","")&amp;IF(S848="","MRP, ",""),LEN(IF(B848="","PO Ref, ","")&amp;IF(C848="","Vendor, ","")&amp;IF(D848="","Store, ","")&amp;IF(F848="","Product Type, ","")&amp;IF(G848="","Category, ","")&amp;IF(H848="","HSN Code, ","")&amp;IF(Q848="","Qty, ","")&amp;IF(R848="","Purchase Rate, ","")&amp;IF(S848="","MRP, ",""))-2),IF(COUNTIF(Vendors!$B$3:$B$202,C848)=0,"Add vendor "&amp;C848&amp;" on the Vendors sheet",IF(ISNA(MATCH(H848,Codes!$A$2:$A$13,0)),"Pick the HSN Code from the list",IF(AND(E848&lt;&gt;"",COUNTIFS($C$3:$C$1002,C848,$E$3:$E$1002,E848,$F$3:$F$1002,"&lt;&gt;"&amp;F848)+COUNTIFS($C$3:$C$1002,C848,$E$3:$E$1002,E848,$G$3:$G$1002,"&lt;&gt;"&amp;G848)&gt;0),"Design "&amp;E848&amp;" has another Product Type or Category on another row",IF(COUNTIFS($F$3:$F$1002,F848,$G$3:$G$1002,G848,$H$3:$H$1002,"&lt;&gt;"&amp;H848)&gt;0,F848&amp;" + "&amp;G848&amp;" has another HSN Code on another row",IF(AND(V848&lt;&gt;"",U848=""),"Received Qty needs the Vendor Invoice No",IF(AND(U848&lt;&gt;"",COUNTIFS(Bills!$B$3:$B$302,U848,Bills!$C$3:$C$302,C848)=0),"Add bill "&amp;U848&amp;" of "&amp;C848&amp;" on the Bills sheet",IF(S848&lt;R848,"MRP is below the Purchase Rate","OK")))))))))</f>
        <v/>
      </c>
      <c r="B848" s="29"/>
      <c r="C848" s="22"/>
      <c r="D848" s="22"/>
      <c r="E848" s="24"/>
      <c r="F848" s="22"/>
      <c r="G848" s="22"/>
      <c r="H848" s="22"/>
      <c r="I848" s="30" t="str">
        <f>IF(H848="","",IFERROR(INDEX(Codes!$B$2:$B$13,MATCH(H848,Codes!$A$2:$A$13,0)),""))</f>
        <v/>
      </c>
      <c r="J848" s="23"/>
      <c r="K848" s="23"/>
      <c r="L848" s="23"/>
      <c r="M848" s="23"/>
      <c r="N848" s="23"/>
      <c r="O848" s="23"/>
      <c r="P848" s="23"/>
      <c r="Q848" s="31"/>
      <c r="R848" s="32"/>
      <c r="S848" s="32"/>
      <c r="T848" s="33" t="str">
        <f t="shared" si="26"/>
        <v/>
      </c>
      <c r="U848" s="34"/>
      <c r="V848" s="35"/>
      <c r="W848" s="33" t="str">
        <f t="shared" si="27"/>
        <v/>
      </c>
    </row>
    <row r="849" spans="1:23" x14ac:dyDescent="0.35">
      <c r="A849" s="21" t="str">
        <f>IF(COUNTA(B849:H849,J849:S849,U849:V849)=0,"",IF((IF(B849="","PO Ref, ","")&amp;IF(C849="","Vendor, ","")&amp;IF(D849="","Store, ","")&amp;IF(F849="","Product Type, ","")&amp;IF(G849="","Category, ","")&amp;IF(H849="","HSN Code, ","")&amp;IF(Q849="","Qty, ","")&amp;IF(R849="","Purchase Rate, ","")&amp;IF(S849="","MRP, ",""))&lt;&gt;"","Missing: "&amp;LEFT(IF(B849="","PO Ref, ","")&amp;IF(C849="","Vendor, ","")&amp;IF(D849="","Store, ","")&amp;IF(F849="","Product Type, ","")&amp;IF(G849="","Category, ","")&amp;IF(H849="","HSN Code, ","")&amp;IF(Q849="","Qty, ","")&amp;IF(R849="","Purchase Rate, ","")&amp;IF(S849="","MRP, ",""),LEN(IF(B849="","PO Ref, ","")&amp;IF(C849="","Vendor, ","")&amp;IF(D849="","Store, ","")&amp;IF(F849="","Product Type, ","")&amp;IF(G849="","Category, ","")&amp;IF(H849="","HSN Code, ","")&amp;IF(Q849="","Qty, ","")&amp;IF(R849="","Purchase Rate, ","")&amp;IF(S849="","MRP, ",""))-2),IF(COUNTIF(Vendors!$B$3:$B$202,C849)=0,"Add vendor "&amp;C849&amp;" on the Vendors sheet",IF(ISNA(MATCH(H849,Codes!$A$2:$A$13,0)),"Pick the HSN Code from the list",IF(AND(E849&lt;&gt;"",COUNTIFS($C$3:$C$1002,C849,$E$3:$E$1002,E849,$F$3:$F$1002,"&lt;&gt;"&amp;F849)+COUNTIFS($C$3:$C$1002,C849,$E$3:$E$1002,E849,$G$3:$G$1002,"&lt;&gt;"&amp;G849)&gt;0),"Design "&amp;E849&amp;" has another Product Type or Category on another row",IF(COUNTIFS($F$3:$F$1002,F849,$G$3:$G$1002,G849,$H$3:$H$1002,"&lt;&gt;"&amp;H849)&gt;0,F849&amp;" + "&amp;G849&amp;" has another HSN Code on another row",IF(AND(V849&lt;&gt;"",U849=""),"Received Qty needs the Vendor Invoice No",IF(AND(U849&lt;&gt;"",COUNTIFS(Bills!$B$3:$B$302,U849,Bills!$C$3:$C$302,C849)=0),"Add bill "&amp;U849&amp;" of "&amp;C849&amp;" on the Bills sheet",IF(S849&lt;R849,"MRP is below the Purchase Rate","OK")))))))))</f>
        <v/>
      </c>
      <c r="B849" s="29"/>
      <c r="C849" s="22"/>
      <c r="D849" s="22"/>
      <c r="E849" s="24"/>
      <c r="F849" s="22"/>
      <c r="G849" s="22"/>
      <c r="H849" s="22"/>
      <c r="I849" s="30" t="str">
        <f>IF(H849="","",IFERROR(INDEX(Codes!$B$2:$B$13,MATCH(H849,Codes!$A$2:$A$13,0)),""))</f>
        <v/>
      </c>
      <c r="J849" s="23"/>
      <c r="K849" s="23"/>
      <c r="L849" s="23"/>
      <c r="M849" s="23"/>
      <c r="N849" s="23"/>
      <c r="O849" s="23"/>
      <c r="P849" s="23"/>
      <c r="Q849" s="31"/>
      <c r="R849" s="32"/>
      <c r="S849" s="32"/>
      <c r="T849" s="33" t="str">
        <f t="shared" si="26"/>
        <v/>
      </c>
      <c r="U849" s="34"/>
      <c r="V849" s="35"/>
      <c r="W849" s="33" t="str">
        <f t="shared" si="27"/>
        <v/>
      </c>
    </row>
    <row r="850" spans="1:23" x14ac:dyDescent="0.35">
      <c r="A850" s="21" t="str">
        <f>IF(COUNTA(B850:H850,J850:S850,U850:V850)=0,"",IF((IF(B850="","PO Ref, ","")&amp;IF(C850="","Vendor, ","")&amp;IF(D850="","Store, ","")&amp;IF(F850="","Product Type, ","")&amp;IF(G850="","Category, ","")&amp;IF(H850="","HSN Code, ","")&amp;IF(Q850="","Qty, ","")&amp;IF(R850="","Purchase Rate, ","")&amp;IF(S850="","MRP, ",""))&lt;&gt;"","Missing: "&amp;LEFT(IF(B850="","PO Ref, ","")&amp;IF(C850="","Vendor, ","")&amp;IF(D850="","Store, ","")&amp;IF(F850="","Product Type, ","")&amp;IF(G850="","Category, ","")&amp;IF(H850="","HSN Code, ","")&amp;IF(Q850="","Qty, ","")&amp;IF(R850="","Purchase Rate, ","")&amp;IF(S850="","MRP, ",""),LEN(IF(B850="","PO Ref, ","")&amp;IF(C850="","Vendor, ","")&amp;IF(D850="","Store, ","")&amp;IF(F850="","Product Type, ","")&amp;IF(G850="","Category, ","")&amp;IF(H850="","HSN Code, ","")&amp;IF(Q850="","Qty, ","")&amp;IF(R850="","Purchase Rate, ","")&amp;IF(S850="","MRP, ",""))-2),IF(COUNTIF(Vendors!$B$3:$B$202,C850)=0,"Add vendor "&amp;C850&amp;" on the Vendors sheet",IF(ISNA(MATCH(H850,Codes!$A$2:$A$13,0)),"Pick the HSN Code from the list",IF(AND(E850&lt;&gt;"",COUNTIFS($C$3:$C$1002,C850,$E$3:$E$1002,E850,$F$3:$F$1002,"&lt;&gt;"&amp;F850)+COUNTIFS($C$3:$C$1002,C850,$E$3:$E$1002,E850,$G$3:$G$1002,"&lt;&gt;"&amp;G850)&gt;0),"Design "&amp;E850&amp;" has another Product Type or Category on another row",IF(COUNTIFS($F$3:$F$1002,F850,$G$3:$G$1002,G850,$H$3:$H$1002,"&lt;&gt;"&amp;H850)&gt;0,F850&amp;" + "&amp;G850&amp;" has another HSN Code on another row",IF(AND(V850&lt;&gt;"",U850=""),"Received Qty needs the Vendor Invoice No",IF(AND(U850&lt;&gt;"",COUNTIFS(Bills!$B$3:$B$302,U850,Bills!$C$3:$C$302,C850)=0),"Add bill "&amp;U850&amp;" of "&amp;C850&amp;" on the Bills sheet",IF(S850&lt;R850,"MRP is below the Purchase Rate","OK")))))))))</f>
        <v/>
      </c>
      <c r="B850" s="29"/>
      <c r="C850" s="22"/>
      <c r="D850" s="22"/>
      <c r="E850" s="24"/>
      <c r="F850" s="22"/>
      <c r="G850" s="22"/>
      <c r="H850" s="22"/>
      <c r="I850" s="30" t="str">
        <f>IF(H850="","",IFERROR(INDEX(Codes!$B$2:$B$13,MATCH(H850,Codes!$A$2:$A$13,0)),""))</f>
        <v/>
      </c>
      <c r="J850" s="23"/>
      <c r="K850" s="23"/>
      <c r="L850" s="23"/>
      <c r="M850" s="23"/>
      <c r="N850" s="23"/>
      <c r="O850" s="23"/>
      <c r="P850" s="23"/>
      <c r="Q850" s="31"/>
      <c r="R850" s="32"/>
      <c r="S850" s="32"/>
      <c r="T850" s="33" t="str">
        <f t="shared" si="26"/>
        <v/>
      </c>
      <c r="U850" s="34"/>
      <c r="V850" s="35"/>
      <c r="W850" s="33" t="str">
        <f t="shared" si="27"/>
        <v/>
      </c>
    </row>
    <row r="851" spans="1:23" x14ac:dyDescent="0.35">
      <c r="A851" s="21" t="str">
        <f>IF(COUNTA(B851:H851,J851:S851,U851:V851)=0,"",IF((IF(B851="","PO Ref, ","")&amp;IF(C851="","Vendor, ","")&amp;IF(D851="","Store, ","")&amp;IF(F851="","Product Type, ","")&amp;IF(G851="","Category, ","")&amp;IF(H851="","HSN Code, ","")&amp;IF(Q851="","Qty, ","")&amp;IF(R851="","Purchase Rate, ","")&amp;IF(S851="","MRP, ",""))&lt;&gt;"","Missing: "&amp;LEFT(IF(B851="","PO Ref, ","")&amp;IF(C851="","Vendor, ","")&amp;IF(D851="","Store, ","")&amp;IF(F851="","Product Type, ","")&amp;IF(G851="","Category, ","")&amp;IF(H851="","HSN Code, ","")&amp;IF(Q851="","Qty, ","")&amp;IF(R851="","Purchase Rate, ","")&amp;IF(S851="","MRP, ",""),LEN(IF(B851="","PO Ref, ","")&amp;IF(C851="","Vendor, ","")&amp;IF(D851="","Store, ","")&amp;IF(F851="","Product Type, ","")&amp;IF(G851="","Category, ","")&amp;IF(H851="","HSN Code, ","")&amp;IF(Q851="","Qty, ","")&amp;IF(R851="","Purchase Rate, ","")&amp;IF(S851="","MRP, ",""))-2),IF(COUNTIF(Vendors!$B$3:$B$202,C851)=0,"Add vendor "&amp;C851&amp;" on the Vendors sheet",IF(ISNA(MATCH(H851,Codes!$A$2:$A$13,0)),"Pick the HSN Code from the list",IF(AND(E851&lt;&gt;"",COUNTIFS($C$3:$C$1002,C851,$E$3:$E$1002,E851,$F$3:$F$1002,"&lt;&gt;"&amp;F851)+COUNTIFS($C$3:$C$1002,C851,$E$3:$E$1002,E851,$G$3:$G$1002,"&lt;&gt;"&amp;G851)&gt;0),"Design "&amp;E851&amp;" has another Product Type or Category on another row",IF(COUNTIFS($F$3:$F$1002,F851,$G$3:$G$1002,G851,$H$3:$H$1002,"&lt;&gt;"&amp;H851)&gt;0,F851&amp;" + "&amp;G851&amp;" has another HSN Code on another row",IF(AND(V851&lt;&gt;"",U851=""),"Received Qty needs the Vendor Invoice No",IF(AND(U851&lt;&gt;"",COUNTIFS(Bills!$B$3:$B$302,U851,Bills!$C$3:$C$302,C851)=0),"Add bill "&amp;U851&amp;" of "&amp;C851&amp;" on the Bills sheet",IF(S851&lt;R851,"MRP is below the Purchase Rate","OK")))))))))</f>
        <v/>
      </c>
      <c r="B851" s="29"/>
      <c r="C851" s="22"/>
      <c r="D851" s="22"/>
      <c r="E851" s="24"/>
      <c r="F851" s="22"/>
      <c r="G851" s="22"/>
      <c r="H851" s="22"/>
      <c r="I851" s="30" t="str">
        <f>IF(H851="","",IFERROR(INDEX(Codes!$B$2:$B$13,MATCH(H851,Codes!$A$2:$A$13,0)),""))</f>
        <v/>
      </c>
      <c r="J851" s="23"/>
      <c r="K851" s="23"/>
      <c r="L851" s="23"/>
      <c r="M851" s="23"/>
      <c r="N851" s="23"/>
      <c r="O851" s="23"/>
      <c r="P851" s="23"/>
      <c r="Q851" s="31"/>
      <c r="R851" s="32"/>
      <c r="S851" s="32"/>
      <c r="T851" s="33" t="str">
        <f t="shared" si="26"/>
        <v/>
      </c>
      <c r="U851" s="34"/>
      <c r="V851" s="35"/>
      <c r="W851" s="33" t="str">
        <f t="shared" si="27"/>
        <v/>
      </c>
    </row>
    <row r="852" spans="1:23" x14ac:dyDescent="0.35">
      <c r="A852" s="21" t="str">
        <f>IF(COUNTA(B852:H852,J852:S852,U852:V852)=0,"",IF((IF(B852="","PO Ref, ","")&amp;IF(C852="","Vendor, ","")&amp;IF(D852="","Store, ","")&amp;IF(F852="","Product Type, ","")&amp;IF(G852="","Category, ","")&amp;IF(H852="","HSN Code, ","")&amp;IF(Q852="","Qty, ","")&amp;IF(R852="","Purchase Rate, ","")&amp;IF(S852="","MRP, ",""))&lt;&gt;"","Missing: "&amp;LEFT(IF(B852="","PO Ref, ","")&amp;IF(C852="","Vendor, ","")&amp;IF(D852="","Store, ","")&amp;IF(F852="","Product Type, ","")&amp;IF(G852="","Category, ","")&amp;IF(H852="","HSN Code, ","")&amp;IF(Q852="","Qty, ","")&amp;IF(R852="","Purchase Rate, ","")&amp;IF(S852="","MRP, ",""),LEN(IF(B852="","PO Ref, ","")&amp;IF(C852="","Vendor, ","")&amp;IF(D852="","Store, ","")&amp;IF(F852="","Product Type, ","")&amp;IF(G852="","Category, ","")&amp;IF(H852="","HSN Code, ","")&amp;IF(Q852="","Qty, ","")&amp;IF(R852="","Purchase Rate, ","")&amp;IF(S852="","MRP, ",""))-2),IF(COUNTIF(Vendors!$B$3:$B$202,C852)=0,"Add vendor "&amp;C852&amp;" on the Vendors sheet",IF(ISNA(MATCH(H852,Codes!$A$2:$A$13,0)),"Pick the HSN Code from the list",IF(AND(E852&lt;&gt;"",COUNTIFS($C$3:$C$1002,C852,$E$3:$E$1002,E852,$F$3:$F$1002,"&lt;&gt;"&amp;F852)+COUNTIFS($C$3:$C$1002,C852,$E$3:$E$1002,E852,$G$3:$G$1002,"&lt;&gt;"&amp;G852)&gt;0),"Design "&amp;E852&amp;" has another Product Type or Category on another row",IF(COUNTIFS($F$3:$F$1002,F852,$G$3:$G$1002,G852,$H$3:$H$1002,"&lt;&gt;"&amp;H852)&gt;0,F852&amp;" + "&amp;G852&amp;" has another HSN Code on another row",IF(AND(V852&lt;&gt;"",U852=""),"Received Qty needs the Vendor Invoice No",IF(AND(U852&lt;&gt;"",COUNTIFS(Bills!$B$3:$B$302,U852,Bills!$C$3:$C$302,C852)=0),"Add bill "&amp;U852&amp;" of "&amp;C852&amp;" on the Bills sheet",IF(S852&lt;R852,"MRP is below the Purchase Rate","OK")))))))))</f>
        <v/>
      </c>
      <c r="B852" s="29"/>
      <c r="C852" s="22"/>
      <c r="D852" s="22"/>
      <c r="E852" s="24"/>
      <c r="F852" s="22"/>
      <c r="G852" s="22"/>
      <c r="H852" s="22"/>
      <c r="I852" s="30" t="str">
        <f>IF(H852="","",IFERROR(INDEX(Codes!$B$2:$B$13,MATCH(H852,Codes!$A$2:$A$13,0)),""))</f>
        <v/>
      </c>
      <c r="J852" s="23"/>
      <c r="K852" s="23"/>
      <c r="L852" s="23"/>
      <c r="M852" s="23"/>
      <c r="N852" s="23"/>
      <c r="O852" s="23"/>
      <c r="P852" s="23"/>
      <c r="Q852" s="31"/>
      <c r="R852" s="32"/>
      <c r="S852" s="32"/>
      <c r="T852" s="33" t="str">
        <f t="shared" si="26"/>
        <v/>
      </c>
      <c r="U852" s="34"/>
      <c r="V852" s="35"/>
      <c r="W852" s="33" t="str">
        <f t="shared" si="27"/>
        <v/>
      </c>
    </row>
    <row r="853" spans="1:23" x14ac:dyDescent="0.35">
      <c r="A853" s="21" t="str">
        <f>IF(COUNTA(B853:H853,J853:S853,U853:V853)=0,"",IF((IF(B853="","PO Ref, ","")&amp;IF(C853="","Vendor, ","")&amp;IF(D853="","Store, ","")&amp;IF(F853="","Product Type, ","")&amp;IF(G853="","Category, ","")&amp;IF(H853="","HSN Code, ","")&amp;IF(Q853="","Qty, ","")&amp;IF(R853="","Purchase Rate, ","")&amp;IF(S853="","MRP, ",""))&lt;&gt;"","Missing: "&amp;LEFT(IF(B853="","PO Ref, ","")&amp;IF(C853="","Vendor, ","")&amp;IF(D853="","Store, ","")&amp;IF(F853="","Product Type, ","")&amp;IF(G853="","Category, ","")&amp;IF(H853="","HSN Code, ","")&amp;IF(Q853="","Qty, ","")&amp;IF(R853="","Purchase Rate, ","")&amp;IF(S853="","MRP, ",""),LEN(IF(B853="","PO Ref, ","")&amp;IF(C853="","Vendor, ","")&amp;IF(D853="","Store, ","")&amp;IF(F853="","Product Type, ","")&amp;IF(G853="","Category, ","")&amp;IF(H853="","HSN Code, ","")&amp;IF(Q853="","Qty, ","")&amp;IF(R853="","Purchase Rate, ","")&amp;IF(S853="","MRP, ",""))-2),IF(COUNTIF(Vendors!$B$3:$B$202,C853)=0,"Add vendor "&amp;C853&amp;" on the Vendors sheet",IF(ISNA(MATCH(H853,Codes!$A$2:$A$13,0)),"Pick the HSN Code from the list",IF(AND(E853&lt;&gt;"",COUNTIFS($C$3:$C$1002,C853,$E$3:$E$1002,E853,$F$3:$F$1002,"&lt;&gt;"&amp;F853)+COUNTIFS($C$3:$C$1002,C853,$E$3:$E$1002,E853,$G$3:$G$1002,"&lt;&gt;"&amp;G853)&gt;0),"Design "&amp;E853&amp;" has another Product Type or Category on another row",IF(COUNTIFS($F$3:$F$1002,F853,$G$3:$G$1002,G853,$H$3:$H$1002,"&lt;&gt;"&amp;H853)&gt;0,F853&amp;" + "&amp;G853&amp;" has another HSN Code on another row",IF(AND(V853&lt;&gt;"",U853=""),"Received Qty needs the Vendor Invoice No",IF(AND(U853&lt;&gt;"",COUNTIFS(Bills!$B$3:$B$302,U853,Bills!$C$3:$C$302,C853)=0),"Add bill "&amp;U853&amp;" of "&amp;C853&amp;" on the Bills sheet",IF(S853&lt;R853,"MRP is below the Purchase Rate","OK")))))))))</f>
        <v/>
      </c>
      <c r="B853" s="29"/>
      <c r="C853" s="22"/>
      <c r="D853" s="22"/>
      <c r="E853" s="24"/>
      <c r="F853" s="22"/>
      <c r="G853" s="22"/>
      <c r="H853" s="22"/>
      <c r="I853" s="30" t="str">
        <f>IF(H853="","",IFERROR(INDEX(Codes!$B$2:$B$13,MATCH(H853,Codes!$A$2:$A$13,0)),""))</f>
        <v/>
      </c>
      <c r="J853" s="23"/>
      <c r="K853" s="23"/>
      <c r="L853" s="23"/>
      <c r="M853" s="23"/>
      <c r="N853" s="23"/>
      <c r="O853" s="23"/>
      <c r="P853" s="23"/>
      <c r="Q853" s="31"/>
      <c r="R853" s="32"/>
      <c r="S853" s="32"/>
      <c r="T853" s="33" t="str">
        <f t="shared" si="26"/>
        <v/>
      </c>
      <c r="U853" s="34"/>
      <c r="V853" s="35"/>
      <c r="W853" s="33" t="str">
        <f t="shared" si="27"/>
        <v/>
      </c>
    </row>
    <row r="854" spans="1:23" x14ac:dyDescent="0.35">
      <c r="A854" s="21" t="str">
        <f>IF(COUNTA(B854:H854,J854:S854,U854:V854)=0,"",IF((IF(B854="","PO Ref, ","")&amp;IF(C854="","Vendor, ","")&amp;IF(D854="","Store, ","")&amp;IF(F854="","Product Type, ","")&amp;IF(G854="","Category, ","")&amp;IF(H854="","HSN Code, ","")&amp;IF(Q854="","Qty, ","")&amp;IF(R854="","Purchase Rate, ","")&amp;IF(S854="","MRP, ",""))&lt;&gt;"","Missing: "&amp;LEFT(IF(B854="","PO Ref, ","")&amp;IF(C854="","Vendor, ","")&amp;IF(D854="","Store, ","")&amp;IF(F854="","Product Type, ","")&amp;IF(G854="","Category, ","")&amp;IF(H854="","HSN Code, ","")&amp;IF(Q854="","Qty, ","")&amp;IF(R854="","Purchase Rate, ","")&amp;IF(S854="","MRP, ",""),LEN(IF(B854="","PO Ref, ","")&amp;IF(C854="","Vendor, ","")&amp;IF(D854="","Store, ","")&amp;IF(F854="","Product Type, ","")&amp;IF(G854="","Category, ","")&amp;IF(H854="","HSN Code, ","")&amp;IF(Q854="","Qty, ","")&amp;IF(R854="","Purchase Rate, ","")&amp;IF(S854="","MRP, ",""))-2),IF(COUNTIF(Vendors!$B$3:$B$202,C854)=0,"Add vendor "&amp;C854&amp;" on the Vendors sheet",IF(ISNA(MATCH(H854,Codes!$A$2:$A$13,0)),"Pick the HSN Code from the list",IF(AND(E854&lt;&gt;"",COUNTIFS($C$3:$C$1002,C854,$E$3:$E$1002,E854,$F$3:$F$1002,"&lt;&gt;"&amp;F854)+COUNTIFS($C$3:$C$1002,C854,$E$3:$E$1002,E854,$G$3:$G$1002,"&lt;&gt;"&amp;G854)&gt;0),"Design "&amp;E854&amp;" has another Product Type or Category on another row",IF(COUNTIFS($F$3:$F$1002,F854,$G$3:$G$1002,G854,$H$3:$H$1002,"&lt;&gt;"&amp;H854)&gt;0,F854&amp;" + "&amp;G854&amp;" has another HSN Code on another row",IF(AND(V854&lt;&gt;"",U854=""),"Received Qty needs the Vendor Invoice No",IF(AND(U854&lt;&gt;"",COUNTIFS(Bills!$B$3:$B$302,U854,Bills!$C$3:$C$302,C854)=0),"Add bill "&amp;U854&amp;" of "&amp;C854&amp;" on the Bills sheet",IF(S854&lt;R854,"MRP is below the Purchase Rate","OK")))))))))</f>
        <v/>
      </c>
      <c r="B854" s="29"/>
      <c r="C854" s="22"/>
      <c r="D854" s="22"/>
      <c r="E854" s="24"/>
      <c r="F854" s="22"/>
      <c r="G854" s="22"/>
      <c r="H854" s="22"/>
      <c r="I854" s="30" t="str">
        <f>IF(H854="","",IFERROR(INDEX(Codes!$B$2:$B$13,MATCH(H854,Codes!$A$2:$A$13,0)),""))</f>
        <v/>
      </c>
      <c r="J854" s="23"/>
      <c r="K854" s="23"/>
      <c r="L854" s="23"/>
      <c r="M854" s="23"/>
      <c r="N854" s="23"/>
      <c r="O854" s="23"/>
      <c r="P854" s="23"/>
      <c r="Q854" s="31"/>
      <c r="R854" s="32"/>
      <c r="S854" s="32"/>
      <c r="T854" s="33" t="str">
        <f t="shared" si="26"/>
        <v/>
      </c>
      <c r="U854" s="34"/>
      <c r="V854" s="35"/>
      <c r="W854" s="33" t="str">
        <f t="shared" si="27"/>
        <v/>
      </c>
    </row>
    <row r="855" spans="1:23" x14ac:dyDescent="0.35">
      <c r="A855" s="21" t="str">
        <f>IF(COUNTA(B855:H855,J855:S855,U855:V855)=0,"",IF((IF(B855="","PO Ref, ","")&amp;IF(C855="","Vendor, ","")&amp;IF(D855="","Store, ","")&amp;IF(F855="","Product Type, ","")&amp;IF(G855="","Category, ","")&amp;IF(H855="","HSN Code, ","")&amp;IF(Q855="","Qty, ","")&amp;IF(R855="","Purchase Rate, ","")&amp;IF(S855="","MRP, ",""))&lt;&gt;"","Missing: "&amp;LEFT(IF(B855="","PO Ref, ","")&amp;IF(C855="","Vendor, ","")&amp;IF(D855="","Store, ","")&amp;IF(F855="","Product Type, ","")&amp;IF(G855="","Category, ","")&amp;IF(H855="","HSN Code, ","")&amp;IF(Q855="","Qty, ","")&amp;IF(R855="","Purchase Rate, ","")&amp;IF(S855="","MRP, ",""),LEN(IF(B855="","PO Ref, ","")&amp;IF(C855="","Vendor, ","")&amp;IF(D855="","Store, ","")&amp;IF(F855="","Product Type, ","")&amp;IF(G855="","Category, ","")&amp;IF(H855="","HSN Code, ","")&amp;IF(Q855="","Qty, ","")&amp;IF(R855="","Purchase Rate, ","")&amp;IF(S855="","MRP, ",""))-2),IF(COUNTIF(Vendors!$B$3:$B$202,C855)=0,"Add vendor "&amp;C855&amp;" on the Vendors sheet",IF(ISNA(MATCH(H855,Codes!$A$2:$A$13,0)),"Pick the HSN Code from the list",IF(AND(E855&lt;&gt;"",COUNTIFS($C$3:$C$1002,C855,$E$3:$E$1002,E855,$F$3:$F$1002,"&lt;&gt;"&amp;F855)+COUNTIFS($C$3:$C$1002,C855,$E$3:$E$1002,E855,$G$3:$G$1002,"&lt;&gt;"&amp;G855)&gt;0),"Design "&amp;E855&amp;" has another Product Type or Category on another row",IF(COUNTIFS($F$3:$F$1002,F855,$G$3:$G$1002,G855,$H$3:$H$1002,"&lt;&gt;"&amp;H855)&gt;0,F855&amp;" + "&amp;G855&amp;" has another HSN Code on another row",IF(AND(V855&lt;&gt;"",U855=""),"Received Qty needs the Vendor Invoice No",IF(AND(U855&lt;&gt;"",COUNTIFS(Bills!$B$3:$B$302,U855,Bills!$C$3:$C$302,C855)=0),"Add bill "&amp;U855&amp;" of "&amp;C855&amp;" on the Bills sheet",IF(S855&lt;R855,"MRP is below the Purchase Rate","OK")))))))))</f>
        <v/>
      </c>
      <c r="B855" s="29"/>
      <c r="C855" s="22"/>
      <c r="D855" s="22"/>
      <c r="E855" s="24"/>
      <c r="F855" s="22"/>
      <c r="G855" s="22"/>
      <c r="H855" s="22"/>
      <c r="I855" s="30" t="str">
        <f>IF(H855="","",IFERROR(INDEX(Codes!$B$2:$B$13,MATCH(H855,Codes!$A$2:$A$13,0)),""))</f>
        <v/>
      </c>
      <c r="J855" s="23"/>
      <c r="K855" s="23"/>
      <c r="L855" s="23"/>
      <c r="M855" s="23"/>
      <c r="N855" s="23"/>
      <c r="O855" s="23"/>
      <c r="P855" s="23"/>
      <c r="Q855" s="31"/>
      <c r="R855" s="32"/>
      <c r="S855" s="32"/>
      <c r="T855" s="33" t="str">
        <f t="shared" si="26"/>
        <v/>
      </c>
      <c r="U855" s="34"/>
      <c r="V855" s="35"/>
      <c r="W855" s="33" t="str">
        <f t="shared" si="27"/>
        <v/>
      </c>
    </row>
    <row r="856" spans="1:23" x14ac:dyDescent="0.35">
      <c r="A856" s="21" t="str">
        <f>IF(COUNTA(B856:H856,J856:S856,U856:V856)=0,"",IF((IF(B856="","PO Ref, ","")&amp;IF(C856="","Vendor, ","")&amp;IF(D856="","Store, ","")&amp;IF(F856="","Product Type, ","")&amp;IF(G856="","Category, ","")&amp;IF(H856="","HSN Code, ","")&amp;IF(Q856="","Qty, ","")&amp;IF(R856="","Purchase Rate, ","")&amp;IF(S856="","MRP, ",""))&lt;&gt;"","Missing: "&amp;LEFT(IF(B856="","PO Ref, ","")&amp;IF(C856="","Vendor, ","")&amp;IF(D856="","Store, ","")&amp;IF(F856="","Product Type, ","")&amp;IF(G856="","Category, ","")&amp;IF(H856="","HSN Code, ","")&amp;IF(Q856="","Qty, ","")&amp;IF(R856="","Purchase Rate, ","")&amp;IF(S856="","MRP, ",""),LEN(IF(B856="","PO Ref, ","")&amp;IF(C856="","Vendor, ","")&amp;IF(D856="","Store, ","")&amp;IF(F856="","Product Type, ","")&amp;IF(G856="","Category, ","")&amp;IF(H856="","HSN Code, ","")&amp;IF(Q856="","Qty, ","")&amp;IF(R856="","Purchase Rate, ","")&amp;IF(S856="","MRP, ",""))-2),IF(COUNTIF(Vendors!$B$3:$B$202,C856)=0,"Add vendor "&amp;C856&amp;" on the Vendors sheet",IF(ISNA(MATCH(H856,Codes!$A$2:$A$13,0)),"Pick the HSN Code from the list",IF(AND(E856&lt;&gt;"",COUNTIFS($C$3:$C$1002,C856,$E$3:$E$1002,E856,$F$3:$F$1002,"&lt;&gt;"&amp;F856)+COUNTIFS($C$3:$C$1002,C856,$E$3:$E$1002,E856,$G$3:$G$1002,"&lt;&gt;"&amp;G856)&gt;0),"Design "&amp;E856&amp;" has another Product Type or Category on another row",IF(COUNTIFS($F$3:$F$1002,F856,$G$3:$G$1002,G856,$H$3:$H$1002,"&lt;&gt;"&amp;H856)&gt;0,F856&amp;" + "&amp;G856&amp;" has another HSN Code on another row",IF(AND(V856&lt;&gt;"",U856=""),"Received Qty needs the Vendor Invoice No",IF(AND(U856&lt;&gt;"",COUNTIFS(Bills!$B$3:$B$302,U856,Bills!$C$3:$C$302,C856)=0),"Add bill "&amp;U856&amp;" of "&amp;C856&amp;" on the Bills sheet",IF(S856&lt;R856,"MRP is below the Purchase Rate","OK")))))))))</f>
        <v/>
      </c>
      <c r="B856" s="29"/>
      <c r="C856" s="22"/>
      <c r="D856" s="22"/>
      <c r="E856" s="24"/>
      <c r="F856" s="22"/>
      <c r="G856" s="22"/>
      <c r="H856" s="22"/>
      <c r="I856" s="30" t="str">
        <f>IF(H856="","",IFERROR(INDEX(Codes!$B$2:$B$13,MATCH(H856,Codes!$A$2:$A$13,0)),""))</f>
        <v/>
      </c>
      <c r="J856" s="23"/>
      <c r="K856" s="23"/>
      <c r="L856" s="23"/>
      <c r="M856" s="23"/>
      <c r="N856" s="23"/>
      <c r="O856" s="23"/>
      <c r="P856" s="23"/>
      <c r="Q856" s="31"/>
      <c r="R856" s="32"/>
      <c r="S856" s="32"/>
      <c r="T856" s="33" t="str">
        <f t="shared" si="26"/>
        <v/>
      </c>
      <c r="U856" s="34"/>
      <c r="V856" s="35"/>
      <c r="W856" s="33" t="str">
        <f t="shared" si="27"/>
        <v/>
      </c>
    </row>
    <row r="857" spans="1:23" x14ac:dyDescent="0.35">
      <c r="A857" s="21" t="str">
        <f>IF(COUNTA(B857:H857,J857:S857,U857:V857)=0,"",IF((IF(B857="","PO Ref, ","")&amp;IF(C857="","Vendor, ","")&amp;IF(D857="","Store, ","")&amp;IF(F857="","Product Type, ","")&amp;IF(G857="","Category, ","")&amp;IF(H857="","HSN Code, ","")&amp;IF(Q857="","Qty, ","")&amp;IF(R857="","Purchase Rate, ","")&amp;IF(S857="","MRP, ",""))&lt;&gt;"","Missing: "&amp;LEFT(IF(B857="","PO Ref, ","")&amp;IF(C857="","Vendor, ","")&amp;IF(D857="","Store, ","")&amp;IF(F857="","Product Type, ","")&amp;IF(G857="","Category, ","")&amp;IF(H857="","HSN Code, ","")&amp;IF(Q857="","Qty, ","")&amp;IF(R857="","Purchase Rate, ","")&amp;IF(S857="","MRP, ",""),LEN(IF(B857="","PO Ref, ","")&amp;IF(C857="","Vendor, ","")&amp;IF(D857="","Store, ","")&amp;IF(F857="","Product Type, ","")&amp;IF(G857="","Category, ","")&amp;IF(H857="","HSN Code, ","")&amp;IF(Q857="","Qty, ","")&amp;IF(R857="","Purchase Rate, ","")&amp;IF(S857="","MRP, ",""))-2),IF(COUNTIF(Vendors!$B$3:$B$202,C857)=0,"Add vendor "&amp;C857&amp;" on the Vendors sheet",IF(ISNA(MATCH(H857,Codes!$A$2:$A$13,0)),"Pick the HSN Code from the list",IF(AND(E857&lt;&gt;"",COUNTIFS($C$3:$C$1002,C857,$E$3:$E$1002,E857,$F$3:$F$1002,"&lt;&gt;"&amp;F857)+COUNTIFS($C$3:$C$1002,C857,$E$3:$E$1002,E857,$G$3:$G$1002,"&lt;&gt;"&amp;G857)&gt;0),"Design "&amp;E857&amp;" has another Product Type or Category on another row",IF(COUNTIFS($F$3:$F$1002,F857,$G$3:$G$1002,G857,$H$3:$H$1002,"&lt;&gt;"&amp;H857)&gt;0,F857&amp;" + "&amp;G857&amp;" has another HSN Code on another row",IF(AND(V857&lt;&gt;"",U857=""),"Received Qty needs the Vendor Invoice No",IF(AND(U857&lt;&gt;"",COUNTIFS(Bills!$B$3:$B$302,U857,Bills!$C$3:$C$302,C857)=0),"Add bill "&amp;U857&amp;" of "&amp;C857&amp;" on the Bills sheet",IF(S857&lt;R857,"MRP is below the Purchase Rate","OK")))))))))</f>
        <v/>
      </c>
      <c r="B857" s="29"/>
      <c r="C857" s="22"/>
      <c r="D857" s="22"/>
      <c r="E857" s="24"/>
      <c r="F857" s="22"/>
      <c r="G857" s="22"/>
      <c r="H857" s="22"/>
      <c r="I857" s="30" t="str">
        <f>IF(H857="","",IFERROR(INDEX(Codes!$B$2:$B$13,MATCH(H857,Codes!$A$2:$A$13,0)),""))</f>
        <v/>
      </c>
      <c r="J857" s="23"/>
      <c r="K857" s="23"/>
      <c r="L857" s="23"/>
      <c r="M857" s="23"/>
      <c r="N857" s="23"/>
      <c r="O857" s="23"/>
      <c r="P857" s="23"/>
      <c r="Q857" s="31"/>
      <c r="R857" s="32"/>
      <c r="S857" s="32"/>
      <c r="T857" s="33" t="str">
        <f t="shared" si="26"/>
        <v/>
      </c>
      <c r="U857" s="34"/>
      <c r="V857" s="35"/>
      <c r="W857" s="33" t="str">
        <f t="shared" si="27"/>
        <v/>
      </c>
    </row>
    <row r="858" spans="1:23" x14ac:dyDescent="0.35">
      <c r="A858" s="21" t="str">
        <f>IF(COUNTA(B858:H858,J858:S858,U858:V858)=0,"",IF((IF(B858="","PO Ref, ","")&amp;IF(C858="","Vendor, ","")&amp;IF(D858="","Store, ","")&amp;IF(F858="","Product Type, ","")&amp;IF(G858="","Category, ","")&amp;IF(H858="","HSN Code, ","")&amp;IF(Q858="","Qty, ","")&amp;IF(R858="","Purchase Rate, ","")&amp;IF(S858="","MRP, ",""))&lt;&gt;"","Missing: "&amp;LEFT(IF(B858="","PO Ref, ","")&amp;IF(C858="","Vendor, ","")&amp;IF(D858="","Store, ","")&amp;IF(F858="","Product Type, ","")&amp;IF(G858="","Category, ","")&amp;IF(H858="","HSN Code, ","")&amp;IF(Q858="","Qty, ","")&amp;IF(R858="","Purchase Rate, ","")&amp;IF(S858="","MRP, ",""),LEN(IF(B858="","PO Ref, ","")&amp;IF(C858="","Vendor, ","")&amp;IF(D858="","Store, ","")&amp;IF(F858="","Product Type, ","")&amp;IF(G858="","Category, ","")&amp;IF(H858="","HSN Code, ","")&amp;IF(Q858="","Qty, ","")&amp;IF(R858="","Purchase Rate, ","")&amp;IF(S858="","MRP, ",""))-2),IF(COUNTIF(Vendors!$B$3:$B$202,C858)=0,"Add vendor "&amp;C858&amp;" on the Vendors sheet",IF(ISNA(MATCH(H858,Codes!$A$2:$A$13,0)),"Pick the HSN Code from the list",IF(AND(E858&lt;&gt;"",COUNTIFS($C$3:$C$1002,C858,$E$3:$E$1002,E858,$F$3:$F$1002,"&lt;&gt;"&amp;F858)+COUNTIFS($C$3:$C$1002,C858,$E$3:$E$1002,E858,$G$3:$G$1002,"&lt;&gt;"&amp;G858)&gt;0),"Design "&amp;E858&amp;" has another Product Type or Category on another row",IF(COUNTIFS($F$3:$F$1002,F858,$G$3:$G$1002,G858,$H$3:$H$1002,"&lt;&gt;"&amp;H858)&gt;0,F858&amp;" + "&amp;G858&amp;" has another HSN Code on another row",IF(AND(V858&lt;&gt;"",U858=""),"Received Qty needs the Vendor Invoice No",IF(AND(U858&lt;&gt;"",COUNTIFS(Bills!$B$3:$B$302,U858,Bills!$C$3:$C$302,C858)=0),"Add bill "&amp;U858&amp;" of "&amp;C858&amp;" on the Bills sheet",IF(S858&lt;R858,"MRP is below the Purchase Rate","OK")))))))))</f>
        <v/>
      </c>
      <c r="B858" s="29"/>
      <c r="C858" s="22"/>
      <c r="D858" s="22"/>
      <c r="E858" s="24"/>
      <c r="F858" s="22"/>
      <c r="G858" s="22"/>
      <c r="H858" s="22"/>
      <c r="I858" s="30" t="str">
        <f>IF(H858="","",IFERROR(INDEX(Codes!$B$2:$B$13,MATCH(H858,Codes!$A$2:$A$13,0)),""))</f>
        <v/>
      </c>
      <c r="J858" s="23"/>
      <c r="K858" s="23"/>
      <c r="L858" s="23"/>
      <c r="M858" s="23"/>
      <c r="N858" s="23"/>
      <c r="O858" s="23"/>
      <c r="P858" s="23"/>
      <c r="Q858" s="31"/>
      <c r="R858" s="32"/>
      <c r="S858" s="32"/>
      <c r="T858" s="33" t="str">
        <f t="shared" si="26"/>
        <v/>
      </c>
      <c r="U858" s="34"/>
      <c r="V858" s="35"/>
      <c r="W858" s="33" t="str">
        <f t="shared" si="27"/>
        <v/>
      </c>
    </row>
    <row r="859" spans="1:23" x14ac:dyDescent="0.35">
      <c r="A859" s="21" t="str">
        <f>IF(COUNTA(B859:H859,J859:S859,U859:V859)=0,"",IF((IF(B859="","PO Ref, ","")&amp;IF(C859="","Vendor, ","")&amp;IF(D859="","Store, ","")&amp;IF(F859="","Product Type, ","")&amp;IF(G859="","Category, ","")&amp;IF(H859="","HSN Code, ","")&amp;IF(Q859="","Qty, ","")&amp;IF(R859="","Purchase Rate, ","")&amp;IF(S859="","MRP, ",""))&lt;&gt;"","Missing: "&amp;LEFT(IF(B859="","PO Ref, ","")&amp;IF(C859="","Vendor, ","")&amp;IF(D859="","Store, ","")&amp;IF(F859="","Product Type, ","")&amp;IF(G859="","Category, ","")&amp;IF(H859="","HSN Code, ","")&amp;IF(Q859="","Qty, ","")&amp;IF(R859="","Purchase Rate, ","")&amp;IF(S859="","MRP, ",""),LEN(IF(B859="","PO Ref, ","")&amp;IF(C859="","Vendor, ","")&amp;IF(D859="","Store, ","")&amp;IF(F859="","Product Type, ","")&amp;IF(G859="","Category, ","")&amp;IF(H859="","HSN Code, ","")&amp;IF(Q859="","Qty, ","")&amp;IF(R859="","Purchase Rate, ","")&amp;IF(S859="","MRP, ",""))-2),IF(COUNTIF(Vendors!$B$3:$B$202,C859)=0,"Add vendor "&amp;C859&amp;" on the Vendors sheet",IF(ISNA(MATCH(H859,Codes!$A$2:$A$13,0)),"Pick the HSN Code from the list",IF(AND(E859&lt;&gt;"",COUNTIFS($C$3:$C$1002,C859,$E$3:$E$1002,E859,$F$3:$F$1002,"&lt;&gt;"&amp;F859)+COUNTIFS($C$3:$C$1002,C859,$E$3:$E$1002,E859,$G$3:$G$1002,"&lt;&gt;"&amp;G859)&gt;0),"Design "&amp;E859&amp;" has another Product Type or Category on another row",IF(COUNTIFS($F$3:$F$1002,F859,$G$3:$G$1002,G859,$H$3:$H$1002,"&lt;&gt;"&amp;H859)&gt;0,F859&amp;" + "&amp;G859&amp;" has another HSN Code on another row",IF(AND(V859&lt;&gt;"",U859=""),"Received Qty needs the Vendor Invoice No",IF(AND(U859&lt;&gt;"",COUNTIFS(Bills!$B$3:$B$302,U859,Bills!$C$3:$C$302,C859)=0),"Add bill "&amp;U859&amp;" of "&amp;C859&amp;" on the Bills sheet",IF(S859&lt;R859,"MRP is below the Purchase Rate","OK")))))))))</f>
        <v/>
      </c>
      <c r="B859" s="29"/>
      <c r="C859" s="22"/>
      <c r="D859" s="22"/>
      <c r="E859" s="24"/>
      <c r="F859" s="22"/>
      <c r="G859" s="22"/>
      <c r="H859" s="22"/>
      <c r="I859" s="30" t="str">
        <f>IF(H859="","",IFERROR(INDEX(Codes!$B$2:$B$13,MATCH(H859,Codes!$A$2:$A$13,0)),""))</f>
        <v/>
      </c>
      <c r="J859" s="23"/>
      <c r="K859" s="23"/>
      <c r="L859" s="23"/>
      <c r="M859" s="23"/>
      <c r="N859" s="23"/>
      <c r="O859" s="23"/>
      <c r="P859" s="23"/>
      <c r="Q859" s="31"/>
      <c r="R859" s="32"/>
      <c r="S859" s="32"/>
      <c r="T859" s="33" t="str">
        <f t="shared" si="26"/>
        <v/>
      </c>
      <c r="U859" s="34"/>
      <c r="V859" s="35"/>
      <c r="W859" s="33" t="str">
        <f t="shared" si="27"/>
        <v/>
      </c>
    </row>
    <row r="860" spans="1:23" x14ac:dyDescent="0.35">
      <c r="A860" s="21" t="str">
        <f>IF(COUNTA(B860:H860,J860:S860,U860:V860)=0,"",IF((IF(B860="","PO Ref, ","")&amp;IF(C860="","Vendor, ","")&amp;IF(D860="","Store, ","")&amp;IF(F860="","Product Type, ","")&amp;IF(G860="","Category, ","")&amp;IF(H860="","HSN Code, ","")&amp;IF(Q860="","Qty, ","")&amp;IF(R860="","Purchase Rate, ","")&amp;IF(S860="","MRP, ",""))&lt;&gt;"","Missing: "&amp;LEFT(IF(B860="","PO Ref, ","")&amp;IF(C860="","Vendor, ","")&amp;IF(D860="","Store, ","")&amp;IF(F860="","Product Type, ","")&amp;IF(G860="","Category, ","")&amp;IF(H860="","HSN Code, ","")&amp;IF(Q860="","Qty, ","")&amp;IF(R860="","Purchase Rate, ","")&amp;IF(S860="","MRP, ",""),LEN(IF(B860="","PO Ref, ","")&amp;IF(C860="","Vendor, ","")&amp;IF(D860="","Store, ","")&amp;IF(F860="","Product Type, ","")&amp;IF(G860="","Category, ","")&amp;IF(H860="","HSN Code, ","")&amp;IF(Q860="","Qty, ","")&amp;IF(R860="","Purchase Rate, ","")&amp;IF(S860="","MRP, ",""))-2),IF(COUNTIF(Vendors!$B$3:$B$202,C860)=0,"Add vendor "&amp;C860&amp;" on the Vendors sheet",IF(ISNA(MATCH(H860,Codes!$A$2:$A$13,0)),"Pick the HSN Code from the list",IF(AND(E860&lt;&gt;"",COUNTIFS($C$3:$C$1002,C860,$E$3:$E$1002,E860,$F$3:$F$1002,"&lt;&gt;"&amp;F860)+COUNTIFS($C$3:$C$1002,C860,$E$3:$E$1002,E860,$G$3:$G$1002,"&lt;&gt;"&amp;G860)&gt;0),"Design "&amp;E860&amp;" has another Product Type or Category on another row",IF(COUNTIFS($F$3:$F$1002,F860,$G$3:$G$1002,G860,$H$3:$H$1002,"&lt;&gt;"&amp;H860)&gt;0,F860&amp;" + "&amp;G860&amp;" has another HSN Code on another row",IF(AND(V860&lt;&gt;"",U860=""),"Received Qty needs the Vendor Invoice No",IF(AND(U860&lt;&gt;"",COUNTIFS(Bills!$B$3:$B$302,U860,Bills!$C$3:$C$302,C860)=0),"Add bill "&amp;U860&amp;" of "&amp;C860&amp;" on the Bills sheet",IF(S860&lt;R860,"MRP is below the Purchase Rate","OK")))))))))</f>
        <v/>
      </c>
      <c r="B860" s="29"/>
      <c r="C860" s="22"/>
      <c r="D860" s="22"/>
      <c r="E860" s="24"/>
      <c r="F860" s="22"/>
      <c r="G860" s="22"/>
      <c r="H860" s="22"/>
      <c r="I860" s="30" t="str">
        <f>IF(H860="","",IFERROR(INDEX(Codes!$B$2:$B$13,MATCH(H860,Codes!$A$2:$A$13,0)),""))</f>
        <v/>
      </c>
      <c r="J860" s="23"/>
      <c r="K860" s="23"/>
      <c r="L860" s="23"/>
      <c r="M860" s="23"/>
      <c r="N860" s="23"/>
      <c r="O860" s="23"/>
      <c r="P860" s="23"/>
      <c r="Q860" s="31"/>
      <c r="R860" s="32"/>
      <c r="S860" s="32"/>
      <c r="T860" s="33" t="str">
        <f t="shared" si="26"/>
        <v/>
      </c>
      <c r="U860" s="34"/>
      <c r="V860" s="35"/>
      <c r="W860" s="33" t="str">
        <f t="shared" si="27"/>
        <v/>
      </c>
    </row>
    <row r="861" spans="1:23" x14ac:dyDescent="0.35">
      <c r="A861" s="21" t="str">
        <f>IF(COUNTA(B861:H861,J861:S861,U861:V861)=0,"",IF((IF(B861="","PO Ref, ","")&amp;IF(C861="","Vendor, ","")&amp;IF(D861="","Store, ","")&amp;IF(F861="","Product Type, ","")&amp;IF(G861="","Category, ","")&amp;IF(H861="","HSN Code, ","")&amp;IF(Q861="","Qty, ","")&amp;IF(R861="","Purchase Rate, ","")&amp;IF(S861="","MRP, ",""))&lt;&gt;"","Missing: "&amp;LEFT(IF(B861="","PO Ref, ","")&amp;IF(C861="","Vendor, ","")&amp;IF(D861="","Store, ","")&amp;IF(F861="","Product Type, ","")&amp;IF(G861="","Category, ","")&amp;IF(H861="","HSN Code, ","")&amp;IF(Q861="","Qty, ","")&amp;IF(R861="","Purchase Rate, ","")&amp;IF(S861="","MRP, ",""),LEN(IF(B861="","PO Ref, ","")&amp;IF(C861="","Vendor, ","")&amp;IF(D861="","Store, ","")&amp;IF(F861="","Product Type, ","")&amp;IF(G861="","Category, ","")&amp;IF(H861="","HSN Code, ","")&amp;IF(Q861="","Qty, ","")&amp;IF(R861="","Purchase Rate, ","")&amp;IF(S861="","MRP, ",""))-2),IF(COUNTIF(Vendors!$B$3:$B$202,C861)=0,"Add vendor "&amp;C861&amp;" on the Vendors sheet",IF(ISNA(MATCH(H861,Codes!$A$2:$A$13,0)),"Pick the HSN Code from the list",IF(AND(E861&lt;&gt;"",COUNTIFS($C$3:$C$1002,C861,$E$3:$E$1002,E861,$F$3:$F$1002,"&lt;&gt;"&amp;F861)+COUNTIFS($C$3:$C$1002,C861,$E$3:$E$1002,E861,$G$3:$G$1002,"&lt;&gt;"&amp;G861)&gt;0),"Design "&amp;E861&amp;" has another Product Type or Category on another row",IF(COUNTIFS($F$3:$F$1002,F861,$G$3:$G$1002,G861,$H$3:$H$1002,"&lt;&gt;"&amp;H861)&gt;0,F861&amp;" + "&amp;G861&amp;" has another HSN Code on another row",IF(AND(V861&lt;&gt;"",U861=""),"Received Qty needs the Vendor Invoice No",IF(AND(U861&lt;&gt;"",COUNTIFS(Bills!$B$3:$B$302,U861,Bills!$C$3:$C$302,C861)=0),"Add bill "&amp;U861&amp;" of "&amp;C861&amp;" on the Bills sheet",IF(S861&lt;R861,"MRP is below the Purchase Rate","OK")))))))))</f>
        <v/>
      </c>
      <c r="B861" s="29"/>
      <c r="C861" s="22"/>
      <c r="D861" s="22"/>
      <c r="E861" s="24"/>
      <c r="F861" s="22"/>
      <c r="G861" s="22"/>
      <c r="H861" s="22"/>
      <c r="I861" s="30" t="str">
        <f>IF(H861="","",IFERROR(INDEX(Codes!$B$2:$B$13,MATCH(H861,Codes!$A$2:$A$13,0)),""))</f>
        <v/>
      </c>
      <c r="J861" s="23"/>
      <c r="K861" s="23"/>
      <c r="L861" s="23"/>
      <c r="M861" s="23"/>
      <c r="N861" s="23"/>
      <c r="O861" s="23"/>
      <c r="P861" s="23"/>
      <c r="Q861" s="31"/>
      <c r="R861" s="32"/>
      <c r="S861" s="32"/>
      <c r="T861" s="33" t="str">
        <f t="shared" si="26"/>
        <v/>
      </c>
      <c r="U861" s="34"/>
      <c r="V861" s="35"/>
      <c r="W861" s="33" t="str">
        <f t="shared" si="27"/>
        <v/>
      </c>
    </row>
    <row r="862" spans="1:23" x14ac:dyDescent="0.35">
      <c r="A862" s="21" t="str">
        <f>IF(COUNTA(B862:H862,J862:S862,U862:V862)=0,"",IF((IF(B862="","PO Ref, ","")&amp;IF(C862="","Vendor, ","")&amp;IF(D862="","Store, ","")&amp;IF(F862="","Product Type, ","")&amp;IF(G862="","Category, ","")&amp;IF(H862="","HSN Code, ","")&amp;IF(Q862="","Qty, ","")&amp;IF(R862="","Purchase Rate, ","")&amp;IF(S862="","MRP, ",""))&lt;&gt;"","Missing: "&amp;LEFT(IF(B862="","PO Ref, ","")&amp;IF(C862="","Vendor, ","")&amp;IF(D862="","Store, ","")&amp;IF(F862="","Product Type, ","")&amp;IF(G862="","Category, ","")&amp;IF(H862="","HSN Code, ","")&amp;IF(Q862="","Qty, ","")&amp;IF(R862="","Purchase Rate, ","")&amp;IF(S862="","MRP, ",""),LEN(IF(B862="","PO Ref, ","")&amp;IF(C862="","Vendor, ","")&amp;IF(D862="","Store, ","")&amp;IF(F862="","Product Type, ","")&amp;IF(G862="","Category, ","")&amp;IF(H862="","HSN Code, ","")&amp;IF(Q862="","Qty, ","")&amp;IF(R862="","Purchase Rate, ","")&amp;IF(S862="","MRP, ",""))-2),IF(COUNTIF(Vendors!$B$3:$B$202,C862)=0,"Add vendor "&amp;C862&amp;" on the Vendors sheet",IF(ISNA(MATCH(H862,Codes!$A$2:$A$13,0)),"Pick the HSN Code from the list",IF(AND(E862&lt;&gt;"",COUNTIFS($C$3:$C$1002,C862,$E$3:$E$1002,E862,$F$3:$F$1002,"&lt;&gt;"&amp;F862)+COUNTIFS($C$3:$C$1002,C862,$E$3:$E$1002,E862,$G$3:$G$1002,"&lt;&gt;"&amp;G862)&gt;0),"Design "&amp;E862&amp;" has another Product Type or Category on another row",IF(COUNTIFS($F$3:$F$1002,F862,$G$3:$G$1002,G862,$H$3:$H$1002,"&lt;&gt;"&amp;H862)&gt;0,F862&amp;" + "&amp;G862&amp;" has another HSN Code on another row",IF(AND(V862&lt;&gt;"",U862=""),"Received Qty needs the Vendor Invoice No",IF(AND(U862&lt;&gt;"",COUNTIFS(Bills!$B$3:$B$302,U862,Bills!$C$3:$C$302,C862)=0),"Add bill "&amp;U862&amp;" of "&amp;C862&amp;" on the Bills sheet",IF(S862&lt;R862,"MRP is below the Purchase Rate","OK")))))))))</f>
        <v/>
      </c>
      <c r="B862" s="29"/>
      <c r="C862" s="22"/>
      <c r="D862" s="22"/>
      <c r="E862" s="24"/>
      <c r="F862" s="22"/>
      <c r="G862" s="22"/>
      <c r="H862" s="22"/>
      <c r="I862" s="30" t="str">
        <f>IF(H862="","",IFERROR(INDEX(Codes!$B$2:$B$13,MATCH(H862,Codes!$A$2:$A$13,0)),""))</f>
        <v/>
      </c>
      <c r="J862" s="23"/>
      <c r="K862" s="23"/>
      <c r="L862" s="23"/>
      <c r="M862" s="23"/>
      <c r="N862" s="23"/>
      <c r="O862" s="23"/>
      <c r="P862" s="23"/>
      <c r="Q862" s="31"/>
      <c r="R862" s="32"/>
      <c r="S862" s="32"/>
      <c r="T862" s="33" t="str">
        <f t="shared" si="26"/>
        <v/>
      </c>
      <c r="U862" s="34"/>
      <c r="V862" s="35"/>
      <c r="W862" s="33" t="str">
        <f t="shared" si="27"/>
        <v/>
      </c>
    </row>
    <row r="863" spans="1:23" x14ac:dyDescent="0.35">
      <c r="A863" s="21" t="str">
        <f>IF(COUNTA(B863:H863,J863:S863,U863:V863)=0,"",IF((IF(B863="","PO Ref, ","")&amp;IF(C863="","Vendor, ","")&amp;IF(D863="","Store, ","")&amp;IF(F863="","Product Type, ","")&amp;IF(G863="","Category, ","")&amp;IF(H863="","HSN Code, ","")&amp;IF(Q863="","Qty, ","")&amp;IF(R863="","Purchase Rate, ","")&amp;IF(S863="","MRP, ",""))&lt;&gt;"","Missing: "&amp;LEFT(IF(B863="","PO Ref, ","")&amp;IF(C863="","Vendor, ","")&amp;IF(D863="","Store, ","")&amp;IF(F863="","Product Type, ","")&amp;IF(G863="","Category, ","")&amp;IF(H863="","HSN Code, ","")&amp;IF(Q863="","Qty, ","")&amp;IF(R863="","Purchase Rate, ","")&amp;IF(S863="","MRP, ",""),LEN(IF(B863="","PO Ref, ","")&amp;IF(C863="","Vendor, ","")&amp;IF(D863="","Store, ","")&amp;IF(F863="","Product Type, ","")&amp;IF(G863="","Category, ","")&amp;IF(H863="","HSN Code, ","")&amp;IF(Q863="","Qty, ","")&amp;IF(R863="","Purchase Rate, ","")&amp;IF(S863="","MRP, ",""))-2),IF(COUNTIF(Vendors!$B$3:$B$202,C863)=0,"Add vendor "&amp;C863&amp;" on the Vendors sheet",IF(ISNA(MATCH(H863,Codes!$A$2:$A$13,0)),"Pick the HSN Code from the list",IF(AND(E863&lt;&gt;"",COUNTIFS($C$3:$C$1002,C863,$E$3:$E$1002,E863,$F$3:$F$1002,"&lt;&gt;"&amp;F863)+COUNTIFS($C$3:$C$1002,C863,$E$3:$E$1002,E863,$G$3:$G$1002,"&lt;&gt;"&amp;G863)&gt;0),"Design "&amp;E863&amp;" has another Product Type or Category on another row",IF(COUNTIFS($F$3:$F$1002,F863,$G$3:$G$1002,G863,$H$3:$H$1002,"&lt;&gt;"&amp;H863)&gt;0,F863&amp;" + "&amp;G863&amp;" has another HSN Code on another row",IF(AND(V863&lt;&gt;"",U863=""),"Received Qty needs the Vendor Invoice No",IF(AND(U863&lt;&gt;"",COUNTIFS(Bills!$B$3:$B$302,U863,Bills!$C$3:$C$302,C863)=0),"Add bill "&amp;U863&amp;" of "&amp;C863&amp;" on the Bills sheet",IF(S863&lt;R863,"MRP is below the Purchase Rate","OK")))))))))</f>
        <v/>
      </c>
      <c r="B863" s="29"/>
      <c r="C863" s="22"/>
      <c r="D863" s="22"/>
      <c r="E863" s="24"/>
      <c r="F863" s="22"/>
      <c r="G863" s="22"/>
      <c r="H863" s="22"/>
      <c r="I863" s="30" t="str">
        <f>IF(H863="","",IFERROR(INDEX(Codes!$B$2:$B$13,MATCH(H863,Codes!$A$2:$A$13,0)),""))</f>
        <v/>
      </c>
      <c r="J863" s="23"/>
      <c r="K863" s="23"/>
      <c r="L863" s="23"/>
      <c r="M863" s="23"/>
      <c r="N863" s="23"/>
      <c r="O863" s="23"/>
      <c r="P863" s="23"/>
      <c r="Q863" s="31"/>
      <c r="R863" s="32"/>
      <c r="S863" s="32"/>
      <c r="T863" s="33" t="str">
        <f t="shared" si="26"/>
        <v/>
      </c>
      <c r="U863" s="34"/>
      <c r="V863" s="35"/>
      <c r="W863" s="33" t="str">
        <f t="shared" si="27"/>
        <v/>
      </c>
    </row>
    <row r="864" spans="1:23" x14ac:dyDescent="0.35">
      <c r="A864" s="21" t="str">
        <f>IF(COUNTA(B864:H864,J864:S864,U864:V864)=0,"",IF((IF(B864="","PO Ref, ","")&amp;IF(C864="","Vendor, ","")&amp;IF(D864="","Store, ","")&amp;IF(F864="","Product Type, ","")&amp;IF(G864="","Category, ","")&amp;IF(H864="","HSN Code, ","")&amp;IF(Q864="","Qty, ","")&amp;IF(R864="","Purchase Rate, ","")&amp;IF(S864="","MRP, ",""))&lt;&gt;"","Missing: "&amp;LEFT(IF(B864="","PO Ref, ","")&amp;IF(C864="","Vendor, ","")&amp;IF(D864="","Store, ","")&amp;IF(F864="","Product Type, ","")&amp;IF(G864="","Category, ","")&amp;IF(H864="","HSN Code, ","")&amp;IF(Q864="","Qty, ","")&amp;IF(R864="","Purchase Rate, ","")&amp;IF(S864="","MRP, ",""),LEN(IF(B864="","PO Ref, ","")&amp;IF(C864="","Vendor, ","")&amp;IF(D864="","Store, ","")&amp;IF(F864="","Product Type, ","")&amp;IF(G864="","Category, ","")&amp;IF(H864="","HSN Code, ","")&amp;IF(Q864="","Qty, ","")&amp;IF(R864="","Purchase Rate, ","")&amp;IF(S864="","MRP, ",""))-2),IF(COUNTIF(Vendors!$B$3:$B$202,C864)=0,"Add vendor "&amp;C864&amp;" on the Vendors sheet",IF(ISNA(MATCH(H864,Codes!$A$2:$A$13,0)),"Pick the HSN Code from the list",IF(AND(E864&lt;&gt;"",COUNTIFS($C$3:$C$1002,C864,$E$3:$E$1002,E864,$F$3:$F$1002,"&lt;&gt;"&amp;F864)+COUNTIFS($C$3:$C$1002,C864,$E$3:$E$1002,E864,$G$3:$G$1002,"&lt;&gt;"&amp;G864)&gt;0),"Design "&amp;E864&amp;" has another Product Type or Category on another row",IF(COUNTIFS($F$3:$F$1002,F864,$G$3:$G$1002,G864,$H$3:$H$1002,"&lt;&gt;"&amp;H864)&gt;0,F864&amp;" + "&amp;G864&amp;" has another HSN Code on another row",IF(AND(V864&lt;&gt;"",U864=""),"Received Qty needs the Vendor Invoice No",IF(AND(U864&lt;&gt;"",COUNTIFS(Bills!$B$3:$B$302,U864,Bills!$C$3:$C$302,C864)=0),"Add bill "&amp;U864&amp;" of "&amp;C864&amp;" on the Bills sheet",IF(S864&lt;R864,"MRP is below the Purchase Rate","OK")))))))))</f>
        <v/>
      </c>
      <c r="B864" s="29"/>
      <c r="C864" s="22"/>
      <c r="D864" s="22"/>
      <c r="E864" s="24"/>
      <c r="F864" s="22"/>
      <c r="G864" s="22"/>
      <c r="H864" s="22"/>
      <c r="I864" s="30" t="str">
        <f>IF(H864="","",IFERROR(INDEX(Codes!$B$2:$B$13,MATCH(H864,Codes!$A$2:$A$13,0)),""))</f>
        <v/>
      </c>
      <c r="J864" s="23"/>
      <c r="K864" s="23"/>
      <c r="L864" s="23"/>
      <c r="M864" s="23"/>
      <c r="N864" s="23"/>
      <c r="O864" s="23"/>
      <c r="P864" s="23"/>
      <c r="Q864" s="31"/>
      <c r="R864" s="32"/>
      <c r="S864" s="32"/>
      <c r="T864" s="33" t="str">
        <f t="shared" si="26"/>
        <v/>
      </c>
      <c r="U864" s="34"/>
      <c r="V864" s="35"/>
      <c r="W864" s="33" t="str">
        <f t="shared" si="27"/>
        <v/>
      </c>
    </row>
    <row r="865" spans="1:23" x14ac:dyDescent="0.35">
      <c r="A865" s="21" t="str">
        <f>IF(COUNTA(B865:H865,J865:S865,U865:V865)=0,"",IF((IF(B865="","PO Ref, ","")&amp;IF(C865="","Vendor, ","")&amp;IF(D865="","Store, ","")&amp;IF(F865="","Product Type, ","")&amp;IF(G865="","Category, ","")&amp;IF(H865="","HSN Code, ","")&amp;IF(Q865="","Qty, ","")&amp;IF(R865="","Purchase Rate, ","")&amp;IF(S865="","MRP, ",""))&lt;&gt;"","Missing: "&amp;LEFT(IF(B865="","PO Ref, ","")&amp;IF(C865="","Vendor, ","")&amp;IF(D865="","Store, ","")&amp;IF(F865="","Product Type, ","")&amp;IF(G865="","Category, ","")&amp;IF(H865="","HSN Code, ","")&amp;IF(Q865="","Qty, ","")&amp;IF(R865="","Purchase Rate, ","")&amp;IF(S865="","MRP, ",""),LEN(IF(B865="","PO Ref, ","")&amp;IF(C865="","Vendor, ","")&amp;IF(D865="","Store, ","")&amp;IF(F865="","Product Type, ","")&amp;IF(G865="","Category, ","")&amp;IF(H865="","HSN Code, ","")&amp;IF(Q865="","Qty, ","")&amp;IF(R865="","Purchase Rate, ","")&amp;IF(S865="","MRP, ",""))-2),IF(COUNTIF(Vendors!$B$3:$B$202,C865)=0,"Add vendor "&amp;C865&amp;" on the Vendors sheet",IF(ISNA(MATCH(H865,Codes!$A$2:$A$13,0)),"Pick the HSN Code from the list",IF(AND(E865&lt;&gt;"",COUNTIFS($C$3:$C$1002,C865,$E$3:$E$1002,E865,$F$3:$F$1002,"&lt;&gt;"&amp;F865)+COUNTIFS($C$3:$C$1002,C865,$E$3:$E$1002,E865,$G$3:$G$1002,"&lt;&gt;"&amp;G865)&gt;0),"Design "&amp;E865&amp;" has another Product Type or Category on another row",IF(COUNTIFS($F$3:$F$1002,F865,$G$3:$G$1002,G865,$H$3:$H$1002,"&lt;&gt;"&amp;H865)&gt;0,F865&amp;" + "&amp;G865&amp;" has another HSN Code on another row",IF(AND(V865&lt;&gt;"",U865=""),"Received Qty needs the Vendor Invoice No",IF(AND(U865&lt;&gt;"",COUNTIFS(Bills!$B$3:$B$302,U865,Bills!$C$3:$C$302,C865)=0),"Add bill "&amp;U865&amp;" of "&amp;C865&amp;" on the Bills sheet",IF(S865&lt;R865,"MRP is below the Purchase Rate","OK")))))))))</f>
        <v/>
      </c>
      <c r="B865" s="29"/>
      <c r="C865" s="22"/>
      <c r="D865" s="22"/>
      <c r="E865" s="24"/>
      <c r="F865" s="22"/>
      <c r="G865" s="22"/>
      <c r="H865" s="22"/>
      <c r="I865" s="30" t="str">
        <f>IF(H865="","",IFERROR(INDEX(Codes!$B$2:$B$13,MATCH(H865,Codes!$A$2:$A$13,0)),""))</f>
        <v/>
      </c>
      <c r="J865" s="23"/>
      <c r="K865" s="23"/>
      <c r="L865" s="23"/>
      <c r="M865" s="23"/>
      <c r="N865" s="23"/>
      <c r="O865" s="23"/>
      <c r="P865" s="23"/>
      <c r="Q865" s="31"/>
      <c r="R865" s="32"/>
      <c r="S865" s="32"/>
      <c r="T865" s="33" t="str">
        <f t="shared" si="26"/>
        <v/>
      </c>
      <c r="U865" s="34"/>
      <c r="V865" s="35"/>
      <c r="W865" s="33" t="str">
        <f t="shared" si="27"/>
        <v/>
      </c>
    </row>
    <row r="866" spans="1:23" x14ac:dyDescent="0.35">
      <c r="A866" s="21" t="str">
        <f>IF(COUNTA(B866:H866,J866:S866,U866:V866)=0,"",IF((IF(B866="","PO Ref, ","")&amp;IF(C866="","Vendor, ","")&amp;IF(D866="","Store, ","")&amp;IF(F866="","Product Type, ","")&amp;IF(G866="","Category, ","")&amp;IF(H866="","HSN Code, ","")&amp;IF(Q866="","Qty, ","")&amp;IF(R866="","Purchase Rate, ","")&amp;IF(S866="","MRP, ",""))&lt;&gt;"","Missing: "&amp;LEFT(IF(B866="","PO Ref, ","")&amp;IF(C866="","Vendor, ","")&amp;IF(D866="","Store, ","")&amp;IF(F866="","Product Type, ","")&amp;IF(G866="","Category, ","")&amp;IF(H866="","HSN Code, ","")&amp;IF(Q866="","Qty, ","")&amp;IF(R866="","Purchase Rate, ","")&amp;IF(S866="","MRP, ",""),LEN(IF(B866="","PO Ref, ","")&amp;IF(C866="","Vendor, ","")&amp;IF(D866="","Store, ","")&amp;IF(F866="","Product Type, ","")&amp;IF(G866="","Category, ","")&amp;IF(H866="","HSN Code, ","")&amp;IF(Q866="","Qty, ","")&amp;IF(R866="","Purchase Rate, ","")&amp;IF(S866="","MRP, ",""))-2),IF(COUNTIF(Vendors!$B$3:$B$202,C866)=0,"Add vendor "&amp;C866&amp;" on the Vendors sheet",IF(ISNA(MATCH(H866,Codes!$A$2:$A$13,0)),"Pick the HSN Code from the list",IF(AND(E866&lt;&gt;"",COUNTIFS($C$3:$C$1002,C866,$E$3:$E$1002,E866,$F$3:$F$1002,"&lt;&gt;"&amp;F866)+COUNTIFS($C$3:$C$1002,C866,$E$3:$E$1002,E866,$G$3:$G$1002,"&lt;&gt;"&amp;G866)&gt;0),"Design "&amp;E866&amp;" has another Product Type or Category on another row",IF(COUNTIFS($F$3:$F$1002,F866,$G$3:$G$1002,G866,$H$3:$H$1002,"&lt;&gt;"&amp;H866)&gt;0,F866&amp;" + "&amp;G866&amp;" has another HSN Code on another row",IF(AND(V866&lt;&gt;"",U866=""),"Received Qty needs the Vendor Invoice No",IF(AND(U866&lt;&gt;"",COUNTIFS(Bills!$B$3:$B$302,U866,Bills!$C$3:$C$302,C866)=0),"Add bill "&amp;U866&amp;" of "&amp;C866&amp;" on the Bills sheet",IF(S866&lt;R866,"MRP is below the Purchase Rate","OK")))))))))</f>
        <v/>
      </c>
      <c r="B866" s="29"/>
      <c r="C866" s="22"/>
      <c r="D866" s="22"/>
      <c r="E866" s="24"/>
      <c r="F866" s="22"/>
      <c r="G866" s="22"/>
      <c r="H866" s="22"/>
      <c r="I866" s="30" t="str">
        <f>IF(H866="","",IFERROR(INDEX(Codes!$B$2:$B$13,MATCH(H866,Codes!$A$2:$A$13,0)),""))</f>
        <v/>
      </c>
      <c r="J866" s="23"/>
      <c r="K866" s="23"/>
      <c r="L866" s="23"/>
      <c r="M866" s="23"/>
      <c r="N866" s="23"/>
      <c r="O866" s="23"/>
      <c r="P866" s="23"/>
      <c r="Q866" s="31"/>
      <c r="R866" s="32"/>
      <c r="S866" s="32"/>
      <c r="T866" s="33" t="str">
        <f t="shared" si="26"/>
        <v/>
      </c>
      <c r="U866" s="34"/>
      <c r="V866" s="35"/>
      <c r="W866" s="33" t="str">
        <f t="shared" si="27"/>
        <v/>
      </c>
    </row>
    <row r="867" spans="1:23" x14ac:dyDescent="0.35">
      <c r="A867" s="21" t="str">
        <f>IF(COUNTA(B867:H867,J867:S867,U867:V867)=0,"",IF((IF(B867="","PO Ref, ","")&amp;IF(C867="","Vendor, ","")&amp;IF(D867="","Store, ","")&amp;IF(F867="","Product Type, ","")&amp;IF(G867="","Category, ","")&amp;IF(H867="","HSN Code, ","")&amp;IF(Q867="","Qty, ","")&amp;IF(R867="","Purchase Rate, ","")&amp;IF(S867="","MRP, ",""))&lt;&gt;"","Missing: "&amp;LEFT(IF(B867="","PO Ref, ","")&amp;IF(C867="","Vendor, ","")&amp;IF(D867="","Store, ","")&amp;IF(F867="","Product Type, ","")&amp;IF(G867="","Category, ","")&amp;IF(H867="","HSN Code, ","")&amp;IF(Q867="","Qty, ","")&amp;IF(R867="","Purchase Rate, ","")&amp;IF(S867="","MRP, ",""),LEN(IF(B867="","PO Ref, ","")&amp;IF(C867="","Vendor, ","")&amp;IF(D867="","Store, ","")&amp;IF(F867="","Product Type, ","")&amp;IF(G867="","Category, ","")&amp;IF(H867="","HSN Code, ","")&amp;IF(Q867="","Qty, ","")&amp;IF(R867="","Purchase Rate, ","")&amp;IF(S867="","MRP, ",""))-2),IF(COUNTIF(Vendors!$B$3:$B$202,C867)=0,"Add vendor "&amp;C867&amp;" on the Vendors sheet",IF(ISNA(MATCH(H867,Codes!$A$2:$A$13,0)),"Pick the HSN Code from the list",IF(AND(E867&lt;&gt;"",COUNTIFS($C$3:$C$1002,C867,$E$3:$E$1002,E867,$F$3:$F$1002,"&lt;&gt;"&amp;F867)+COUNTIFS($C$3:$C$1002,C867,$E$3:$E$1002,E867,$G$3:$G$1002,"&lt;&gt;"&amp;G867)&gt;0),"Design "&amp;E867&amp;" has another Product Type or Category on another row",IF(COUNTIFS($F$3:$F$1002,F867,$G$3:$G$1002,G867,$H$3:$H$1002,"&lt;&gt;"&amp;H867)&gt;0,F867&amp;" + "&amp;G867&amp;" has another HSN Code on another row",IF(AND(V867&lt;&gt;"",U867=""),"Received Qty needs the Vendor Invoice No",IF(AND(U867&lt;&gt;"",COUNTIFS(Bills!$B$3:$B$302,U867,Bills!$C$3:$C$302,C867)=0),"Add bill "&amp;U867&amp;" of "&amp;C867&amp;" on the Bills sheet",IF(S867&lt;R867,"MRP is below the Purchase Rate","OK")))))))))</f>
        <v/>
      </c>
      <c r="B867" s="29"/>
      <c r="C867" s="22"/>
      <c r="D867" s="22"/>
      <c r="E867" s="24"/>
      <c r="F867" s="22"/>
      <c r="G867" s="22"/>
      <c r="H867" s="22"/>
      <c r="I867" s="30" t="str">
        <f>IF(H867="","",IFERROR(INDEX(Codes!$B$2:$B$13,MATCH(H867,Codes!$A$2:$A$13,0)),""))</f>
        <v/>
      </c>
      <c r="J867" s="23"/>
      <c r="K867" s="23"/>
      <c r="L867" s="23"/>
      <c r="M867" s="23"/>
      <c r="N867" s="23"/>
      <c r="O867" s="23"/>
      <c r="P867" s="23"/>
      <c r="Q867" s="31"/>
      <c r="R867" s="32"/>
      <c r="S867" s="32"/>
      <c r="T867" s="33" t="str">
        <f t="shared" si="26"/>
        <v/>
      </c>
      <c r="U867" s="34"/>
      <c r="V867" s="35"/>
      <c r="W867" s="33" t="str">
        <f t="shared" si="27"/>
        <v/>
      </c>
    </row>
    <row r="868" spans="1:23" x14ac:dyDescent="0.35">
      <c r="A868" s="21" t="str">
        <f>IF(COUNTA(B868:H868,J868:S868,U868:V868)=0,"",IF((IF(B868="","PO Ref, ","")&amp;IF(C868="","Vendor, ","")&amp;IF(D868="","Store, ","")&amp;IF(F868="","Product Type, ","")&amp;IF(G868="","Category, ","")&amp;IF(H868="","HSN Code, ","")&amp;IF(Q868="","Qty, ","")&amp;IF(R868="","Purchase Rate, ","")&amp;IF(S868="","MRP, ",""))&lt;&gt;"","Missing: "&amp;LEFT(IF(B868="","PO Ref, ","")&amp;IF(C868="","Vendor, ","")&amp;IF(D868="","Store, ","")&amp;IF(F868="","Product Type, ","")&amp;IF(G868="","Category, ","")&amp;IF(H868="","HSN Code, ","")&amp;IF(Q868="","Qty, ","")&amp;IF(R868="","Purchase Rate, ","")&amp;IF(S868="","MRP, ",""),LEN(IF(B868="","PO Ref, ","")&amp;IF(C868="","Vendor, ","")&amp;IF(D868="","Store, ","")&amp;IF(F868="","Product Type, ","")&amp;IF(G868="","Category, ","")&amp;IF(H868="","HSN Code, ","")&amp;IF(Q868="","Qty, ","")&amp;IF(R868="","Purchase Rate, ","")&amp;IF(S868="","MRP, ",""))-2),IF(COUNTIF(Vendors!$B$3:$B$202,C868)=0,"Add vendor "&amp;C868&amp;" on the Vendors sheet",IF(ISNA(MATCH(H868,Codes!$A$2:$A$13,0)),"Pick the HSN Code from the list",IF(AND(E868&lt;&gt;"",COUNTIFS($C$3:$C$1002,C868,$E$3:$E$1002,E868,$F$3:$F$1002,"&lt;&gt;"&amp;F868)+COUNTIFS($C$3:$C$1002,C868,$E$3:$E$1002,E868,$G$3:$G$1002,"&lt;&gt;"&amp;G868)&gt;0),"Design "&amp;E868&amp;" has another Product Type or Category on another row",IF(COUNTIFS($F$3:$F$1002,F868,$G$3:$G$1002,G868,$H$3:$H$1002,"&lt;&gt;"&amp;H868)&gt;0,F868&amp;" + "&amp;G868&amp;" has another HSN Code on another row",IF(AND(V868&lt;&gt;"",U868=""),"Received Qty needs the Vendor Invoice No",IF(AND(U868&lt;&gt;"",COUNTIFS(Bills!$B$3:$B$302,U868,Bills!$C$3:$C$302,C868)=0),"Add bill "&amp;U868&amp;" of "&amp;C868&amp;" on the Bills sheet",IF(S868&lt;R868,"MRP is below the Purchase Rate","OK")))))))))</f>
        <v/>
      </c>
      <c r="B868" s="29"/>
      <c r="C868" s="22"/>
      <c r="D868" s="22"/>
      <c r="E868" s="24"/>
      <c r="F868" s="22"/>
      <c r="G868" s="22"/>
      <c r="H868" s="22"/>
      <c r="I868" s="30" t="str">
        <f>IF(H868="","",IFERROR(INDEX(Codes!$B$2:$B$13,MATCH(H868,Codes!$A$2:$A$13,0)),""))</f>
        <v/>
      </c>
      <c r="J868" s="23"/>
      <c r="K868" s="23"/>
      <c r="L868" s="23"/>
      <c r="M868" s="23"/>
      <c r="N868" s="23"/>
      <c r="O868" s="23"/>
      <c r="P868" s="23"/>
      <c r="Q868" s="31"/>
      <c r="R868" s="32"/>
      <c r="S868" s="32"/>
      <c r="T868" s="33" t="str">
        <f t="shared" si="26"/>
        <v/>
      </c>
      <c r="U868" s="34"/>
      <c r="V868" s="35"/>
      <c r="W868" s="33" t="str">
        <f t="shared" si="27"/>
        <v/>
      </c>
    </row>
    <row r="869" spans="1:23" x14ac:dyDescent="0.35">
      <c r="A869" s="21" t="str">
        <f>IF(COUNTA(B869:H869,J869:S869,U869:V869)=0,"",IF((IF(B869="","PO Ref, ","")&amp;IF(C869="","Vendor, ","")&amp;IF(D869="","Store, ","")&amp;IF(F869="","Product Type, ","")&amp;IF(G869="","Category, ","")&amp;IF(H869="","HSN Code, ","")&amp;IF(Q869="","Qty, ","")&amp;IF(R869="","Purchase Rate, ","")&amp;IF(S869="","MRP, ",""))&lt;&gt;"","Missing: "&amp;LEFT(IF(B869="","PO Ref, ","")&amp;IF(C869="","Vendor, ","")&amp;IF(D869="","Store, ","")&amp;IF(F869="","Product Type, ","")&amp;IF(G869="","Category, ","")&amp;IF(H869="","HSN Code, ","")&amp;IF(Q869="","Qty, ","")&amp;IF(R869="","Purchase Rate, ","")&amp;IF(S869="","MRP, ",""),LEN(IF(B869="","PO Ref, ","")&amp;IF(C869="","Vendor, ","")&amp;IF(D869="","Store, ","")&amp;IF(F869="","Product Type, ","")&amp;IF(G869="","Category, ","")&amp;IF(H869="","HSN Code, ","")&amp;IF(Q869="","Qty, ","")&amp;IF(R869="","Purchase Rate, ","")&amp;IF(S869="","MRP, ",""))-2),IF(COUNTIF(Vendors!$B$3:$B$202,C869)=0,"Add vendor "&amp;C869&amp;" on the Vendors sheet",IF(ISNA(MATCH(H869,Codes!$A$2:$A$13,0)),"Pick the HSN Code from the list",IF(AND(E869&lt;&gt;"",COUNTIFS($C$3:$C$1002,C869,$E$3:$E$1002,E869,$F$3:$F$1002,"&lt;&gt;"&amp;F869)+COUNTIFS($C$3:$C$1002,C869,$E$3:$E$1002,E869,$G$3:$G$1002,"&lt;&gt;"&amp;G869)&gt;0),"Design "&amp;E869&amp;" has another Product Type or Category on another row",IF(COUNTIFS($F$3:$F$1002,F869,$G$3:$G$1002,G869,$H$3:$H$1002,"&lt;&gt;"&amp;H869)&gt;0,F869&amp;" + "&amp;G869&amp;" has another HSN Code on another row",IF(AND(V869&lt;&gt;"",U869=""),"Received Qty needs the Vendor Invoice No",IF(AND(U869&lt;&gt;"",COUNTIFS(Bills!$B$3:$B$302,U869,Bills!$C$3:$C$302,C869)=0),"Add bill "&amp;U869&amp;" of "&amp;C869&amp;" on the Bills sheet",IF(S869&lt;R869,"MRP is below the Purchase Rate","OK")))))))))</f>
        <v/>
      </c>
      <c r="B869" s="29"/>
      <c r="C869" s="22"/>
      <c r="D869" s="22"/>
      <c r="E869" s="24"/>
      <c r="F869" s="22"/>
      <c r="G869" s="22"/>
      <c r="H869" s="22"/>
      <c r="I869" s="30" t="str">
        <f>IF(H869="","",IFERROR(INDEX(Codes!$B$2:$B$13,MATCH(H869,Codes!$A$2:$A$13,0)),""))</f>
        <v/>
      </c>
      <c r="J869" s="23"/>
      <c r="K869" s="23"/>
      <c r="L869" s="23"/>
      <c r="M869" s="23"/>
      <c r="N869" s="23"/>
      <c r="O869" s="23"/>
      <c r="P869" s="23"/>
      <c r="Q869" s="31"/>
      <c r="R869" s="32"/>
      <c r="S869" s="32"/>
      <c r="T869" s="33" t="str">
        <f t="shared" si="26"/>
        <v/>
      </c>
      <c r="U869" s="34"/>
      <c r="V869" s="35"/>
      <c r="W869" s="33" t="str">
        <f t="shared" si="27"/>
        <v/>
      </c>
    </row>
    <row r="870" spans="1:23" x14ac:dyDescent="0.35">
      <c r="A870" s="21" t="str">
        <f>IF(COUNTA(B870:H870,J870:S870,U870:V870)=0,"",IF((IF(B870="","PO Ref, ","")&amp;IF(C870="","Vendor, ","")&amp;IF(D870="","Store, ","")&amp;IF(F870="","Product Type, ","")&amp;IF(G870="","Category, ","")&amp;IF(H870="","HSN Code, ","")&amp;IF(Q870="","Qty, ","")&amp;IF(R870="","Purchase Rate, ","")&amp;IF(S870="","MRP, ",""))&lt;&gt;"","Missing: "&amp;LEFT(IF(B870="","PO Ref, ","")&amp;IF(C870="","Vendor, ","")&amp;IF(D870="","Store, ","")&amp;IF(F870="","Product Type, ","")&amp;IF(G870="","Category, ","")&amp;IF(H870="","HSN Code, ","")&amp;IF(Q870="","Qty, ","")&amp;IF(R870="","Purchase Rate, ","")&amp;IF(S870="","MRP, ",""),LEN(IF(B870="","PO Ref, ","")&amp;IF(C870="","Vendor, ","")&amp;IF(D870="","Store, ","")&amp;IF(F870="","Product Type, ","")&amp;IF(G870="","Category, ","")&amp;IF(H870="","HSN Code, ","")&amp;IF(Q870="","Qty, ","")&amp;IF(R870="","Purchase Rate, ","")&amp;IF(S870="","MRP, ",""))-2),IF(COUNTIF(Vendors!$B$3:$B$202,C870)=0,"Add vendor "&amp;C870&amp;" on the Vendors sheet",IF(ISNA(MATCH(H870,Codes!$A$2:$A$13,0)),"Pick the HSN Code from the list",IF(AND(E870&lt;&gt;"",COUNTIFS($C$3:$C$1002,C870,$E$3:$E$1002,E870,$F$3:$F$1002,"&lt;&gt;"&amp;F870)+COUNTIFS($C$3:$C$1002,C870,$E$3:$E$1002,E870,$G$3:$G$1002,"&lt;&gt;"&amp;G870)&gt;0),"Design "&amp;E870&amp;" has another Product Type or Category on another row",IF(COUNTIFS($F$3:$F$1002,F870,$G$3:$G$1002,G870,$H$3:$H$1002,"&lt;&gt;"&amp;H870)&gt;0,F870&amp;" + "&amp;G870&amp;" has another HSN Code on another row",IF(AND(V870&lt;&gt;"",U870=""),"Received Qty needs the Vendor Invoice No",IF(AND(U870&lt;&gt;"",COUNTIFS(Bills!$B$3:$B$302,U870,Bills!$C$3:$C$302,C870)=0),"Add bill "&amp;U870&amp;" of "&amp;C870&amp;" on the Bills sheet",IF(S870&lt;R870,"MRP is below the Purchase Rate","OK")))))))))</f>
        <v/>
      </c>
      <c r="B870" s="29"/>
      <c r="C870" s="22"/>
      <c r="D870" s="22"/>
      <c r="E870" s="24"/>
      <c r="F870" s="22"/>
      <c r="G870" s="22"/>
      <c r="H870" s="22"/>
      <c r="I870" s="30" t="str">
        <f>IF(H870="","",IFERROR(INDEX(Codes!$B$2:$B$13,MATCH(H870,Codes!$A$2:$A$13,0)),""))</f>
        <v/>
      </c>
      <c r="J870" s="23"/>
      <c r="K870" s="23"/>
      <c r="L870" s="23"/>
      <c r="M870" s="23"/>
      <c r="N870" s="23"/>
      <c r="O870" s="23"/>
      <c r="P870" s="23"/>
      <c r="Q870" s="31"/>
      <c r="R870" s="32"/>
      <c r="S870" s="32"/>
      <c r="T870" s="33" t="str">
        <f t="shared" si="26"/>
        <v/>
      </c>
      <c r="U870" s="34"/>
      <c r="V870" s="35"/>
      <c r="W870" s="33" t="str">
        <f t="shared" si="27"/>
        <v/>
      </c>
    </row>
    <row r="871" spans="1:23" x14ac:dyDescent="0.35">
      <c r="A871" s="21" t="str">
        <f>IF(COUNTA(B871:H871,J871:S871,U871:V871)=0,"",IF((IF(B871="","PO Ref, ","")&amp;IF(C871="","Vendor, ","")&amp;IF(D871="","Store, ","")&amp;IF(F871="","Product Type, ","")&amp;IF(G871="","Category, ","")&amp;IF(H871="","HSN Code, ","")&amp;IF(Q871="","Qty, ","")&amp;IF(R871="","Purchase Rate, ","")&amp;IF(S871="","MRP, ",""))&lt;&gt;"","Missing: "&amp;LEFT(IF(B871="","PO Ref, ","")&amp;IF(C871="","Vendor, ","")&amp;IF(D871="","Store, ","")&amp;IF(F871="","Product Type, ","")&amp;IF(G871="","Category, ","")&amp;IF(H871="","HSN Code, ","")&amp;IF(Q871="","Qty, ","")&amp;IF(R871="","Purchase Rate, ","")&amp;IF(S871="","MRP, ",""),LEN(IF(B871="","PO Ref, ","")&amp;IF(C871="","Vendor, ","")&amp;IF(D871="","Store, ","")&amp;IF(F871="","Product Type, ","")&amp;IF(G871="","Category, ","")&amp;IF(H871="","HSN Code, ","")&amp;IF(Q871="","Qty, ","")&amp;IF(R871="","Purchase Rate, ","")&amp;IF(S871="","MRP, ",""))-2),IF(COUNTIF(Vendors!$B$3:$B$202,C871)=0,"Add vendor "&amp;C871&amp;" on the Vendors sheet",IF(ISNA(MATCH(H871,Codes!$A$2:$A$13,0)),"Pick the HSN Code from the list",IF(AND(E871&lt;&gt;"",COUNTIFS($C$3:$C$1002,C871,$E$3:$E$1002,E871,$F$3:$F$1002,"&lt;&gt;"&amp;F871)+COUNTIFS($C$3:$C$1002,C871,$E$3:$E$1002,E871,$G$3:$G$1002,"&lt;&gt;"&amp;G871)&gt;0),"Design "&amp;E871&amp;" has another Product Type or Category on another row",IF(COUNTIFS($F$3:$F$1002,F871,$G$3:$G$1002,G871,$H$3:$H$1002,"&lt;&gt;"&amp;H871)&gt;0,F871&amp;" + "&amp;G871&amp;" has another HSN Code on another row",IF(AND(V871&lt;&gt;"",U871=""),"Received Qty needs the Vendor Invoice No",IF(AND(U871&lt;&gt;"",COUNTIFS(Bills!$B$3:$B$302,U871,Bills!$C$3:$C$302,C871)=0),"Add bill "&amp;U871&amp;" of "&amp;C871&amp;" on the Bills sheet",IF(S871&lt;R871,"MRP is below the Purchase Rate","OK")))))))))</f>
        <v/>
      </c>
      <c r="B871" s="29"/>
      <c r="C871" s="22"/>
      <c r="D871" s="22"/>
      <c r="E871" s="24"/>
      <c r="F871" s="22"/>
      <c r="G871" s="22"/>
      <c r="H871" s="22"/>
      <c r="I871" s="30" t="str">
        <f>IF(H871="","",IFERROR(INDEX(Codes!$B$2:$B$13,MATCH(H871,Codes!$A$2:$A$13,0)),""))</f>
        <v/>
      </c>
      <c r="J871" s="23"/>
      <c r="K871" s="23"/>
      <c r="L871" s="23"/>
      <c r="M871" s="23"/>
      <c r="N871" s="23"/>
      <c r="O871" s="23"/>
      <c r="P871" s="23"/>
      <c r="Q871" s="31"/>
      <c r="R871" s="32"/>
      <c r="S871" s="32"/>
      <c r="T871" s="33" t="str">
        <f t="shared" si="26"/>
        <v/>
      </c>
      <c r="U871" s="34"/>
      <c r="V871" s="35"/>
      <c r="W871" s="33" t="str">
        <f t="shared" si="27"/>
        <v/>
      </c>
    </row>
    <row r="872" spans="1:23" x14ac:dyDescent="0.35">
      <c r="A872" s="21" t="str">
        <f>IF(COUNTA(B872:H872,J872:S872,U872:V872)=0,"",IF((IF(B872="","PO Ref, ","")&amp;IF(C872="","Vendor, ","")&amp;IF(D872="","Store, ","")&amp;IF(F872="","Product Type, ","")&amp;IF(G872="","Category, ","")&amp;IF(H872="","HSN Code, ","")&amp;IF(Q872="","Qty, ","")&amp;IF(R872="","Purchase Rate, ","")&amp;IF(S872="","MRP, ",""))&lt;&gt;"","Missing: "&amp;LEFT(IF(B872="","PO Ref, ","")&amp;IF(C872="","Vendor, ","")&amp;IF(D872="","Store, ","")&amp;IF(F872="","Product Type, ","")&amp;IF(G872="","Category, ","")&amp;IF(H872="","HSN Code, ","")&amp;IF(Q872="","Qty, ","")&amp;IF(R872="","Purchase Rate, ","")&amp;IF(S872="","MRP, ",""),LEN(IF(B872="","PO Ref, ","")&amp;IF(C872="","Vendor, ","")&amp;IF(D872="","Store, ","")&amp;IF(F872="","Product Type, ","")&amp;IF(G872="","Category, ","")&amp;IF(H872="","HSN Code, ","")&amp;IF(Q872="","Qty, ","")&amp;IF(R872="","Purchase Rate, ","")&amp;IF(S872="","MRP, ",""))-2),IF(COUNTIF(Vendors!$B$3:$B$202,C872)=0,"Add vendor "&amp;C872&amp;" on the Vendors sheet",IF(ISNA(MATCH(H872,Codes!$A$2:$A$13,0)),"Pick the HSN Code from the list",IF(AND(E872&lt;&gt;"",COUNTIFS($C$3:$C$1002,C872,$E$3:$E$1002,E872,$F$3:$F$1002,"&lt;&gt;"&amp;F872)+COUNTIFS($C$3:$C$1002,C872,$E$3:$E$1002,E872,$G$3:$G$1002,"&lt;&gt;"&amp;G872)&gt;0),"Design "&amp;E872&amp;" has another Product Type or Category on another row",IF(COUNTIFS($F$3:$F$1002,F872,$G$3:$G$1002,G872,$H$3:$H$1002,"&lt;&gt;"&amp;H872)&gt;0,F872&amp;" + "&amp;G872&amp;" has another HSN Code on another row",IF(AND(V872&lt;&gt;"",U872=""),"Received Qty needs the Vendor Invoice No",IF(AND(U872&lt;&gt;"",COUNTIFS(Bills!$B$3:$B$302,U872,Bills!$C$3:$C$302,C872)=0),"Add bill "&amp;U872&amp;" of "&amp;C872&amp;" on the Bills sheet",IF(S872&lt;R872,"MRP is below the Purchase Rate","OK")))))))))</f>
        <v/>
      </c>
      <c r="B872" s="29"/>
      <c r="C872" s="22"/>
      <c r="D872" s="22"/>
      <c r="E872" s="24"/>
      <c r="F872" s="22"/>
      <c r="G872" s="22"/>
      <c r="H872" s="22"/>
      <c r="I872" s="30" t="str">
        <f>IF(H872="","",IFERROR(INDEX(Codes!$B$2:$B$13,MATCH(H872,Codes!$A$2:$A$13,0)),""))</f>
        <v/>
      </c>
      <c r="J872" s="23"/>
      <c r="K872" s="23"/>
      <c r="L872" s="23"/>
      <c r="M872" s="23"/>
      <c r="N872" s="23"/>
      <c r="O872" s="23"/>
      <c r="P872" s="23"/>
      <c r="Q872" s="31"/>
      <c r="R872" s="32"/>
      <c r="S872" s="32"/>
      <c r="T872" s="33" t="str">
        <f t="shared" si="26"/>
        <v/>
      </c>
      <c r="U872" s="34"/>
      <c r="V872" s="35"/>
      <c r="W872" s="33" t="str">
        <f t="shared" si="27"/>
        <v/>
      </c>
    </row>
    <row r="873" spans="1:23" x14ac:dyDescent="0.35">
      <c r="A873" s="21" t="str">
        <f>IF(COUNTA(B873:H873,J873:S873,U873:V873)=0,"",IF((IF(B873="","PO Ref, ","")&amp;IF(C873="","Vendor, ","")&amp;IF(D873="","Store, ","")&amp;IF(F873="","Product Type, ","")&amp;IF(G873="","Category, ","")&amp;IF(H873="","HSN Code, ","")&amp;IF(Q873="","Qty, ","")&amp;IF(R873="","Purchase Rate, ","")&amp;IF(S873="","MRP, ",""))&lt;&gt;"","Missing: "&amp;LEFT(IF(B873="","PO Ref, ","")&amp;IF(C873="","Vendor, ","")&amp;IF(D873="","Store, ","")&amp;IF(F873="","Product Type, ","")&amp;IF(G873="","Category, ","")&amp;IF(H873="","HSN Code, ","")&amp;IF(Q873="","Qty, ","")&amp;IF(R873="","Purchase Rate, ","")&amp;IF(S873="","MRP, ",""),LEN(IF(B873="","PO Ref, ","")&amp;IF(C873="","Vendor, ","")&amp;IF(D873="","Store, ","")&amp;IF(F873="","Product Type, ","")&amp;IF(G873="","Category, ","")&amp;IF(H873="","HSN Code, ","")&amp;IF(Q873="","Qty, ","")&amp;IF(R873="","Purchase Rate, ","")&amp;IF(S873="","MRP, ",""))-2),IF(COUNTIF(Vendors!$B$3:$B$202,C873)=0,"Add vendor "&amp;C873&amp;" on the Vendors sheet",IF(ISNA(MATCH(H873,Codes!$A$2:$A$13,0)),"Pick the HSN Code from the list",IF(AND(E873&lt;&gt;"",COUNTIFS($C$3:$C$1002,C873,$E$3:$E$1002,E873,$F$3:$F$1002,"&lt;&gt;"&amp;F873)+COUNTIFS($C$3:$C$1002,C873,$E$3:$E$1002,E873,$G$3:$G$1002,"&lt;&gt;"&amp;G873)&gt;0),"Design "&amp;E873&amp;" has another Product Type or Category on another row",IF(COUNTIFS($F$3:$F$1002,F873,$G$3:$G$1002,G873,$H$3:$H$1002,"&lt;&gt;"&amp;H873)&gt;0,F873&amp;" + "&amp;G873&amp;" has another HSN Code on another row",IF(AND(V873&lt;&gt;"",U873=""),"Received Qty needs the Vendor Invoice No",IF(AND(U873&lt;&gt;"",COUNTIFS(Bills!$B$3:$B$302,U873,Bills!$C$3:$C$302,C873)=0),"Add bill "&amp;U873&amp;" of "&amp;C873&amp;" on the Bills sheet",IF(S873&lt;R873,"MRP is below the Purchase Rate","OK")))))))))</f>
        <v/>
      </c>
      <c r="B873" s="29"/>
      <c r="C873" s="22"/>
      <c r="D873" s="22"/>
      <c r="E873" s="24"/>
      <c r="F873" s="22"/>
      <c r="G873" s="22"/>
      <c r="H873" s="22"/>
      <c r="I873" s="30" t="str">
        <f>IF(H873="","",IFERROR(INDEX(Codes!$B$2:$B$13,MATCH(H873,Codes!$A$2:$A$13,0)),""))</f>
        <v/>
      </c>
      <c r="J873" s="23"/>
      <c r="K873" s="23"/>
      <c r="L873" s="23"/>
      <c r="M873" s="23"/>
      <c r="N873" s="23"/>
      <c r="O873" s="23"/>
      <c r="P873" s="23"/>
      <c r="Q873" s="31"/>
      <c r="R873" s="32"/>
      <c r="S873" s="32"/>
      <c r="T873" s="33" t="str">
        <f t="shared" si="26"/>
        <v/>
      </c>
      <c r="U873" s="34"/>
      <c r="V873" s="35"/>
      <c r="W873" s="33" t="str">
        <f t="shared" si="27"/>
        <v/>
      </c>
    </row>
    <row r="874" spans="1:23" x14ac:dyDescent="0.35">
      <c r="A874" s="21" t="str">
        <f>IF(COUNTA(B874:H874,J874:S874,U874:V874)=0,"",IF((IF(B874="","PO Ref, ","")&amp;IF(C874="","Vendor, ","")&amp;IF(D874="","Store, ","")&amp;IF(F874="","Product Type, ","")&amp;IF(G874="","Category, ","")&amp;IF(H874="","HSN Code, ","")&amp;IF(Q874="","Qty, ","")&amp;IF(R874="","Purchase Rate, ","")&amp;IF(S874="","MRP, ",""))&lt;&gt;"","Missing: "&amp;LEFT(IF(B874="","PO Ref, ","")&amp;IF(C874="","Vendor, ","")&amp;IF(D874="","Store, ","")&amp;IF(F874="","Product Type, ","")&amp;IF(G874="","Category, ","")&amp;IF(H874="","HSN Code, ","")&amp;IF(Q874="","Qty, ","")&amp;IF(R874="","Purchase Rate, ","")&amp;IF(S874="","MRP, ",""),LEN(IF(B874="","PO Ref, ","")&amp;IF(C874="","Vendor, ","")&amp;IF(D874="","Store, ","")&amp;IF(F874="","Product Type, ","")&amp;IF(G874="","Category, ","")&amp;IF(H874="","HSN Code, ","")&amp;IF(Q874="","Qty, ","")&amp;IF(R874="","Purchase Rate, ","")&amp;IF(S874="","MRP, ",""))-2),IF(COUNTIF(Vendors!$B$3:$B$202,C874)=0,"Add vendor "&amp;C874&amp;" on the Vendors sheet",IF(ISNA(MATCH(H874,Codes!$A$2:$A$13,0)),"Pick the HSN Code from the list",IF(AND(E874&lt;&gt;"",COUNTIFS($C$3:$C$1002,C874,$E$3:$E$1002,E874,$F$3:$F$1002,"&lt;&gt;"&amp;F874)+COUNTIFS($C$3:$C$1002,C874,$E$3:$E$1002,E874,$G$3:$G$1002,"&lt;&gt;"&amp;G874)&gt;0),"Design "&amp;E874&amp;" has another Product Type or Category on another row",IF(COUNTIFS($F$3:$F$1002,F874,$G$3:$G$1002,G874,$H$3:$H$1002,"&lt;&gt;"&amp;H874)&gt;0,F874&amp;" + "&amp;G874&amp;" has another HSN Code on another row",IF(AND(V874&lt;&gt;"",U874=""),"Received Qty needs the Vendor Invoice No",IF(AND(U874&lt;&gt;"",COUNTIFS(Bills!$B$3:$B$302,U874,Bills!$C$3:$C$302,C874)=0),"Add bill "&amp;U874&amp;" of "&amp;C874&amp;" on the Bills sheet",IF(S874&lt;R874,"MRP is below the Purchase Rate","OK")))))))))</f>
        <v/>
      </c>
      <c r="B874" s="29"/>
      <c r="C874" s="22"/>
      <c r="D874" s="22"/>
      <c r="E874" s="24"/>
      <c r="F874" s="22"/>
      <c r="G874" s="22"/>
      <c r="H874" s="22"/>
      <c r="I874" s="30" t="str">
        <f>IF(H874="","",IFERROR(INDEX(Codes!$B$2:$B$13,MATCH(H874,Codes!$A$2:$A$13,0)),""))</f>
        <v/>
      </c>
      <c r="J874" s="23"/>
      <c r="K874" s="23"/>
      <c r="L874" s="23"/>
      <c r="M874" s="23"/>
      <c r="N874" s="23"/>
      <c r="O874" s="23"/>
      <c r="P874" s="23"/>
      <c r="Q874" s="31"/>
      <c r="R874" s="32"/>
      <c r="S874" s="32"/>
      <c r="T874" s="33" t="str">
        <f t="shared" si="26"/>
        <v/>
      </c>
      <c r="U874" s="34"/>
      <c r="V874" s="35"/>
      <c r="W874" s="33" t="str">
        <f t="shared" si="27"/>
        <v/>
      </c>
    </row>
    <row r="875" spans="1:23" x14ac:dyDescent="0.35">
      <c r="A875" s="21" t="str">
        <f>IF(COUNTA(B875:H875,J875:S875,U875:V875)=0,"",IF((IF(B875="","PO Ref, ","")&amp;IF(C875="","Vendor, ","")&amp;IF(D875="","Store, ","")&amp;IF(F875="","Product Type, ","")&amp;IF(G875="","Category, ","")&amp;IF(H875="","HSN Code, ","")&amp;IF(Q875="","Qty, ","")&amp;IF(R875="","Purchase Rate, ","")&amp;IF(S875="","MRP, ",""))&lt;&gt;"","Missing: "&amp;LEFT(IF(B875="","PO Ref, ","")&amp;IF(C875="","Vendor, ","")&amp;IF(D875="","Store, ","")&amp;IF(F875="","Product Type, ","")&amp;IF(G875="","Category, ","")&amp;IF(H875="","HSN Code, ","")&amp;IF(Q875="","Qty, ","")&amp;IF(R875="","Purchase Rate, ","")&amp;IF(S875="","MRP, ",""),LEN(IF(B875="","PO Ref, ","")&amp;IF(C875="","Vendor, ","")&amp;IF(D875="","Store, ","")&amp;IF(F875="","Product Type, ","")&amp;IF(G875="","Category, ","")&amp;IF(H875="","HSN Code, ","")&amp;IF(Q875="","Qty, ","")&amp;IF(R875="","Purchase Rate, ","")&amp;IF(S875="","MRP, ",""))-2),IF(COUNTIF(Vendors!$B$3:$B$202,C875)=0,"Add vendor "&amp;C875&amp;" on the Vendors sheet",IF(ISNA(MATCH(H875,Codes!$A$2:$A$13,0)),"Pick the HSN Code from the list",IF(AND(E875&lt;&gt;"",COUNTIFS($C$3:$C$1002,C875,$E$3:$E$1002,E875,$F$3:$F$1002,"&lt;&gt;"&amp;F875)+COUNTIFS($C$3:$C$1002,C875,$E$3:$E$1002,E875,$G$3:$G$1002,"&lt;&gt;"&amp;G875)&gt;0),"Design "&amp;E875&amp;" has another Product Type or Category on another row",IF(COUNTIFS($F$3:$F$1002,F875,$G$3:$G$1002,G875,$H$3:$H$1002,"&lt;&gt;"&amp;H875)&gt;0,F875&amp;" + "&amp;G875&amp;" has another HSN Code on another row",IF(AND(V875&lt;&gt;"",U875=""),"Received Qty needs the Vendor Invoice No",IF(AND(U875&lt;&gt;"",COUNTIFS(Bills!$B$3:$B$302,U875,Bills!$C$3:$C$302,C875)=0),"Add bill "&amp;U875&amp;" of "&amp;C875&amp;" on the Bills sheet",IF(S875&lt;R875,"MRP is below the Purchase Rate","OK")))))))))</f>
        <v/>
      </c>
      <c r="B875" s="29"/>
      <c r="C875" s="22"/>
      <c r="D875" s="22"/>
      <c r="E875" s="24"/>
      <c r="F875" s="22"/>
      <c r="G875" s="22"/>
      <c r="H875" s="22"/>
      <c r="I875" s="30" t="str">
        <f>IF(H875="","",IFERROR(INDEX(Codes!$B$2:$B$13,MATCH(H875,Codes!$A$2:$A$13,0)),""))</f>
        <v/>
      </c>
      <c r="J875" s="23"/>
      <c r="K875" s="23"/>
      <c r="L875" s="23"/>
      <c r="M875" s="23"/>
      <c r="N875" s="23"/>
      <c r="O875" s="23"/>
      <c r="P875" s="23"/>
      <c r="Q875" s="31"/>
      <c r="R875" s="32"/>
      <c r="S875" s="32"/>
      <c r="T875" s="33" t="str">
        <f t="shared" si="26"/>
        <v/>
      </c>
      <c r="U875" s="34"/>
      <c r="V875" s="35"/>
      <c r="W875" s="33" t="str">
        <f t="shared" si="27"/>
        <v/>
      </c>
    </row>
    <row r="876" spans="1:23" x14ac:dyDescent="0.35">
      <c r="A876" s="21" t="str">
        <f>IF(COUNTA(B876:H876,J876:S876,U876:V876)=0,"",IF((IF(B876="","PO Ref, ","")&amp;IF(C876="","Vendor, ","")&amp;IF(D876="","Store, ","")&amp;IF(F876="","Product Type, ","")&amp;IF(G876="","Category, ","")&amp;IF(H876="","HSN Code, ","")&amp;IF(Q876="","Qty, ","")&amp;IF(R876="","Purchase Rate, ","")&amp;IF(S876="","MRP, ",""))&lt;&gt;"","Missing: "&amp;LEFT(IF(B876="","PO Ref, ","")&amp;IF(C876="","Vendor, ","")&amp;IF(D876="","Store, ","")&amp;IF(F876="","Product Type, ","")&amp;IF(G876="","Category, ","")&amp;IF(H876="","HSN Code, ","")&amp;IF(Q876="","Qty, ","")&amp;IF(R876="","Purchase Rate, ","")&amp;IF(S876="","MRP, ",""),LEN(IF(B876="","PO Ref, ","")&amp;IF(C876="","Vendor, ","")&amp;IF(D876="","Store, ","")&amp;IF(F876="","Product Type, ","")&amp;IF(G876="","Category, ","")&amp;IF(H876="","HSN Code, ","")&amp;IF(Q876="","Qty, ","")&amp;IF(R876="","Purchase Rate, ","")&amp;IF(S876="","MRP, ",""))-2),IF(COUNTIF(Vendors!$B$3:$B$202,C876)=0,"Add vendor "&amp;C876&amp;" on the Vendors sheet",IF(ISNA(MATCH(H876,Codes!$A$2:$A$13,0)),"Pick the HSN Code from the list",IF(AND(E876&lt;&gt;"",COUNTIFS($C$3:$C$1002,C876,$E$3:$E$1002,E876,$F$3:$F$1002,"&lt;&gt;"&amp;F876)+COUNTIFS($C$3:$C$1002,C876,$E$3:$E$1002,E876,$G$3:$G$1002,"&lt;&gt;"&amp;G876)&gt;0),"Design "&amp;E876&amp;" has another Product Type or Category on another row",IF(COUNTIFS($F$3:$F$1002,F876,$G$3:$G$1002,G876,$H$3:$H$1002,"&lt;&gt;"&amp;H876)&gt;0,F876&amp;" + "&amp;G876&amp;" has another HSN Code on another row",IF(AND(V876&lt;&gt;"",U876=""),"Received Qty needs the Vendor Invoice No",IF(AND(U876&lt;&gt;"",COUNTIFS(Bills!$B$3:$B$302,U876,Bills!$C$3:$C$302,C876)=0),"Add bill "&amp;U876&amp;" of "&amp;C876&amp;" on the Bills sheet",IF(S876&lt;R876,"MRP is below the Purchase Rate","OK")))))))))</f>
        <v/>
      </c>
      <c r="B876" s="29"/>
      <c r="C876" s="22"/>
      <c r="D876" s="22"/>
      <c r="E876" s="24"/>
      <c r="F876" s="22"/>
      <c r="G876" s="22"/>
      <c r="H876" s="22"/>
      <c r="I876" s="30" t="str">
        <f>IF(H876="","",IFERROR(INDEX(Codes!$B$2:$B$13,MATCH(H876,Codes!$A$2:$A$13,0)),""))</f>
        <v/>
      </c>
      <c r="J876" s="23"/>
      <c r="K876" s="23"/>
      <c r="L876" s="23"/>
      <c r="M876" s="23"/>
      <c r="N876" s="23"/>
      <c r="O876" s="23"/>
      <c r="P876" s="23"/>
      <c r="Q876" s="31"/>
      <c r="R876" s="32"/>
      <c r="S876" s="32"/>
      <c r="T876" s="33" t="str">
        <f t="shared" si="26"/>
        <v/>
      </c>
      <c r="U876" s="34"/>
      <c r="V876" s="35"/>
      <c r="W876" s="33" t="str">
        <f t="shared" si="27"/>
        <v/>
      </c>
    </row>
    <row r="877" spans="1:23" x14ac:dyDescent="0.35">
      <c r="A877" s="21" t="str">
        <f>IF(COUNTA(B877:H877,J877:S877,U877:V877)=0,"",IF((IF(B877="","PO Ref, ","")&amp;IF(C877="","Vendor, ","")&amp;IF(D877="","Store, ","")&amp;IF(F877="","Product Type, ","")&amp;IF(G877="","Category, ","")&amp;IF(H877="","HSN Code, ","")&amp;IF(Q877="","Qty, ","")&amp;IF(R877="","Purchase Rate, ","")&amp;IF(S877="","MRP, ",""))&lt;&gt;"","Missing: "&amp;LEFT(IF(B877="","PO Ref, ","")&amp;IF(C877="","Vendor, ","")&amp;IF(D877="","Store, ","")&amp;IF(F877="","Product Type, ","")&amp;IF(G877="","Category, ","")&amp;IF(H877="","HSN Code, ","")&amp;IF(Q877="","Qty, ","")&amp;IF(R877="","Purchase Rate, ","")&amp;IF(S877="","MRP, ",""),LEN(IF(B877="","PO Ref, ","")&amp;IF(C877="","Vendor, ","")&amp;IF(D877="","Store, ","")&amp;IF(F877="","Product Type, ","")&amp;IF(G877="","Category, ","")&amp;IF(H877="","HSN Code, ","")&amp;IF(Q877="","Qty, ","")&amp;IF(R877="","Purchase Rate, ","")&amp;IF(S877="","MRP, ",""))-2),IF(COUNTIF(Vendors!$B$3:$B$202,C877)=0,"Add vendor "&amp;C877&amp;" on the Vendors sheet",IF(ISNA(MATCH(H877,Codes!$A$2:$A$13,0)),"Pick the HSN Code from the list",IF(AND(E877&lt;&gt;"",COUNTIFS($C$3:$C$1002,C877,$E$3:$E$1002,E877,$F$3:$F$1002,"&lt;&gt;"&amp;F877)+COUNTIFS($C$3:$C$1002,C877,$E$3:$E$1002,E877,$G$3:$G$1002,"&lt;&gt;"&amp;G877)&gt;0),"Design "&amp;E877&amp;" has another Product Type or Category on another row",IF(COUNTIFS($F$3:$F$1002,F877,$G$3:$G$1002,G877,$H$3:$H$1002,"&lt;&gt;"&amp;H877)&gt;0,F877&amp;" + "&amp;G877&amp;" has another HSN Code on another row",IF(AND(V877&lt;&gt;"",U877=""),"Received Qty needs the Vendor Invoice No",IF(AND(U877&lt;&gt;"",COUNTIFS(Bills!$B$3:$B$302,U877,Bills!$C$3:$C$302,C877)=0),"Add bill "&amp;U877&amp;" of "&amp;C877&amp;" on the Bills sheet",IF(S877&lt;R877,"MRP is below the Purchase Rate","OK")))))))))</f>
        <v/>
      </c>
      <c r="B877" s="29"/>
      <c r="C877" s="22"/>
      <c r="D877" s="22"/>
      <c r="E877" s="24"/>
      <c r="F877" s="22"/>
      <c r="G877" s="22"/>
      <c r="H877" s="22"/>
      <c r="I877" s="30" t="str">
        <f>IF(H877="","",IFERROR(INDEX(Codes!$B$2:$B$13,MATCH(H877,Codes!$A$2:$A$13,0)),""))</f>
        <v/>
      </c>
      <c r="J877" s="23"/>
      <c r="K877" s="23"/>
      <c r="L877" s="23"/>
      <c r="M877" s="23"/>
      <c r="N877" s="23"/>
      <c r="O877" s="23"/>
      <c r="P877" s="23"/>
      <c r="Q877" s="31"/>
      <c r="R877" s="32"/>
      <c r="S877" s="32"/>
      <c r="T877" s="33" t="str">
        <f t="shared" si="26"/>
        <v/>
      </c>
      <c r="U877" s="34"/>
      <c r="V877" s="35"/>
      <c r="W877" s="33" t="str">
        <f t="shared" si="27"/>
        <v/>
      </c>
    </row>
    <row r="878" spans="1:23" x14ac:dyDescent="0.35">
      <c r="A878" s="21" t="str">
        <f>IF(COUNTA(B878:H878,J878:S878,U878:V878)=0,"",IF((IF(B878="","PO Ref, ","")&amp;IF(C878="","Vendor, ","")&amp;IF(D878="","Store, ","")&amp;IF(F878="","Product Type, ","")&amp;IF(G878="","Category, ","")&amp;IF(H878="","HSN Code, ","")&amp;IF(Q878="","Qty, ","")&amp;IF(R878="","Purchase Rate, ","")&amp;IF(S878="","MRP, ",""))&lt;&gt;"","Missing: "&amp;LEFT(IF(B878="","PO Ref, ","")&amp;IF(C878="","Vendor, ","")&amp;IF(D878="","Store, ","")&amp;IF(F878="","Product Type, ","")&amp;IF(G878="","Category, ","")&amp;IF(H878="","HSN Code, ","")&amp;IF(Q878="","Qty, ","")&amp;IF(R878="","Purchase Rate, ","")&amp;IF(S878="","MRP, ",""),LEN(IF(B878="","PO Ref, ","")&amp;IF(C878="","Vendor, ","")&amp;IF(D878="","Store, ","")&amp;IF(F878="","Product Type, ","")&amp;IF(G878="","Category, ","")&amp;IF(H878="","HSN Code, ","")&amp;IF(Q878="","Qty, ","")&amp;IF(R878="","Purchase Rate, ","")&amp;IF(S878="","MRP, ",""))-2),IF(COUNTIF(Vendors!$B$3:$B$202,C878)=0,"Add vendor "&amp;C878&amp;" on the Vendors sheet",IF(ISNA(MATCH(H878,Codes!$A$2:$A$13,0)),"Pick the HSN Code from the list",IF(AND(E878&lt;&gt;"",COUNTIFS($C$3:$C$1002,C878,$E$3:$E$1002,E878,$F$3:$F$1002,"&lt;&gt;"&amp;F878)+COUNTIFS($C$3:$C$1002,C878,$E$3:$E$1002,E878,$G$3:$G$1002,"&lt;&gt;"&amp;G878)&gt;0),"Design "&amp;E878&amp;" has another Product Type or Category on another row",IF(COUNTIFS($F$3:$F$1002,F878,$G$3:$G$1002,G878,$H$3:$H$1002,"&lt;&gt;"&amp;H878)&gt;0,F878&amp;" + "&amp;G878&amp;" has another HSN Code on another row",IF(AND(V878&lt;&gt;"",U878=""),"Received Qty needs the Vendor Invoice No",IF(AND(U878&lt;&gt;"",COUNTIFS(Bills!$B$3:$B$302,U878,Bills!$C$3:$C$302,C878)=0),"Add bill "&amp;U878&amp;" of "&amp;C878&amp;" on the Bills sheet",IF(S878&lt;R878,"MRP is below the Purchase Rate","OK")))))))))</f>
        <v/>
      </c>
      <c r="B878" s="29"/>
      <c r="C878" s="22"/>
      <c r="D878" s="22"/>
      <c r="E878" s="24"/>
      <c r="F878" s="22"/>
      <c r="G878" s="22"/>
      <c r="H878" s="22"/>
      <c r="I878" s="30" t="str">
        <f>IF(H878="","",IFERROR(INDEX(Codes!$B$2:$B$13,MATCH(H878,Codes!$A$2:$A$13,0)),""))</f>
        <v/>
      </c>
      <c r="J878" s="23"/>
      <c r="K878" s="23"/>
      <c r="L878" s="23"/>
      <c r="M878" s="23"/>
      <c r="N878" s="23"/>
      <c r="O878" s="23"/>
      <c r="P878" s="23"/>
      <c r="Q878" s="31"/>
      <c r="R878" s="32"/>
      <c r="S878" s="32"/>
      <c r="T878" s="33" t="str">
        <f t="shared" si="26"/>
        <v/>
      </c>
      <c r="U878" s="34"/>
      <c r="V878" s="35"/>
      <c r="W878" s="33" t="str">
        <f t="shared" si="27"/>
        <v/>
      </c>
    </row>
    <row r="879" spans="1:23" x14ac:dyDescent="0.35">
      <c r="A879" s="21" t="str">
        <f>IF(COUNTA(B879:H879,J879:S879,U879:V879)=0,"",IF((IF(B879="","PO Ref, ","")&amp;IF(C879="","Vendor, ","")&amp;IF(D879="","Store, ","")&amp;IF(F879="","Product Type, ","")&amp;IF(G879="","Category, ","")&amp;IF(H879="","HSN Code, ","")&amp;IF(Q879="","Qty, ","")&amp;IF(R879="","Purchase Rate, ","")&amp;IF(S879="","MRP, ",""))&lt;&gt;"","Missing: "&amp;LEFT(IF(B879="","PO Ref, ","")&amp;IF(C879="","Vendor, ","")&amp;IF(D879="","Store, ","")&amp;IF(F879="","Product Type, ","")&amp;IF(G879="","Category, ","")&amp;IF(H879="","HSN Code, ","")&amp;IF(Q879="","Qty, ","")&amp;IF(R879="","Purchase Rate, ","")&amp;IF(S879="","MRP, ",""),LEN(IF(B879="","PO Ref, ","")&amp;IF(C879="","Vendor, ","")&amp;IF(D879="","Store, ","")&amp;IF(F879="","Product Type, ","")&amp;IF(G879="","Category, ","")&amp;IF(H879="","HSN Code, ","")&amp;IF(Q879="","Qty, ","")&amp;IF(R879="","Purchase Rate, ","")&amp;IF(S879="","MRP, ",""))-2),IF(COUNTIF(Vendors!$B$3:$B$202,C879)=0,"Add vendor "&amp;C879&amp;" on the Vendors sheet",IF(ISNA(MATCH(H879,Codes!$A$2:$A$13,0)),"Pick the HSN Code from the list",IF(AND(E879&lt;&gt;"",COUNTIFS($C$3:$C$1002,C879,$E$3:$E$1002,E879,$F$3:$F$1002,"&lt;&gt;"&amp;F879)+COUNTIFS($C$3:$C$1002,C879,$E$3:$E$1002,E879,$G$3:$G$1002,"&lt;&gt;"&amp;G879)&gt;0),"Design "&amp;E879&amp;" has another Product Type or Category on another row",IF(COUNTIFS($F$3:$F$1002,F879,$G$3:$G$1002,G879,$H$3:$H$1002,"&lt;&gt;"&amp;H879)&gt;0,F879&amp;" + "&amp;G879&amp;" has another HSN Code on another row",IF(AND(V879&lt;&gt;"",U879=""),"Received Qty needs the Vendor Invoice No",IF(AND(U879&lt;&gt;"",COUNTIFS(Bills!$B$3:$B$302,U879,Bills!$C$3:$C$302,C879)=0),"Add bill "&amp;U879&amp;" of "&amp;C879&amp;" on the Bills sheet",IF(S879&lt;R879,"MRP is below the Purchase Rate","OK")))))))))</f>
        <v/>
      </c>
      <c r="B879" s="29"/>
      <c r="C879" s="22"/>
      <c r="D879" s="22"/>
      <c r="E879" s="24"/>
      <c r="F879" s="22"/>
      <c r="G879" s="22"/>
      <c r="H879" s="22"/>
      <c r="I879" s="30" t="str">
        <f>IF(H879="","",IFERROR(INDEX(Codes!$B$2:$B$13,MATCH(H879,Codes!$A$2:$A$13,0)),""))</f>
        <v/>
      </c>
      <c r="J879" s="23"/>
      <c r="K879" s="23"/>
      <c r="L879" s="23"/>
      <c r="M879" s="23"/>
      <c r="N879" s="23"/>
      <c r="O879" s="23"/>
      <c r="P879" s="23"/>
      <c r="Q879" s="31"/>
      <c r="R879" s="32"/>
      <c r="S879" s="32"/>
      <c r="T879" s="33" t="str">
        <f t="shared" si="26"/>
        <v/>
      </c>
      <c r="U879" s="34"/>
      <c r="V879" s="35"/>
      <c r="W879" s="33" t="str">
        <f t="shared" si="27"/>
        <v/>
      </c>
    </row>
    <row r="880" spans="1:23" x14ac:dyDescent="0.35">
      <c r="A880" s="21" t="str">
        <f>IF(COUNTA(B880:H880,J880:S880,U880:V880)=0,"",IF((IF(B880="","PO Ref, ","")&amp;IF(C880="","Vendor, ","")&amp;IF(D880="","Store, ","")&amp;IF(F880="","Product Type, ","")&amp;IF(G880="","Category, ","")&amp;IF(H880="","HSN Code, ","")&amp;IF(Q880="","Qty, ","")&amp;IF(R880="","Purchase Rate, ","")&amp;IF(S880="","MRP, ",""))&lt;&gt;"","Missing: "&amp;LEFT(IF(B880="","PO Ref, ","")&amp;IF(C880="","Vendor, ","")&amp;IF(D880="","Store, ","")&amp;IF(F880="","Product Type, ","")&amp;IF(G880="","Category, ","")&amp;IF(H880="","HSN Code, ","")&amp;IF(Q880="","Qty, ","")&amp;IF(R880="","Purchase Rate, ","")&amp;IF(S880="","MRP, ",""),LEN(IF(B880="","PO Ref, ","")&amp;IF(C880="","Vendor, ","")&amp;IF(D880="","Store, ","")&amp;IF(F880="","Product Type, ","")&amp;IF(G880="","Category, ","")&amp;IF(H880="","HSN Code, ","")&amp;IF(Q880="","Qty, ","")&amp;IF(R880="","Purchase Rate, ","")&amp;IF(S880="","MRP, ",""))-2),IF(COUNTIF(Vendors!$B$3:$B$202,C880)=0,"Add vendor "&amp;C880&amp;" on the Vendors sheet",IF(ISNA(MATCH(H880,Codes!$A$2:$A$13,0)),"Pick the HSN Code from the list",IF(AND(E880&lt;&gt;"",COUNTIFS($C$3:$C$1002,C880,$E$3:$E$1002,E880,$F$3:$F$1002,"&lt;&gt;"&amp;F880)+COUNTIFS($C$3:$C$1002,C880,$E$3:$E$1002,E880,$G$3:$G$1002,"&lt;&gt;"&amp;G880)&gt;0),"Design "&amp;E880&amp;" has another Product Type or Category on another row",IF(COUNTIFS($F$3:$F$1002,F880,$G$3:$G$1002,G880,$H$3:$H$1002,"&lt;&gt;"&amp;H880)&gt;0,F880&amp;" + "&amp;G880&amp;" has another HSN Code on another row",IF(AND(V880&lt;&gt;"",U880=""),"Received Qty needs the Vendor Invoice No",IF(AND(U880&lt;&gt;"",COUNTIFS(Bills!$B$3:$B$302,U880,Bills!$C$3:$C$302,C880)=0),"Add bill "&amp;U880&amp;" of "&amp;C880&amp;" on the Bills sheet",IF(S880&lt;R880,"MRP is below the Purchase Rate","OK")))))))))</f>
        <v/>
      </c>
      <c r="B880" s="29"/>
      <c r="C880" s="22"/>
      <c r="D880" s="22"/>
      <c r="E880" s="24"/>
      <c r="F880" s="22"/>
      <c r="G880" s="22"/>
      <c r="H880" s="22"/>
      <c r="I880" s="30" t="str">
        <f>IF(H880="","",IFERROR(INDEX(Codes!$B$2:$B$13,MATCH(H880,Codes!$A$2:$A$13,0)),""))</f>
        <v/>
      </c>
      <c r="J880" s="23"/>
      <c r="K880" s="23"/>
      <c r="L880" s="23"/>
      <c r="M880" s="23"/>
      <c r="N880" s="23"/>
      <c r="O880" s="23"/>
      <c r="P880" s="23"/>
      <c r="Q880" s="31"/>
      <c r="R880" s="32"/>
      <c r="S880" s="32"/>
      <c r="T880" s="33" t="str">
        <f t="shared" si="26"/>
        <v/>
      </c>
      <c r="U880" s="34"/>
      <c r="V880" s="35"/>
      <c r="W880" s="33" t="str">
        <f t="shared" si="27"/>
        <v/>
      </c>
    </row>
    <row r="881" spans="1:23" x14ac:dyDescent="0.35">
      <c r="A881" s="21" t="str">
        <f>IF(COUNTA(B881:H881,J881:S881,U881:V881)=0,"",IF((IF(B881="","PO Ref, ","")&amp;IF(C881="","Vendor, ","")&amp;IF(D881="","Store, ","")&amp;IF(F881="","Product Type, ","")&amp;IF(G881="","Category, ","")&amp;IF(H881="","HSN Code, ","")&amp;IF(Q881="","Qty, ","")&amp;IF(R881="","Purchase Rate, ","")&amp;IF(S881="","MRP, ",""))&lt;&gt;"","Missing: "&amp;LEFT(IF(B881="","PO Ref, ","")&amp;IF(C881="","Vendor, ","")&amp;IF(D881="","Store, ","")&amp;IF(F881="","Product Type, ","")&amp;IF(G881="","Category, ","")&amp;IF(H881="","HSN Code, ","")&amp;IF(Q881="","Qty, ","")&amp;IF(R881="","Purchase Rate, ","")&amp;IF(S881="","MRP, ",""),LEN(IF(B881="","PO Ref, ","")&amp;IF(C881="","Vendor, ","")&amp;IF(D881="","Store, ","")&amp;IF(F881="","Product Type, ","")&amp;IF(G881="","Category, ","")&amp;IF(H881="","HSN Code, ","")&amp;IF(Q881="","Qty, ","")&amp;IF(R881="","Purchase Rate, ","")&amp;IF(S881="","MRP, ",""))-2),IF(COUNTIF(Vendors!$B$3:$B$202,C881)=0,"Add vendor "&amp;C881&amp;" on the Vendors sheet",IF(ISNA(MATCH(H881,Codes!$A$2:$A$13,0)),"Pick the HSN Code from the list",IF(AND(E881&lt;&gt;"",COUNTIFS($C$3:$C$1002,C881,$E$3:$E$1002,E881,$F$3:$F$1002,"&lt;&gt;"&amp;F881)+COUNTIFS($C$3:$C$1002,C881,$E$3:$E$1002,E881,$G$3:$G$1002,"&lt;&gt;"&amp;G881)&gt;0),"Design "&amp;E881&amp;" has another Product Type or Category on another row",IF(COUNTIFS($F$3:$F$1002,F881,$G$3:$G$1002,G881,$H$3:$H$1002,"&lt;&gt;"&amp;H881)&gt;0,F881&amp;" + "&amp;G881&amp;" has another HSN Code on another row",IF(AND(V881&lt;&gt;"",U881=""),"Received Qty needs the Vendor Invoice No",IF(AND(U881&lt;&gt;"",COUNTIFS(Bills!$B$3:$B$302,U881,Bills!$C$3:$C$302,C881)=0),"Add bill "&amp;U881&amp;" of "&amp;C881&amp;" on the Bills sheet",IF(S881&lt;R881,"MRP is below the Purchase Rate","OK")))))))))</f>
        <v/>
      </c>
      <c r="B881" s="29"/>
      <c r="C881" s="22"/>
      <c r="D881" s="22"/>
      <c r="E881" s="24"/>
      <c r="F881" s="22"/>
      <c r="G881" s="22"/>
      <c r="H881" s="22"/>
      <c r="I881" s="30" t="str">
        <f>IF(H881="","",IFERROR(INDEX(Codes!$B$2:$B$13,MATCH(H881,Codes!$A$2:$A$13,0)),""))</f>
        <v/>
      </c>
      <c r="J881" s="23"/>
      <c r="K881" s="23"/>
      <c r="L881" s="23"/>
      <c r="M881" s="23"/>
      <c r="N881" s="23"/>
      <c r="O881" s="23"/>
      <c r="P881" s="23"/>
      <c r="Q881" s="31"/>
      <c r="R881" s="32"/>
      <c r="S881" s="32"/>
      <c r="T881" s="33" t="str">
        <f t="shared" si="26"/>
        <v/>
      </c>
      <c r="U881" s="34"/>
      <c r="V881" s="35"/>
      <c r="W881" s="33" t="str">
        <f t="shared" si="27"/>
        <v/>
      </c>
    </row>
    <row r="882" spans="1:23" x14ac:dyDescent="0.35">
      <c r="A882" s="21" t="str">
        <f>IF(COUNTA(B882:H882,J882:S882,U882:V882)=0,"",IF((IF(B882="","PO Ref, ","")&amp;IF(C882="","Vendor, ","")&amp;IF(D882="","Store, ","")&amp;IF(F882="","Product Type, ","")&amp;IF(G882="","Category, ","")&amp;IF(H882="","HSN Code, ","")&amp;IF(Q882="","Qty, ","")&amp;IF(R882="","Purchase Rate, ","")&amp;IF(S882="","MRP, ",""))&lt;&gt;"","Missing: "&amp;LEFT(IF(B882="","PO Ref, ","")&amp;IF(C882="","Vendor, ","")&amp;IF(D882="","Store, ","")&amp;IF(F882="","Product Type, ","")&amp;IF(G882="","Category, ","")&amp;IF(H882="","HSN Code, ","")&amp;IF(Q882="","Qty, ","")&amp;IF(R882="","Purchase Rate, ","")&amp;IF(S882="","MRP, ",""),LEN(IF(B882="","PO Ref, ","")&amp;IF(C882="","Vendor, ","")&amp;IF(D882="","Store, ","")&amp;IF(F882="","Product Type, ","")&amp;IF(G882="","Category, ","")&amp;IF(H882="","HSN Code, ","")&amp;IF(Q882="","Qty, ","")&amp;IF(R882="","Purchase Rate, ","")&amp;IF(S882="","MRP, ",""))-2),IF(COUNTIF(Vendors!$B$3:$B$202,C882)=0,"Add vendor "&amp;C882&amp;" on the Vendors sheet",IF(ISNA(MATCH(H882,Codes!$A$2:$A$13,0)),"Pick the HSN Code from the list",IF(AND(E882&lt;&gt;"",COUNTIFS($C$3:$C$1002,C882,$E$3:$E$1002,E882,$F$3:$F$1002,"&lt;&gt;"&amp;F882)+COUNTIFS($C$3:$C$1002,C882,$E$3:$E$1002,E882,$G$3:$G$1002,"&lt;&gt;"&amp;G882)&gt;0),"Design "&amp;E882&amp;" has another Product Type or Category on another row",IF(COUNTIFS($F$3:$F$1002,F882,$G$3:$G$1002,G882,$H$3:$H$1002,"&lt;&gt;"&amp;H882)&gt;0,F882&amp;" + "&amp;G882&amp;" has another HSN Code on another row",IF(AND(V882&lt;&gt;"",U882=""),"Received Qty needs the Vendor Invoice No",IF(AND(U882&lt;&gt;"",COUNTIFS(Bills!$B$3:$B$302,U882,Bills!$C$3:$C$302,C882)=0),"Add bill "&amp;U882&amp;" of "&amp;C882&amp;" on the Bills sheet",IF(S882&lt;R882,"MRP is below the Purchase Rate","OK")))))))))</f>
        <v/>
      </c>
      <c r="B882" s="29"/>
      <c r="C882" s="22"/>
      <c r="D882" s="22"/>
      <c r="E882" s="24"/>
      <c r="F882" s="22"/>
      <c r="G882" s="22"/>
      <c r="H882" s="22"/>
      <c r="I882" s="30" t="str">
        <f>IF(H882="","",IFERROR(INDEX(Codes!$B$2:$B$13,MATCH(H882,Codes!$A$2:$A$13,0)),""))</f>
        <v/>
      </c>
      <c r="J882" s="23"/>
      <c r="K882" s="23"/>
      <c r="L882" s="23"/>
      <c r="M882" s="23"/>
      <c r="N882" s="23"/>
      <c r="O882" s="23"/>
      <c r="P882" s="23"/>
      <c r="Q882" s="31"/>
      <c r="R882" s="32"/>
      <c r="S882" s="32"/>
      <c r="T882" s="33" t="str">
        <f t="shared" si="26"/>
        <v/>
      </c>
      <c r="U882" s="34"/>
      <c r="V882" s="35"/>
      <c r="W882" s="33" t="str">
        <f t="shared" si="27"/>
        <v/>
      </c>
    </row>
    <row r="883" spans="1:23" x14ac:dyDescent="0.35">
      <c r="A883" s="21" t="str">
        <f>IF(COUNTA(B883:H883,J883:S883,U883:V883)=0,"",IF((IF(B883="","PO Ref, ","")&amp;IF(C883="","Vendor, ","")&amp;IF(D883="","Store, ","")&amp;IF(F883="","Product Type, ","")&amp;IF(G883="","Category, ","")&amp;IF(H883="","HSN Code, ","")&amp;IF(Q883="","Qty, ","")&amp;IF(R883="","Purchase Rate, ","")&amp;IF(S883="","MRP, ",""))&lt;&gt;"","Missing: "&amp;LEFT(IF(B883="","PO Ref, ","")&amp;IF(C883="","Vendor, ","")&amp;IF(D883="","Store, ","")&amp;IF(F883="","Product Type, ","")&amp;IF(G883="","Category, ","")&amp;IF(H883="","HSN Code, ","")&amp;IF(Q883="","Qty, ","")&amp;IF(R883="","Purchase Rate, ","")&amp;IF(S883="","MRP, ",""),LEN(IF(B883="","PO Ref, ","")&amp;IF(C883="","Vendor, ","")&amp;IF(D883="","Store, ","")&amp;IF(F883="","Product Type, ","")&amp;IF(G883="","Category, ","")&amp;IF(H883="","HSN Code, ","")&amp;IF(Q883="","Qty, ","")&amp;IF(R883="","Purchase Rate, ","")&amp;IF(S883="","MRP, ",""))-2),IF(COUNTIF(Vendors!$B$3:$B$202,C883)=0,"Add vendor "&amp;C883&amp;" on the Vendors sheet",IF(ISNA(MATCH(H883,Codes!$A$2:$A$13,0)),"Pick the HSN Code from the list",IF(AND(E883&lt;&gt;"",COUNTIFS($C$3:$C$1002,C883,$E$3:$E$1002,E883,$F$3:$F$1002,"&lt;&gt;"&amp;F883)+COUNTIFS($C$3:$C$1002,C883,$E$3:$E$1002,E883,$G$3:$G$1002,"&lt;&gt;"&amp;G883)&gt;0),"Design "&amp;E883&amp;" has another Product Type or Category on another row",IF(COUNTIFS($F$3:$F$1002,F883,$G$3:$G$1002,G883,$H$3:$H$1002,"&lt;&gt;"&amp;H883)&gt;0,F883&amp;" + "&amp;G883&amp;" has another HSN Code on another row",IF(AND(V883&lt;&gt;"",U883=""),"Received Qty needs the Vendor Invoice No",IF(AND(U883&lt;&gt;"",COUNTIFS(Bills!$B$3:$B$302,U883,Bills!$C$3:$C$302,C883)=0),"Add bill "&amp;U883&amp;" of "&amp;C883&amp;" on the Bills sheet",IF(S883&lt;R883,"MRP is below the Purchase Rate","OK")))))))))</f>
        <v/>
      </c>
      <c r="B883" s="29"/>
      <c r="C883" s="22"/>
      <c r="D883" s="22"/>
      <c r="E883" s="24"/>
      <c r="F883" s="22"/>
      <c r="G883" s="22"/>
      <c r="H883" s="22"/>
      <c r="I883" s="30" t="str">
        <f>IF(H883="","",IFERROR(INDEX(Codes!$B$2:$B$13,MATCH(H883,Codes!$A$2:$A$13,0)),""))</f>
        <v/>
      </c>
      <c r="J883" s="23"/>
      <c r="K883" s="23"/>
      <c r="L883" s="23"/>
      <c r="M883" s="23"/>
      <c r="N883" s="23"/>
      <c r="O883" s="23"/>
      <c r="P883" s="23"/>
      <c r="Q883" s="31"/>
      <c r="R883" s="32"/>
      <c r="S883" s="32"/>
      <c r="T883" s="33" t="str">
        <f t="shared" si="26"/>
        <v/>
      </c>
      <c r="U883" s="34"/>
      <c r="V883" s="35"/>
      <c r="W883" s="33" t="str">
        <f t="shared" si="27"/>
        <v/>
      </c>
    </row>
    <row r="884" spans="1:23" x14ac:dyDescent="0.35">
      <c r="A884" s="21" t="str">
        <f>IF(COUNTA(B884:H884,J884:S884,U884:V884)=0,"",IF((IF(B884="","PO Ref, ","")&amp;IF(C884="","Vendor, ","")&amp;IF(D884="","Store, ","")&amp;IF(F884="","Product Type, ","")&amp;IF(G884="","Category, ","")&amp;IF(H884="","HSN Code, ","")&amp;IF(Q884="","Qty, ","")&amp;IF(R884="","Purchase Rate, ","")&amp;IF(S884="","MRP, ",""))&lt;&gt;"","Missing: "&amp;LEFT(IF(B884="","PO Ref, ","")&amp;IF(C884="","Vendor, ","")&amp;IF(D884="","Store, ","")&amp;IF(F884="","Product Type, ","")&amp;IF(G884="","Category, ","")&amp;IF(H884="","HSN Code, ","")&amp;IF(Q884="","Qty, ","")&amp;IF(R884="","Purchase Rate, ","")&amp;IF(S884="","MRP, ",""),LEN(IF(B884="","PO Ref, ","")&amp;IF(C884="","Vendor, ","")&amp;IF(D884="","Store, ","")&amp;IF(F884="","Product Type, ","")&amp;IF(G884="","Category, ","")&amp;IF(H884="","HSN Code, ","")&amp;IF(Q884="","Qty, ","")&amp;IF(R884="","Purchase Rate, ","")&amp;IF(S884="","MRP, ",""))-2),IF(COUNTIF(Vendors!$B$3:$B$202,C884)=0,"Add vendor "&amp;C884&amp;" on the Vendors sheet",IF(ISNA(MATCH(H884,Codes!$A$2:$A$13,0)),"Pick the HSN Code from the list",IF(AND(E884&lt;&gt;"",COUNTIFS($C$3:$C$1002,C884,$E$3:$E$1002,E884,$F$3:$F$1002,"&lt;&gt;"&amp;F884)+COUNTIFS($C$3:$C$1002,C884,$E$3:$E$1002,E884,$G$3:$G$1002,"&lt;&gt;"&amp;G884)&gt;0),"Design "&amp;E884&amp;" has another Product Type or Category on another row",IF(COUNTIFS($F$3:$F$1002,F884,$G$3:$G$1002,G884,$H$3:$H$1002,"&lt;&gt;"&amp;H884)&gt;0,F884&amp;" + "&amp;G884&amp;" has another HSN Code on another row",IF(AND(V884&lt;&gt;"",U884=""),"Received Qty needs the Vendor Invoice No",IF(AND(U884&lt;&gt;"",COUNTIFS(Bills!$B$3:$B$302,U884,Bills!$C$3:$C$302,C884)=0),"Add bill "&amp;U884&amp;" of "&amp;C884&amp;" on the Bills sheet",IF(S884&lt;R884,"MRP is below the Purchase Rate","OK")))))))))</f>
        <v/>
      </c>
      <c r="B884" s="29"/>
      <c r="C884" s="22"/>
      <c r="D884" s="22"/>
      <c r="E884" s="24"/>
      <c r="F884" s="22"/>
      <c r="G884" s="22"/>
      <c r="H884" s="22"/>
      <c r="I884" s="30" t="str">
        <f>IF(H884="","",IFERROR(INDEX(Codes!$B$2:$B$13,MATCH(H884,Codes!$A$2:$A$13,0)),""))</f>
        <v/>
      </c>
      <c r="J884" s="23"/>
      <c r="K884" s="23"/>
      <c r="L884" s="23"/>
      <c r="M884" s="23"/>
      <c r="N884" s="23"/>
      <c r="O884" s="23"/>
      <c r="P884" s="23"/>
      <c r="Q884" s="31"/>
      <c r="R884" s="32"/>
      <c r="S884" s="32"/>
      <c r="T884" s="33" t="str">
        <f t="shared" si="26"/>
        <v/>
      </c>
      <c r="U884" s="34"/>
      <c r="V884" s="35"/>
      <c r="W884" s="33" t="str">
        <f t="shared" si="27"/>
        <v/>
      </c>
    </row>
    <row r="885" spans="1:23" x14ac:dyDescent="0.35">
      <c r="A885" s="21" t="str">
        <f>IF(COUNTA(B885:H885,J885:S885,U885:V885)=0,"",IF((IF(B885="","PO Ref, ","")&amp;IF(C885="","Vendor, ","")&amp;IF(D885="","Store, ","")&amp;IF(F885="","Product Type, ","")&amp;IF(G885="","Category, ","")&amp;IF(H885="","HSN Code, ","")&amp;IF(Q885="","Qty, ","")&amp;IF(R885="","Purchase Rate, ","")&amp;IF(S885="","MRP, ",""))&lt;&gt;"","Missing: "&amp;LEFT(IF(B885="","PO Ref, ","")&amp;IF(C885="","Vendor, ","")&amp;IF(D885="","Store, ","")&amp;IF(F885="","Product Type, ","")&amp;IF(G885="","Category, ","")&amp;IF(H885="","HSN Code, ","")&amp;IF(Q885="","Qty, ","")&amp;IF(R885="","Purchase Rate, ","")&amp;IF(S885="","MRP, ",""),LEN(IF(B885="","PO Ref, ","")&amp;IF(C885="","Vendor, ","")&amp;IF(D885="","Store, ","")&amp;IF(F885="","Product Type, ","")&amp;IF(G885="","Category, ","")&amp;IF(H885="","HSN Code, ","")&amp;IF(Q885="","Qty, ","")&amp;IF(R885="","Purchase Rate, ","")&amp;IF(S885="","MRP, ",""))-2),IF(COUNTIF(Vendors!$B$3:$B$202,C885)=0,"Add vendor "&amp;C885&amp;" on the Vendors sheet",IF(ISNA(MATCH(H885,Codes!$A$2:$A$13,0)),"Pick the HSN Code from the list",IF(AND(E885&lt;&gt;"",COUNTIFS($C$3:$C$1002,C885,$E$3:$E$1002,E885,$F$3:$F$1002,"&lt;&gt;"&amp;F885)+COUNTIFS($C$3:$C$1002,C885,$E$3:$E$1002,E885,$G$3:$G$1002,"&lt;&gt;"&amp;G885)&gt;0),"Design "&amp;E885&amp;" has another Product Type or Category on another row",IF(COUNTIFS($F$3:$F$1002,F885,$G$3:$G$1002,G885,$H$3:$H$1002,"&lt;&gt;"&amp;H885)&gt;0,F885&amp;" + "&amp;G885&amp;" has another HSN Code on another row",IF(AND(V885&lt;&gt;"",U885=""),"Received Qty needs the Vendor Invoice No",IF(AND(U885&lt;&gt;"",COUNTIFS(Bills!$B$3:$B$302,U885,Bills!$C$3:$C$302,C885)=0),"Add bill "&amp;U885&amp;" of "&amp;C885&amp;" on the Bills sheet",IF(S885&lt;R885,"MRP is below the Purchase Rate","OK")))))))))</f>
        <v/>
      </c>
      <c r="B885" s="29"/>
      <c r="C885" s="22"/>
      <c r="D885" s="22"/>
      <c r="E885" s="24"/>
      <c r="F885" s="22"/>
      <c r="G885" s="22"/>
      <c r="H885" s="22"/>
      <c r="I885" s="30" t="str">
        <f>IF(H885="","",IFERROR(INDEX(Codes!$B$2:$B$13,MATCH(H885,Codes!$A$2:$A$13,0)),""))</f>
        <v/>
      </c>
      <c r="J885" s="23"/>
      <c r="K885" s="23"/>
      <c r="L885" s="23"/>
      <c r="M885" s="23"/>
      <c r="N885" s="23"/>
      <c r="O885" s="23"/>
      <c r="P885" s="23"/>
      <c r="Q885" s="31"/>
      <c r="R885" s="32"/>
      <c r="S885" s="32"/>
      <c r="T885" s="33" t="str">
        <f t="shared" si="26"/>
        <v/>
      </c>
      <c r="U885" s="34"/>
      <c r="V885" s="35"/>
      <c r="W885" s="33" t="str">
        <f t="shared" si="27"/>
        <v/>
      </c>
    </row>
    <row r="886" spans="1:23" x14ac:dyDescent="0.35">
      <c r="A886" s="21" t="str">
        <f>IF(COUNTA(B886:H886,J886:S886,U886:V886)=0,"",IF((IF(B886="","PO Ref, ","")&amp;IF(C886="","Vendor, ","")&amp;IF(D886="","Store, ","")&amp;IF(F886="","Product Type, ","")&amp;IF(G886="","Category, ","")&amp;IF(H886="","HSN Code, ","")&amp;IF(Q886="","Qty, ","")&amp;IF(R886="","Purchase Rate, ","")&amp;IF(S886="","MRP, ",""))&lt;&gt;"","Missing: "&amp;LEFT(IF(B886="","PO Ref, ","")&amp;IF(C886="","Vendor, ","")&amp;IF(D886="","Store, ","")&amp;IF(F886="","Product Type, ","")&amp;IF(G886="","Category, ","")&amp;IF(H886="","HSN Code, ","")&amp;IF(Q886="","Qty, ","")&amp;IF(R886="","Purchase Rate, ","")&amp;IF(S886="","MRP, ",""),LEN(IF(B886="","PO Ref, ","")&amp;IF(C886="","Vendor, ","")&amp;IF(D886="","Store, ","")&amp;IF(F886="","Product Type, ","")&amp;IF(G886="","Category, ","")&amp;IF(H886="","HSN Code, ","")&amp;IF(Q886="","Qty, ","")&amp;IF(R886="","Purchase Rate, ","")&amp;IF(S886="","MRP, ",""))-2),IF(COUNTIF(Vendors!$B$3:$B$202,C886)=0,"Add vendor "&amp;C886&amp;" on the Vendors sheet",IF(ISNA(MATCH(H886,Codes!$A$2:$A$13,0)),"Pick the HSN Code from the list",IF(AND(E886&lt;&gt;"",COUNTIFS($C$3:$C$1002,C886,$E$3:$E$1002,E886,$F$3:$F$1002,"&lt;&gt;"&amp;F886)+COUNTIFS($C$3:$C$1002,C886,$E$3:$E$1002,E886,$G$3:$G$1002,"&lt;&gt;"&amp;G886)&gt;0),"Design "&amp;E886&amp;" has another Product Type or Category on another row",IF(COUNTIFS($F$3:$F$1002,F886,$G$3:$G$1002,G886,$H$3:$H$1002,"&lt;&gt;"&amp;H886)&gt;0,F886&amp;" + "&amp;G886&amp;" has another HSN Code on another row",IF(AND(V886&lt;&gt;"",U886=""),"Received Qty needs the Vendor Invoice No",IF(AND(U886&lt;&gt;"",COUNTIFS(Bills!$B$3:$B$302,U886,Bills!$C$3:$C$302,C886)=0),"Add bill "&amp;U886&amp;" of "&amp;C886&amp;" on the Bills sheet",IF(S886&lt;R886,"MRP is below the Purchase Rate","OK")))))))))</f>
        <v/>
      </c>
      <c r="B886" s="29"/>
      <c r="C886" s="22"/>
      <c r="D886" s="22"/>
      <c r="E886" s="24"/>
      <c r="F886" s="22"/>
      <c r="G886" s="22"/>
      <c r="H886" s="22"/>
      <c r="I886" s="30" t="str">
        <f>IF(H886="","",IFERROR(INDEX(Codes!$B$2:$B$13,MATCH(H886,Codes!$A$2:$A$13,0)),""))</f>
        <v/>
      </c>
      <c r="J886" s="23"/>
      <c r="K886" s="23"/>
      <c r="L886" s="23"/>
      <c r="M886" s="23"/>
      <c r="N886" s="23"/>
      <c r="O886" s="23"/>
      <c r="P886" s="23"/>
      <c r="Q886" s="31"/>
      <c r="R886" s="32"/>
      <c r="S886" s="32"/>
      <c r="T886" s="33" t="str">
        <f t="shared" si="26"/>
        <v/>
      </c>
      <c r="U886" s="34"/>
      <c r="V886" s="35"/>
      <c r="W886" s="33" t="str">
        <f t="shared" si="27"/>
        <v/>
      </c>
    </row>
    <row r="887" spans="1:23" x14ac:dyDescent="0.35">
      <c r="A887" s="21" t="str">
        <f>IF(COUNTA(B887:H887,J887:S887,U887:V887)=0,"",IF((IF(B887="","PO Ref, ","")&amp;IF(C887="","Vendor, ","")&amp;IF(D887="","Store, ","")&amp;IF(F887="","Product Type, ","")&amp;IF(G887="","Category, ","")&amp;IF(H887="","HSN Code, ","")&amp;IF(Q887="","Qty, ","")&amp;IF(R887="","Purchase Rate, ","")&amp;IF(S887="","MRP, ",""))&lt;&gt;"","Missing: "&amp;LEFT(IF(B887="","PO Ref, ","")&amp;IF(C887="","Vendor, ","")&amp;IF(D887="","Store, ","")&amp;IF(F887="","Product Type, ","")&amp;IF(G887="","Category, ","")&amp;IF(H887="","HSN Code, ","")&amp;IF(Q887="","Qty, ","")&amp;IF(R887="","Purchase Rate, ","")&amp;IF(S887="","MRP, ",""),LEN(IF(B887="","PO Ref, ","")&amp;IF(C887="","Vendor, ","")&amp;IF(D887="","Store, ","")&amp;IF(F887="","Product Type, ","")&amp;IF(G887="","Category, ","")&amp;IF(H887="","HSN Code, ","")&amp;IF(Q887="","Qty, ","")&amp;IF(R887="","Purchase Rate, ","")&amp;IF(S887="","MRP, ",""))-2),IF(COUNTIF(Vendors!$B$3:$B$202,C887)=0,"Add vendor "&amp;C887&amp;" on the Vendors sheet",IF(ISNA(MATCH(H887,Codes!$A$2:$A$13,0)),"Pick the HSN Code from the list",IF(AND(E887&lt;&gt;"",COUNTIFS($C$3:$C$1002,C887,$E$3:$E$1002,E887,$F$3:$F$1002,"&lt;&gt;"&amp;F887)+COUNTIFS($C$3:$C$1002,C887,$E$3:$E$1002,E887,$G$3:$G$1002,"&lt;&gt;"&amp;G887)&gt;0),"Design "&amp;E887&amp;" has another Product Type or Category on another row",IF(COUNTIFS($F$3:$F$1002,F887,$G$3:$G$1002,G887,$H$3:$H$1002,"&lt;&gt;"&amp;H887)&gt;0,F887&amp;" + "&amp;G887&amp;" has another HSN Code on another row",IF(AND(V887&lt;&gt;"",U887=""),"Received Qty needs the Vendor Invoice No",IF(AND(U887&lt;&gt;"",COUNTIFS(Bills!$B$3:$B$302,U887,Bills!$C$3:$C$302,C887)=0),"Add bill "&amp;U887&amp;" of "&amp;C887&amp;" on the Bills sheet",IF(S887&lt;R887,"MRP is below the Purchase Rate","OK")))))))))</f>
        <v/>
      </c>
      <c r="B887" s="29"/>
      <c r="C887" s="22"/>
      <c r="D887" s="22"/>
      <c r="E887" s="24"/>
      <c r="F887" s="22"/>
      <c r="G887" s="22"/>
      <c r="H887" s="22"/>
      <c r="I887" s="30" t="str">
        <f>IF(H887="","",IFERROR(INDEX(Codes!$B$2:$B$13,MATCH(H887,Codes!$A$2:$A$13,0)),""))</f>
        <v/>
      </c>
      <c r="J887" s="23"/>
      <c r="K887" s="23"/>
      <c r="L887" s="23"/>
      <c r="M887" s="23"/>
      <c r="N887" s="23"/>
      <c r="O887" s="23"/>
      <c r="P887" s="23"/>
      <c r="Q887" s="31"/>
      <c r="R887" s="32"/>
      <c r="S887" s="32"/>
      <c r="T887" s="33" t="str">
        <f t="shared" si="26"/>
        <v/>
      </c>
      <c r="U887" s="34"/>
      <c r="V887" s="35"/>
      <c r="W887" s="33" t="str">
        <f t="shared" si="27"/>
        <v/>
      </c>
    </row>
    <row r="888" spans="1:23" x14ac:dyDescent="0.35">
      <c r="A888" s="21" t="str">
        <f>IF(COUNTA(B888:H888,J888:S888,U888:V888)=0,"",IF((IF(B888="","PO Ref, ","")&amp;IF(C888="","Vendor, ","")&amp;IF(D888="","Store, ","")&amp;IF(F888="","Product Type, ","")&amp;IF(G888="","Category, ","")&amp;IF(H888="","HSN Code, ","")&amp;IF(Q888="","Qty, ","")&amp;IF(R888="","Purchase Rate, ","")&amp;IF(S888="","MRP, ",""))&lt;&gt;"","Missing: "&amp;LEFT(IF(B888="","PO Ref, ","")&amp;IF(C888="","Vendor, ","")&amp;IF(D888="","Store, ","")&amp;IF(F888="","Product Type, ","")&amp;IF(G888="","Category, ","")&amp;IF(H888="","HSN Code, ","")&amp;IF(Q888="","Qty, ","")&amp;IF(R888="","Purchase Rate, ","")&amp;IF(S888="","MRP, ",""),LEN(IF(B888="","PO Ref, ","")&amp;IF(C888="","Vendor, ","")&amp;IF(D888="","Store, ","")&amp;IF(F888="","Product Type, ","")&amp;IF(G888="","Category, ","")&amp;IF(H888="","HSN Code, ","")&amp;IF(Q888="","Qty, ","")&amp;IF(R888="","Purchase Rate, ","")&amp;IF(S888="","MRP, ",""))-2),IF(COUNTIF(Vendors!$B$3:$B$202,C888)=0,"Add vendor "&amp;C888&amp;" on the Vendors sheet",IF(ISNA(MATCH(H888,Codes!$A$2:$A$13,0)),"Pick the HSN Code from the list",IF(AND(E888&lt;&gt;"",COUNTIFS($C$3:$C$1002,C888,$E$3:$E$1002,E888,$F$3:$F$1002,"&lt;&gt;"&amp;F888)+COUNTIFS($C$3:$C$1002,C888,$E$3:$E$1002,E888,$G$3:$G$1002,"&lt;&gt;"&amp;G888)&gt;0),"Design "&amp;E888&amp;" has another Product Type or Category on another row",IF(COUNTIFS($F$3:$F$1002,F888,$G$3:$G$1002,G888,$H$3:$H$1002,"&lt;&gt;"&amp;H888)&gt;0,F888&amp;" + "&amp;G888&amp;" has another HSN Code on another row",IF(AND(V888&lt;&gt;"",U888=""),"Received Qty needs the Vendor Invoice No",IF(AND(U888&lt;&gt;"",COUNTIFS(Bills!$B$3:$B$302,U888,Bills!$C$3:$C$302,C888)=0),"Add bill "&amp;U888&amp;" of "&amp;C888&amp;" on the Bills sheet",IF(S888&lt;R888,"MRP is below the Purchase Rate","OK")))))))))</f>
        <v/>
      </c>
      <c r="B888" s="29"/>
      <c r="C888" s="22"/>
      <c r="D888" s="22"/>
      <c r="E888" s="24"/>
      <c r="F888" s="22"/>
      <c r="G888" s="22"/>
      <c r="H888" s="22"/>
      <c r="I888" s="30" t="str">
        <f>IF(H888="","",IFERROR(INDEX(Codes!$B$2:$B$13,MATCH(H888,Codes!$A$2:$A$13,0)),""))</f>
        <v/>
      </c>
      <c r="J888" s="23"/>
      <c r="K888" s="23"/>
      <c r="L888" s="23"/>
      <c r="M888" s="23"/>
      <c r="N888" s="23"/>
      <c r="O888" s="23"/>
      <c r="P888" s="23"/>
      <c r="Q888" s="31"/>
      <c r="R888" s="32"/>
      <c r="S888" s="32"/>
      <c r="T888" s="33" t="str">
        <f t="shared" si="26"/>
        <v/>
      </c>
      <c r="U888" s="34"/>
      <c r="V888" s="35"/>
      <c r="W888" s="33" t="str">
        <f t="shared" si="27"/>
        <v/>
      </c>
    </row>
    <row r="889" spans="1:23" x14ac:dyDescent="0.35">
      <c r="A889" s="21" t="str">
        <f>IF(COUNTA(B889:H889,J889:S889,U889:V889)=0,"",IF((IF(B889="","PO Ref, ","")&amp;IF(C889="","Vendor, ","")&amp;IF(D889="","Store, ","")&amp;IF(F889="","Product Type, ","")&amp;IF(G889="","Category, ","")&amp;IF(H889="","HSN Code, ","")&amp;IF(Q889="","Qty, ","")&amp;IF(R889="","Purchase Rate, ","")&amp;IF(S889="","MRP, ",""))&lt;&gt;"","Missing: "&amp;LEFT(IF(B889="","PO Ref, ","")&amp;IF(C889="","Vendor, ","")&amp;IF(D889="","Store, ","")&amp;IF(F889="","Product Type, ","")&amp;IF(G889="","Category, ","")&amp;IF(H889="","HSN Code, ","")&amp;IF(Q889="","Qty, ","")&amp;IF(R889="","Purchase Rate, ","")&amp;IF(S889="","MRP, ",""),LEN(IF(B889="","PO Ref, ","")&amp;IF(C889="","Vendor, ","")&amp;IF(D889="","Store, ","")&amp;IF(F889="","Product Type, ","")&amp;IF(G889="","Category, ","")&amp;IF(H889="","HSN Code, ","")&amp;IF(Q889="","Qty, ","")&amp;IF(R889="","Purchase Rate, ","")&amp;IF(S889="","MRP, ",""))-2),IF(COUNTIF(Vendors!$B$3:$B$202,C889)=0,"Add vendor "&amp;C889&amp;" on the Vendors sheet",IF(ISNA(MATCH(H889,Codes!$A$2:$A$13,0)),"Pick the HSN Code from the list",IF(AND(E889&lt;&gt;"",COUNTIFS($C$3:$C$1002,C889,$E$3:$E$1002,E889,$F$3:$F$1002,"&lt;&gt;"&amp;F889)+COUNTIFS($C$3:$C$1002,C889,$E$3:$E$1002,E889,$G$3:$G$1002,"&lt;&gt;"&amp;G889)&gt;0),"Design "&amp;E889&amp;" has another Product Type or Category on another row",IF(COUNTIFS($F$3:$F$1002,F889,$G$3:$G$1002,G889,$H$3:$H$1002,"&lt;&gt;"&amp;H889)&gt;0,F889&amp;" + "&amp;G889&amp;" has another HSN Code on another row",IF(AND(V889&lt;&gt;"",U889=""),"Received Qty needs the Vendor Invoice No",IF(AND(U889&lt;&gt;"",COUNTIFS(Bills!$B$3:$B$302,U889,Bills!$C$3:$C$302,C889)=0),"Add bill "&amp;U889&amp;" of "&amp;C889&amp;" on the Bills sheet",IF(S889&lt;R889,"MRP is below the Purchase Rate","OK")))))))))</f>
        <v/>
      </c>
      <c r="B889" s="29"/>
      <c r="C889" s="22"/>
      <c r="D889" s="22"/>
      <c r="E889" s="24"/>
      <c r="F889" s="22"/>
      <c r="G889" s="22"/>
      <c r="H889" s="22"/>
      <c r="I889" s="30" t="str">
        <f>IF(H889="","",IFERROR(INDEX(Codes!$B$2:$B$13,MATCH(H889,Codes!$A$2:$A$13,0)),""))</f>
        <v/>
      </c>
      <c r="J889" s="23"/>
      <c r="K889" s="23"/>
      <c r="L889" s="23"/>
      <c r="M889" s="23"/>
      <c r="N889" s="23"/>
      <c r="O889" s="23"/>
      <c r="P889" s="23"/>
      <c r="Q889" s="31"/>
      <c r="R889" s="32"/>
      <c r="S889" s="32"/>
      <c r="T889" s="33" t="str">
        <f t="shared" si="26"/>
        <v/>
      </c>
      <c r="U889" s="34"/>
      <c r="V889" s="35"/>
      <c r="W889" s="33" t="str">
        <f t="shared" si="27"/>
        <v/>
      </c>
    </row>
    <row r="890" spans="1:23" x14ac:dyDescent="0.35">
      <c r="A890" s="21" t="str">
        <f>IF(COUNTA(B890:H890,J890:S890,U890:V890)=0,"",IF((IF(B890="","PO Ref, ","")&amp;IF(C890="","Vendor, ","")&amp;IF(D890="","Store, ","")&amp;IF(F890="","Product Type, ","")&amp;IF(G890="","Category, ","")&amp;IF(H890="","HSN Code, ","")&amp;IF(Q890="","Qty, ","")&amp;IF(R890="","Purchase Rate, ","")&amp;IF(S890="","MRP, ",""))&lt;&gt;"","Missing: "&amp;LEFT(IF(B890="","PO Ref, ","")&amp;IF(C890="","Vendor, ","")&amp;IF(D890="","Store, ","")&amp;IF(F890="","Product Type, ","")&amp;IF(G890="","Category, ","")&amp;IF(H890="","HSN Code, ","")&amp;IF(Q890="","Qty, ","")&amp;IF(R890="","Purchase Rate, ","")&amp;IF(S890="","MRP, ",""),LEN(IF(B890="","PO Ref, ","")&amp;IF(C890="","Vendor, ","")&amp;IF(D890="","Store, ","")&amp;IF(F890="","Product Type, ","")&amp;IF(G890="","Category, ","")&amp;IF(H890="","HSN Code, ","")&amp;IF(Q890="","Qty, ","")&amp;IF(R890="","Purchase Rate, ","")&amp;IF(S890="","MRP, ",""))-2),IF(COUNTIF(Vendors!$B$3:$B$202,C890)=0,"Add vendor "&amp;C890&amp;" on the Vendors sheet",IF(ISNA(MATCH(H890,Codes!$A$2:$A$13,0)),"Pick the HSN Code from the list",IF(AND(E890&lt;&gt;"",COUNTIFS($C$3:$C$1002,C890,$E$3:$E$1002,E890,$F$3:$F$1002,"&lt;&gt;"&amp;F890)+COUNTIFS($C$3:$C$1002,C890,$E$3:$E$1002,E890,$G$3:$G$1002,"&lt;&gt;"&amp;G890)&gt;0),"Design "&amp;E890&amp;" has another Product Type or Category on another row",IF(COUNTIFS($F$3:$F$1002,F890,$G$3:$G$1002,G890,$H$3:$H$1002,"&lt;&gt;"&amp;H890)&gt;0,F890&amp;" + "&amp;G890&amp;" has another HSN Code on another row",IF(AND(V890&lt;&gt;"",U890=""),"Received Qty needs the Vendor Invoice No",IF(AND(U890&lt;&gt;"",COUNTIFS(Bills!$B$3:$B$302,U890,Bills!$C$3:$C$302,C890)=0),"Add bill "&amp;U890&amp;" of "&amp;C890&amp;" on the Bills sheet",IF(S890&lt;R890,"MRP is below the Purchase Rate","OK")))))))))</f>
        <v/>
      </c>
      <c r="B890" s="29"/>
      <c r="C890" s="22"/>
      <c r="D890" s="22"/>
      <c r="E890" s="24"/>
      <c r="F890" s="22"/>
      <c r="G890" s="22"/>
      <c r="H890" s="22"/>
      <c r="I890" s="30" t="str">
        <f>IF(H890="","",IFERROR(INDEX(Codes!$B$2:$B$13,MATCH(H890,Codes!$A$2:$A$13,0)),""))</f>
        <v/>
      </c>
      <c r="J890" s="23"/>
      <c r="K890" s="23"/>
      <c r="L890" s="23"/>
      <c r="M890" s="23"/>
      <c r="N890" s="23"/>
      <c r="O890" s="23"/>
      <c r="P890" s="23"/>
      <c r="Q890" s="31"/>
      <c r="R890" s="32"/>
      <c r="S890" s="32"/>
      <c r="T890" s="33" t="str">
        <f t="shared" si="26"/>
        <v/>
      </c>
      <c r="U890" s="34"/>
      <c r="V890" s="35"/>
      <c r="W890" s="33" t="str">
        <f t="shared" si="27"/>
        <v/>
      </c>
    </row>
    <row r="891" spans="1:23" x14ac:dyDescent="0.35">
      <c r="A891" s="21" t="str">
        <f>IF(COUNTA(B891:H891,J891:S891,U891:V891)=0,"",IF((IF(B891="","PO Ref, ","")&amp;IF(C891="","Vendor, ","")&amp;IF(D891="","Store, ","")&amp;IF(F891="","Product Type, ","")&amp;IF(G891="","Category, ","")&amp;IF(H891="","HSN Code, ","")&amp;IF(Q891="","Qty, ","")&amp;IF(R891="","Purchase Rate, ","")&amp;IF(S891="","MRP, ",""))&lt;&gt;"","Missing: "&amp;LEFT(IF(B891="","PO Ref, ","")&amp;IF(C891="","Vendor, ","")&amp;IF(D891="","Store, ","")&amp;IF(F891="","Product Type, ","")&amp;IF(G891="","Category, ","")&amp;IF(H891="","HSN Code, ","")&amp;IF(Q891="","Qty, ","")&amp;IF(R891="","Purchase Rate, ","")&amp;IF(S891="","MRP, ",""),LEN(IF(B891="","PO Ref, ","")&amp;IF(C891="","Vendor, ","")&amp;IF(D891="","Store, ","")&amp;IF(F891="","Product Type, ","")&amp;IF(G891="","Category, ","")&amp;IF(H891="","HSN Code, ","")&amp;IF(Q891="","Qty, ","")&amp;IF(R891="","Purchase Rate, ","")&amp;IF(S891="","MRP, ",""))-2),IF(COUNTIF(Vendors!$B$3:$B$202,C891)=0,"Add vendor "&amp;C891&amp;" on the Vendors sheet",IF(ISNA(MATCH(H891,Codes!$A$2:$A$13,0)),"Pick the HSN Code from the list",IF(AND(E891&lt;&gt;"",COUNTIFS($C$3:$C$1002,C891,$E$3:$E$1002,E891,$F$3:$F$1002,"&lt;&gt;"&amp;F891)+COUNTIFS($C$3:$C$1002,C891,$E$3:$E$1002,E891,$G$3:$G$1002,"&lt;&gt;"&amp;G891)&gt;0),"Design "&amp;E891&amp;" has another Product Type or Category on another row",IF(COUNTIFS($F$3:$F$1002,F891,$G$3:$G$1002,G891,$H$3:$H$1002,"&lt;&gt;"&amp;H891)&gt;0,F891&amp;" + "&amp;G891&amp;" has another HSN Code on another row",IF(AND(V891&lt;&gt;"",U891=""),"Received Qty needs the Vendor Invoice No",IF(AND(U891&lt;&gt;"",COUNTIFS(Bills!$B$3:$B$302,U891,Bills!$C$3:$C$302,C891)=0),"Add bill "&amp;U891&amp;" of "&amp;C891&amp;" on the Bills sheet",IF(S891&lt;R891,"MRP is below the Purchase Rate","OK")))))))))</f>
        <v/>
      </c>
      <c r="B891" s="29"/>
      <c r="C891" s="22"/>
      <c r="D891" s="22"/>
      <c r="E891" s="24"/>
      <c r="F891" s="22"/>
      <c r="G891" s="22"/>
      <c r="H891" s="22"/>
      <c r="I891" s="30" t="str">
        <f>IF(H891="","",IFERROR(INDEX(Codes!$B$2:$B$13,MATCH(H891,Codes!$A$2:$A$13,0)),""))</f>
        <v/>
      </c>
      <c r="J891" s="23"/>
      <c r="K891" s="23"/>
      <c r="L891" s="23"/>
      <c r="M891" s="23"/>
      <c r="N891" s="23"/>
      <c r="O891" s="23"/>
      <c r="P891" s="23"/>
      <c r="Q891" s="31"/>
      <c r="R891" s="32"/>
      <c r="S891" s="32"/>
      <c r="T891" s="33" t="str">
        <f t="shared" si="26"/>
        <v/>
      </c>
      <c r="U891" s="34"/>
      <c r="V891" s="35"/>
      <c r="W891" s="33" t="str">
        <f t="shared" si="27"/>
        <v/>
      </c>
    </row>
    <row r="892" spans="1:23" x14ac:dyDescent="0.35">
      <c r="A892" s="21" t="str">
        <f>IF(COUNTA(B892:H892,J892:S892,U892:V892)=0,"",IF((IF(B892="","PO Ref, ","")&amp;IF(C892="","Vendor, ","")&amp;IF(D892="","Store, ","")&amp;IF(F892="","Product Type, ","")&amp;IF(G892="","Category, ","")&amp;IF(H892="","HSN Code, ","")&amp;IF(Q892="","Qty, ","")&amp;IF(R892="","Purchase Rate, ","")&amp;IF(S892="","MRP, ",""))&lt;&gt;"","Missing: "&amp;LEFT(IF(B892="","PO Ref, ","")&amp;IF(C892="","Vendor, ","")&amp;IF(D892="","Store, ","")&amp;IF(F892="","Product Type, ","")&amp;IF(G892="","Category, ","")&amp;IF(H892="","HSN Code, ","")&amp;IF(Q892="","Qty, ","")&amp;IF(R892="","Purchase Rate, ","")&amp;IF(S892="","MRP, ",""),LEN(IF(B892="","PO Ref, ","")&amp;IF(C892="","Vendor, ","")&amp;IF(D892="","Store, ","")&amp;IF(F892="","Product Type, ","")&amp;IF(G892="","Category, ","")&amp;IF(H892="","HSN Code, ","")&amp;IF(Q892="","Qty, ","")&amp;IF(R892="","Purchase Rate, ","")&amp;IF(S892="","MRP, ",""))-2),IF(COUNTIF(Vendors!$B$3:$B$202,C892)=0,"Add vendor "&amp;C892&amp;" on the Vendors sheet",IF(ISNA(MATCH(H892,Codes!$A$2:$A$13,0)),"Pick the HSN Code from the list",IF(AND(E892&lt;&gt;"",COUNTIFS($C$3:$C$1002,C892,$E$3:$E$1002,E892,$F$3:$F$1002,"&lt;&gt;"&amp;F892)+COUNTIFS($C$3:$C$1002,C892,$E$3:$E$1002,E892,$G$3:$G$1002,"&lt;&gt;"&amp;G892)&gt;0),"Design "&amp;E892&amp;" has another Product Type or Category on another row",IF(COUNTIFS($F$3:$F$1002,F892,$G$3:$G$1002,G892,$H$3:$H$1002,"&lt;&gt;"&amp;H892)&gt;0,F892&amp;" + "&amp;G892&amp;" has another HSN Code on another row",IF(AND(V892&lt;&gt;"",U892=""),"Received Qty needs the Vendor Invoice No",IF(AND(U892&lt;&gt;"",COUNTIFS(Bills!$B$3:$B$302,U892,Bills!$C$3:$C$302,C892)=0),"Add bill "&amp;U892&amp;" of "&amp;C892&amp;" on the Bills sheet",IF(S892&lt;R892,"MRP is below the Purchase Rate","OK")))))))))</f>
        <v/>
      </c>
      <c r="B892" s="29"/>
      <c r="C892" s="22"/>
      <c r="D892" s="22"/>
      <c r="E892" s="24"/>
      <c r="F892" s="22"/>
      <c r="G892" s="22"/>
      <c r="H892" s="22"/>
      <c r="I892" s="30" t="str">
        <f>IF(H892="","",IFERROR(INDEX(Codes!$B$2:$B$13,MATCH(H892,Codes!$A$2:$A$13,0)),""))</f>
        <v/>
      </c>
      <c r="J892" s="23"/>
      <c r="K892" s="23"/>
      <c r="L892" s="23"/>
      <c r="M892" s="23"/>
      <c r="N892" s="23"/>
      <c r="O892" s="23"/>
      <c r="P892" s="23"/>
      <c r="Q892" s="31"/>
      <c r="R892" s="32"/>
      <c r="S892" s="32"/>
      <c r="T892" s="33" t="str">
        <f t="shared" si="26"/>
        <v/>
      </c>
      <c r="U892" s="34"/>
      <c r="V892" s="35"/>
      <c r="W892" s="33" t="str">
        <f t="shared" si="27"/>
        <v/>
      </c>
    </row>
    <row r="893" spans="1:23" x14ac:dyDescent="0.35">
      <c r="A893" s="21" t="str">
        <f>IF(COUNTA(B893:H893,J893:S893,U893:V893)=0,"",IF((IF(B893="","PO Ref, ","")&amp;IF(C893="","Vendor, ","")&amp;IF(D893="","Store, ","")&amp;IF(F893="","Product Type, ","")&amp;IF(G893="","Category, ","")&amp;IF(H893="","HSN Code, ","")&amp;IF(Q893="","Qty, ","")&amp;IF(R893="","Purchase Rate, ","")&amp;IF(S893="","MRP, ",""))&lt;&gt;"","Missing: "&amp;LEFT(IF(B893="","PO Ref, ","")&amp;IF(C893="","Vendor, ","")&amp;IF(D893="","Store, ","")&amp;IF(F893="","Product Type, ","")&amp;IF(G893="","Category, ","")&amp;IF(H893="","HSN Code, ","")&amp;IF(Q893="","Qty, ","")&amp;IF(R893="","Purchase Rate, ","")&amp;IF(S893="","MRP, ",""),LEN(IF(B893="","PO Ref, ","")&amp;IF(C893="","Vendor, ","")&amp;IF(D893="","Store, ","")&amp;IF(F893="","Product Type, ","")&amp;IF(G893="","Category, ","")&amp;IF(H893="","HSN Code, ","")&amp;IF(Q893="","Qty, ","")&amp;IF(R893="","Purchase Rate, ","")&amp;IF(S893="","MRP, ",""))-2),IF(COUNTIF(Vendors!$B$3:$B$202,C893)=0,"Add vendor "&amp;C893&amp;" on the Vendors sheet",IF(ISNA(MATCH(H893,Codes!$A$2:$A$13,0)),"Pick the HSN Code from the list",IF(AND(E893&lt;&gt;"",COUNTIFS($C$3:$C$1002,C893,$E$3:$E$1002,E893,$F$3:$F$1002,"&lt;&gt;"&amp;F893)+COUNTIFS($C$3:$C$1002,C893,$E$3:$E$1002,E893,$G$3:$G$1002,"&lt;&gt;"&amp;G893)&gt;0),"Design "&amp;E893&amp;" has another Product Type or Category on another row",IF(COUNTIFS($F$3:$F$1002,F893,$G$3:$G$1002,G893,$H$3:$H$1002,"&lt;&gt;"&amp;H893)&gt;0,F893&amp;" + "&amp;G893&amp;" has another HSN Code on another row",IF(AND(V893&lt;&gt;"",U893=""),"Received Qty needs the Vendor Invoice No",IF(AND(U893&lt;&gt;"",COUNTIFS(Bills!$B$3:$B$302,U893,Bills!$C$3:$C$302,C893)=0),"Add bill "&amp;U893&amp;" of "&amp;C893&amp;" on the Bills sheet",IF(S893&lt;R893,"MRP is below the Purchase Rate","OK")))))))))</f>
        <v/>
      </c>
      <c r="B893" s="29"/>
      <c r="C893" s="22"/>
      <c r="D893" s="22"/>
      <c r="E893" s="24"/>
      <c r="F893" s="22"/>
      <c r="G893" s="22"/>
      <c r="H893" s="22"/>
      <c r="I893" s="30" t="str">
        <f>IF(H893="","",IFERROR(INDEX(Codes!$B$2:$B$13,MATCH(H893,Codes!$A$2:$A$13,0)),""))</f>
        <v/>
      </c>
      <c r="J893" s="23"/>
      <c r="K893" s="23"/>
      <c r="L893" s="23"/>
      <c r="M893" s="23"/>
      <c r="N893" s="23"/>
      <c r="O893" s="23"/>
      <c r="P893" s="23"/>
      <c r="Q893" s="31"/>
      <c r="R893" s="32"/>
      <c r="S893" s="32"/>
      <c r="T893" s="33" t="str">
        <f t="shared" si="26"/>
        <v/>
      </c>
      <c r="U893" s="34"/>
      <c r="V893" s="35"/>
      <c r="W893" s="33" t="str">
        <f t="shared" si="27"/>
        <v/>
      </c>
    </row>
    <row r="894" spans="1:23" x14ac:dyDescent="0.35">
      <c r="A894" s="21" t="str">
        <f>IF(COUNTA(B894:H894,J894:S894,U894:V894)=0,"",IF((IF(B894="","PO Ref, ","")&amp;IF(C894="","Vendor, ","")&amp;IF(D894="","Store, ","")&amp;IF(F894="","Product Type, ","")&amp;IF(G894="","Category, ","")&amp;IF(H894="","HSN Code, ","")&amp;IF(Q894="","Qty, ","")&amp;IF(R894="","Purchase Rate, ","")&amp;IF(S894="","MRP, ",""))&lt;&gt;"","Missing: "&amp;LEFT(IF(B894="","PO Ref, ","")&amp;IF(C894="","Vendor, ","")&amp;IF(D894="","Store, ","")&amp;IF(F894="","Product Type, ","")&amp;IF(G894="","Category, ","")&amp;IF(H894="","HSN Code, ","")&amp;IF(Q894="","Qty, ","")&amp;IF(R894="","Purchase Rate, ","")&amp;IF(S894="","MRP, ",""),LEN(IF(B894="","PO Ref, ","")&amp;IF(C894="","Vendor, ","")&amp;IF(D894="","Store, ","")&amp;IF(F894="","Product Type, ","")&amp;IF(G894="","Category, ","")&amp;IF(H894="","HSN Code, ","")&amp;IF(Q894="","Qty, ","")&amp;IF(R894="","Purchase Rate, ","")&amp;IF(S894="","MRP, ",""))-2),IF(COUNTIF(Vendors!$B$3:$B$202,C894)=0,"Add vendor "&amp;C894&amp;" on the Vendors sheet",IF(ISNA(MATCH(H894,Codes!$A$2:$A$13,0)),"Pick the HSN Code from the list",IF(AND(E894&lt;&gt;"",COUNTIFS($C$3:$C$1002,C894,$E$3:$E$1002,E894,$F$3:$F$1002,"&lt;&gt;"&amp;F894)+COUNTIFS($C$3:$C$1002,C894,$E$3:$E$1002,E894,$G$3:$G$1002,"&lt;&gt;"&amp;G894)&gt;0),"Design "&amp;E894&amp;" has another Product Type or Category on another row",IF(COUNTIFS($F$3:$F$1002,F894,$G$3:$G$1002,G894,$H$3:$H$1002,"&lt;&gt;"&amp;H894)&gt;0,F894&amp;" + "&amp;G894&amp;" has another HSN Code on another row",IF(AND(V894&lt;&gt;"",U894=""),"Received Qty needs the Vendor Invoice No",IF(AND(U894&lt;&gt;"",COUNTIFS(Bills!$B$3:$B$302,U894,Bills!$C$3:$C$302,C894)=0),"Add bill "&amp;U894&amp;" of "&amp;C894&amp;" on the Bills sheet",IF(S894&lt;R894,"MRP is below the Purchase Rate","OK")))))))))</f>
        <v/>
      </c>
      <c r="B894" s="29"/>
      <c r="C894" s="22"/>
      <c r="D894" s="22"/>
      <c r="E894" s="24"/>
      <c r="F894" s="22"/>
      <c r="G894" s="22"/>
      <c r="H894" s="22"/>
      <c r="I894" s="30" t="str">
        <f>IF(H894="","",IFERROR(INDEX(Codes!$B$2:$B$13,MATCH(H894,Codes!$A$2:$A$13,0)),""))</f>
        <v/>
      </c>
      <c r="J894" s="23"/>
      <c r="K894" s="23"/>
      <c r="L894" s="23"/>
      <c r="M894" s="23"/>
      <c r="N894" s="23"/>
      <c r="O894" s="23"/>
      <c r="P894" s="23"/>
      <c r="Q894" s="31"/>
      <c r="R894" s="32"/>
      <c r="S894" s="32"/>
      <c r="T894" s="33" t="str">
        <f t="shared" si="26"/>
        <v/>
      </c>
      <c r="U894" s="34"/>
      <c r="V894" s="35"/>
      <c r="W894" s="33" t="str">
        <f t="shared" si="27"/>
        <v/>
      </c>
    </row>
    <row r="895" spans="1:23" x14ac:dyDescent="0.35">
      <c r="A895" s="21" t="str">
        <f>IF(COUNTA(B895:H895,J895:S895,U895:V895)=0,"",IF((IF(B895="","PO Ref, ","")&amp;IF(C895="","Vendor, ","")&amp;IF(D895="","Store, ","")&amp;IF(F895="","Product Type, ","")&amp;IF(G895="","Category, ","")&amp;IF(H895="","HSN Code, ","")&amp;IF(Q895="","Qty, ","")&amp;IF(R895="","Purchase Rate, ","")&amp;IF(S895="","MRP, ",""))&lt;&gt;"","Missing: "&amp;LEFT(IF(B895="","PO Ref, ","")&amp;IF(C895="","Vendor, ","")&amp;IF(D895="","Store, ","")&amp;IF(F895="","Product Type, ","")&amp;IF(G895="","Category, ","")&amp;IF(H895="","HSN Code, ","")&amp;IF(Q895="","Qty, ","")&amp;IF(R895="","Purchase Rate, ","")&amp;IF(S895="","MRP, ",""),LEN(IF(B895="","PO Ref, ","")&amp;IF(C895="","Vendor, ","")&amp;IF(D895="","Store, ","")&amp;IF(F895="","Product Type, ","")&amp;IF(G895="","Category, ","")&amp;IF(H895="","HSN Code, ","")&amp;IF(Q895="","Qty, ","")&amp;IF(R895="","Purchase Rate, ","")&amp;IF(S895="","MRP, ",""))-2),IF(COUNTIF(Vendors!$B$3:$B$202,C895)=0,"Add vendor "&amp;C895&amp;" on the Vendors sheet",IF(ISNA(MATCH(H895,Codes!$A$2:$A$13,0)),"Pick the HSN Code from the list",IF(AND(E895&lt;&gt;"",COUNTIFS($C$3:$C$1002,C895,$E$3:$E$1002,E895,$F$3:$F$1002,"&lt;&gt;"&amp;F895)+COUNTIFS($C$3:$C$1002,C895,$E$3:$E$1002,E895,$G$3:$G$1002,"&lt;&gt;"&amp;G895)&gt;0),"Design "&amp;E895&amp;" has another Product Type or Category on another row",IF(COUNTIFS($F$3:$F$1002,F895,$G$3:$G$1002,G895,$H$3:$H$1002,"&lt;&gt;"&amp;H895)&gt;0,F895&amp;" + "&amp;G895&amp;" has another HSN Code on another row",IF(AND(V895&lt;&gt;"",U895=""),"Received Qty needs the Vendor Invoice No",IF(AND(U895&lt;&gt;"",COUNTIFS(Bills!$B$3:$B$302,U895,Bills!$C$3:$C$302,C895)=0),"Add bill "&amp;U895&amp;" of "&amp;C895&amp;" on the Bills sheet",IF(S895&lt;R895,"MRP is below the Purchase Rate","OK")))))))))</f>
        <v/>
      </c>
      <c r="B895" s="29"/>
      <c r="C895" s="22"/>
      <c r="D895" s="22"/>
      <c r="E895" s="24"/>
      <c r="F895" s="22"/>
      <c r="G895" s="22"/>
      <c r="H895" s="22"/>
      <c r="I895" s="30" t="str">
        <f>IF(H895="","",IFERROR(INDEX(Codes!$B$2:$B$13,MATCH(H895,Codes!$A$2:$A$13,0)),""))</f>
        <v/>
      </c>
      <c r="J895" s="23"/>
      <c r="K895" s="23"/>
      <c r="L895" s="23"/>
      <c r="M895" s="23"/>
      <c r="N895" s="23"/>
      <c r="O895" s="23"/>
      <c r="P895" s="23"/>
      <c r="Q895" s="31"/>
      <c r="R895" s="32"/>
      <c r="S895" s="32"/>
      <c r="T895" s="33" t="str">
        <f t="shared" si="26"/>
        <v/>
      </c>
      <c r="U895" s="34"/>
      <c r="V895" s="35"/>
      <c r="W895" s="33" t="str">
        <f t="shared" si="27"/>
        <v/>
      </c>
    </row>
    <row r="896" spans="1:23" x14ac:dyDescent="0.35">
      <c r="A896" s="21" t="str">
        <f>IF(COUNTA(B896:H896,J896:S896,U896:V896)=0,"",IF((IF(B896="","PO Ref, ","")&amp;IF(C896="","Vendor, ","")&amp;IF(D896="","Store, ","")&amp;IF(F896="","Product Type, ","")&amp;IF(G896="","Category, ","")&amp;IF(H896="","HSN Code, ","")&amp;IF(Q896="","Qty, ","")&amp;IF(R896="","Purchase Rate, ","")&amp;IF(S896="","MRP, ",""))&lt;&gt;"","Missing: "&amp;LEFT(IF(B896="","PO Ref, ","")&amp;IF(C896="","Vendor, ","")&amp;IF(D896="","Store, ","")&amp;IF(F896="","Product Type, ","")&amp;IF(G896="","Category, ","")&amp;IF(H896="","HSN Code, ","")&amp;IF(Q896="","Qty, ","")&amp;IF(R896="","Purchase Rate, ","")&amp;IF(S896="","MRP, ",""),LEN(IF(B896="","PO Ref, ","")&amp;IF(C896="","Vendor, ","")&amp;IF(D896="","Store, ","")&amp;IF(F896="","Product Type, ","")&amp;IF(G896="","Category, ","")&amp;IF(H896="","HSN Code, ","")&amp;IF(Q896="","Qty, ","")&amp;IF(R896="","Purchase Rate, ","")&amp;IF(S896="","MRP, ",""))-2),IF(COUNTIF(Vendors!$B$3:$B$202,C896)=0,"Add vendor "&amp;C896&amp;" on the Vendors sheet",IF(ISNA(MATCH(H896,Codes!$A$2:$A$13,0)),"Pick the HSN Code from the list",IF(AND(E896&lt;&gt;"",COUNTIFS($C$3:$C$1002,C896,$E$3:$E$1002,E896,$F$3:$F$1002,"&lt;&gt;"&amp;F896)+COUNTIFS($C$3:$C$1002,C896,$E$3:$E$1002,E896,$G$3:$G$1002,"&lt;&gt;"&amp;G896)&gt;0),"Design "&amp;E896&amp;" has another Product Type or Category on another row",IF(COUNTIFS($F$3:$F$1002,F896,$G$3:$G$1002,G896,$H$3:$H$1002,"&lt;&gt;"&amp;H896)&gt;0,F896&amp;" + "&amp;G896&amp;" has another HSN Code on another row",IF(AND(V896&lt;&gt;"",U896=""),"Received Qty needs the Vendor Invoice No",IF(AND(U896&lt;&gt;"",COUNTIFS(Bills!$B$3:$B$302,U896,Bills!$C$3:$C$302,C896)=0),"Add bill "&amp;U896&amp;" of "&amp;C896&amp;" on the Bills sheet",IF(S896&lt;R896,"MRP is below the Purchase Rate","OK")))))))))</f>
        <v/>
      </c>
      <c r="B896" s="29"/>
      <c r="C896" s="22"/>
      <c r="D896" s="22"/>
      <c r="E896" s="24"/>
      <c r="F896" s="22"/>
      <c r="G896" s="22"/>
      <c r="H896" s="22"/>
      <c r="I896" s="30" t="str">
        <f>IF(H896="","",IFERROR(INDEX(Codes!$B$2:$B$13,MATCH(H896,Codes!$A$2:$A$13,0)),""))</f>
        <v/>
      </c>
      <c r="J896" s="23"/>
      <c r="K896" s="23"/>
      <c r="L896" s="23"/>
      <c r="M896" s="23"/>
      <c r="N896" s="23"/>
      <c r="O896" s="23"/>
      <c r="P896" s="23"/>
      <c r="Q896" s="31"/>
      <c r="R896" s="32"/>
      <c r="S896" s="32"/>
      <c r="T896" s="33" t="str">
        <f t="shared" si="26"/>
        <v/>
      </c>
      <c r="U896" s="34"/>
      <c r="V896" s="35"/>
      <c r="W896" s="33" t="str">
        <f t="shared" si="27"/>
        <v/>
      </c>
    </row>
    <row r="897" spans="1:23" x14ac:dyDescent="0.35">
      <c r="A897" s="21" t="str">
        <f>IF(COUNTA(B897:H897,J897:S897,U897:V897)=0,"",IF((IF(B897="","PO Ref, ","")&amp;IF(C897="","Vendor, ","")&amp;IF(D897="","Store, ","")&amp;IF(F897="","Product Type, ","")&amp;IF(G897="","Category, ","")&amp;IF(H897="","HSN Code, ","")&amp;IF(Q897="","Qty, ","")&amp;IF(R897="","Purchase Rate, ","")&amp;IF(S897="","MRP, ",""))&lt;&gt;"","Missing: "&amp;LEFT(IF(B897="","PO Ref, ","")&amp;IF(C897="","Vendor, ","")&amp;IF(D897="","Store, ","")&amp;IF(F897="","Product Type, ","")&amp;IF(G897="","Category, ","")&amp;IF(H897="","HSN Code, ","")&amp;IF(Q897="","Qty, ","")&amp;IF(R897="","Purchase Rate, ","")&amp;IF(S897="","MRP, ",""),LEN(IF(B897="","PO Ref, ","")&amp;IF(C897="","Vendor, ","")&amp;IF(D897="","Store, ","")&amp;IF(F897="","Product Type, ","")&amp;IF(G897="","Category, ","")&amp;IF(H897="","HSN Code, ","")&amp;IF(Q897="","Qty, ","")&amp;IF(R897="","Purchase Rate, ","")&amp;IF(S897="","MRP, ",""))-2),IF(COUNTIF(Vendors!$B$3:$B$202,C897)=0,"Add vendor "&amp;C897&amp;" on the Vendors sheet",IF(ISNA(MATCH(H897,Codes!$A$2:$A$13,0)),"Pick the HSN Code from the list",IF(AND(E897&lt;&gt;"",COUNTIFS($C$3:$C$1002,C897,$E$3:$E$1002,E897,$F$3:$F$1002,"&lt;&gt;"&amp;F897)+COUNTIFS($C$3:$C$1002,C897,$E$3:$E$1002,E897,$G$3:$G$1002,"&lt;&gt;"&amp;G897)&gt;0),"Design "&amp;E897&amp;" has another Product Type or Category on another row",IF(COUNTIFS($F$3:$F$1002,F897,$G$3:$G$1002,G897,$H$3:$H$1002,"&lt;&gt;"&amp;H897)&gt;0,F897&amp;" + "&amp;G897&amp;" has another HSN Code on another row",IF(AND(V897&lt;&gt;"",U897=""),"Received Qty needs the Vendor Invoice No",IF(AND(U897&lt;&gt;"",COUNTIFS(Bills!$B$3:$B$302,U897,Bills!$C$3:$C$302,C897)=0),"Add bill "&amp;U897&amp;" of "&amp;C897&amp;" on the Bills sheet",IF(S897&lt;R897,"MRP is below the Purchase Rate","OK")))))))))</f>
        <v/>
      </c>
      <c r="B897" s="29"/>
      <c r="C897" s="22"/>
      <c r="D897" s="22"/>
      <c r="E897" s="24"/>
      <c r="F897" s="22"/>
      <c r="G897" s="22"/>
      <c r="H897" s="22"/>
      <c r="I897" s="30" t="str">
        <f>IF(H897="","",IFERROR(INDEX(Codes!$B$2:$B$13,MATCH(H897,Codes!$A$2:$A$13,0)),""))</f>
        <v/>
      </c>
      <c r="J897" s="23"/>
      <c r="K897" s="23"/>
      <c r="L897" s="23"/>
      <c r="M897" s="23"/>
      <c r="N897" s="23"/>
      <c r="O897" s="23"/>
      <c r="P897" s="23"/>
      <c r="Q897" s="31"/>
      <c r="R897" s="32"/>
      <c r="S897" s="32"/>
      <c r="T897" s="33" t="str">
        <f t="shared" si="26"/>
        <v/>
      </c>
      <c r="U897" s="34"/>
      <c r="V897" s="35"/>
      <c r="W897" s="33" t="str">
        <f t="shared" si="27"/>
        <v/>
      </c>
    </row>
    <row r="898" spans="1:23" x14ac:dyDescent="0.35">
      <c r="A898" s="21" t="str">
        <f>IF(COUNTA(B898:H898,J898:S898,U898:V898)=0,"",IF((IF(B898="","PO Ref, ","")&amp;IF(C898="","Vendor, ","")&amp;IF(D898="","Store, ","")&amp;IF(F898="","Product Type, ","")&amp;IF(G898="","Category, ","")&amp;IF(H898="","HSN Code, ","")&amp;IF(Q898="","Qty, ","")&amp;IF(R898="","Purchase Rate, ","")&amp;IF(S898="","MRP, ",""))&lt;&gt;"","Missing: "&amp;LEFT(IF(B898="","PO Ref, ","")&amp;IF(C898="","Vendor, ","")&amp;IF(D898="","Store, ","")&amp;IF(F898="","Product Type, ","")&amp;IF(G898="","Category, ","")&amp;IF(H898="","HSN Code, ","")&amp;IF(Q898="","Qty, ","")&amp;IF(R898="","Purchase Rate, ","")&amp;IF(S898="","MRP, ",""),LEN(IF(B898="","PO Ref, ","")&amp;IF(C898="","Vendor, ","")&amp;IF(D898="","Store, ","")&amp;IF(F898="","Product Type, ","")&amp;IF(G898="","Category, ","")&amp;IF(H898="","HSN Code, ","")&amp;IF(Q898="","Qty, ","")&amp;IF(R898="","Purchase Rate, ","")&amp;IF(S898="","MRP, ",""))-2),IF(COUNTIF(Vendors!$B$3:$B$202,C898)=0,"Add vendor "&amp;C898&amp;" on the Vendors sheet",IF(ISNA(MATCH(H898,Codes!$A$2:$A$13,0)),"Pick the HSN Code from the list",IF(AND(E898&lt;&gt;"",COUNTIFS($C$3:$C$1002,C898,$E$3:$E$1002,E898,$F$3:$F$1002,"&lt;&gt;"&amp;F898)+COUNTIFS($C$3:$C$1002,C898,$E$3:$E$1002,E898,$G$3:$G$1002,"&lt;&gt;"&amp;G898)&gt;0),"Design "&amp;E898&amp;" has another Product Type or Category on another row",IF(COUNTIFS($F$3:$F$1002,F898,$G$3:$G$1002,G898,$H$3:$H$1002,"&lt;&gt;"&amp;H898)&gt;0,F898&amp;" + "&amp;G898&amp;" has another HSN Code on another row",IF(AND(V898&lt;&gt;"",U898=""),"Received Qty needs the Vendor Invoice No",IF(AND(U898&lt;&gt;"",COUNTIFS(Bills!$B$3:$B$302,U898,Bills!$C$3:$C$302,C898)=0),"Add bill "&amp;U898&amp;" of "&amp;C898&amp;" on the Bills sheet",IF(S898&lt;R898,"MRP is below the Purchase Rate","OK")))))))))</f>
        <v/>
      </c>
      <c r="B898" s="29"/>
      <c r="C898" s="22"/>
      <c r="D898" s="22"/>
      <c r="E898" s="24"/>
      <c r="F898" s="22"/>
      <c r="G898" s="22"/>
      <c r="H898" s="22"/>
      <c r="I898" s="30" t="str">
        <f>IF(H898="","",IFERROR(INDEX(Codes!$B$2:$B$13,MATCH(H898,Codes!$A$2:$A$13,0)),""))</f>
        <v/>
      </c>
      <c r="J898" s="23"/>
      <c r="K898" s="23"/>
      <c r="L898" s="23"/>
      <c r="M898" s="23"/>
      <c r="N898" s="23"/>
      <c r="O898" s="23"/>
      <c r="P898" s="23"/>
      <c r="Q898" s="31"/>
      <c r="R898" s="32"/>
      <c r="S898" s="32"/>
      <c r="T898" s="33" t="str">
        <f t="shared" si="26"/>
        <v/>
      </c>
      <c r="U898" s="34"/>
      <c r="V898" s="35"/>
      <c r="W898" s="33" t="str">
        <f t="shared" si="27"/>
        <v/>
      </c>
    </row>
    <row r="899" spans="1:23" x14ac:dyDescent="0.35">
      <c r="A899" s="21" t="str">
        <f>IF(COUNTA(B899:H899,J899:S899,U899:V899)=0,"",IF((IF(B899="","PO Ref, ","")&amp;IF(C899="","Vendor, ","")&amp;IF(D899="","Store, ","")&amp;IF(F899="","Product Type, ","")&amp;IF(G899="","Category, ","")&amp;IF(H899="","HSN Code, ","")&amp;IF(Q899="","Qty, ","")&amp;IF(R899="","Purchase Rate, ","")&amp;IF(S899="","MRP, ",""))&lt;&gt;"","Missing: "&amp;LEFT(IF(B899="","PO Ref, ","")&amp;IF(C899="","Vendor, ","")&amp;IF(D899="","Store, ","")&amp;IF(F899="","Product Type, ","")&amp;IF(G899="","Category, ","")&amp;IF(H899="","HSN Code, ","")&amp;IF(Q899="","Qty, ","")&amp;IF(R899="","Purchase Rate, ","")&amp;IF(S899="","MRP, ",""),LEN(IF(B899="","PO Ref, ","")&amp;IF(C899="","Vendor, ","")&amp;IF(D899="","Store, ","")&amp;IF(F899="","Product Type, ","")&amp;IF(G899="","Category, ","")&amp;IF(H899="","HSN Code, ","")&amp;IF(Q899="","Qty, ","")&amp;IF(R899="","Purchase Rate, ","")&amp;IF(S899="","MRP, ",""))-2),IF(COUNTIF(Vendors!$B$3:$B$202,C899)=0,"Add vendor "&amp;C899&amp;" on the Vendors sheet",IF(ISNA(MATCH(H899,Codes!$A$2:$A$13,0)),"Pick the HSN Code from the list",IF(AND(E899&lt;&gt;"",COUNTIFS($C$3:$C$1002,C899,$E$3:$E$1002,E899,$F$3:$F$1002,"&lt;&gt;"&amp;F899)+COUNTIFS($C$3:$C$1002,C899,$E$3:$E$1002,E899,$G$3:$G$1002,"&lt;&gt;"&amp;G899)&gt;0),"Design "&amp;E899&amp;" has another Product Type or Category on another row",IF(COUNTIFS($F$3:$F$1002,F899,$G$3:$G$1002,G899,$H$3:$H$1002,"&lt;&gt;"&amp;H899)&gt;0,F899&amp;" + "&amp;G899&amp;" has another HSN Code on another row",IF(AND(V899&lt;&gt;"",U899=""),"Received Qty needs the Vendor Invoice No",IF(AND(U899&lt;&gt;"",COUNTIFS(Bills!$B$3:$B$302,U899,Bills!$C$3:$C$302,C899)=0),"Add bill "&amp;U899&amp;" of "&amp;C899&amp;" on the Bills sheet",IF(S899&lt;R899,"MRP is below the Purchase Rate","OK")))))))))</f>
        <v/>
      </c>
      <c r="B899" s="29"/>
      <c r="C899" s="22"/>
      <c r="D899" s="22"/>
      <c r="E899" s="24"/>
      <c r="F899" s="22"/>
      <c r="G899" s="22"/>
      <c r="H899" s="22"/>
      <c r="I899" s="30" t="str">
        <f>IF(H899="","",IFERROR(INDEX(Codes!$B$2:$B$13,MATCH(H899,Codes!$A$2:$A$13,0)),""))</f>
        <v/>
      </c>
      <c r="J899" s="23"/>
      <c r="K899" s="23"/>
      <c r="L899" s="23"/>
      <c r="M899" s="23"/>
      <c r="N899" s="23"/>
      <c r="O899" s="23"/>
      <c r="P899" s="23"/>
      <c r="Q899" s="31"/>
      <c r="R899" s="32"/>
      <c r="S899" s="32"/>
      <c r="T899" s="33" t="str">
        <f t="shared" ref="T899:T962" si="28">IF(OR(Q899="",R899=""),"",Q899*R899)</f>
        <v/>
      </c>
      <c r="U899" s="34"/>
      <c r="V899" s="35"/>
      <c r="W899" s="33" t="str">
        <f t="shared" ref="W899:W962" si="29">IF(OR(U899="",R899=""),"",IF(V899="",Q899,V899)*R899)</f>
        <v/>
      </c>
    </row>
    <row r="900" spans="1:23" x14ac:dyDescent="0.35">
      <c r="A900" s="21" t="str">
        <f>IF(COUNTA(B900:H900,J900:S900,U900:V900)=0,"",IF((IF(B900="","PO Ref, ","")&amp;IF(C900="","Vendor, ","")&amp;IF(D900="","Store, ","")&amp;IF(F900="","Product Type, ","")&amp;IF(G900="","Category, ","")&amp;IF(H900="","HSN Code, ","")&amp;IF(Q900="","Qty, ","")&amp;IF(R900="","Purchase Rate, ","")&amp;IF(S900="","MRP, ",""))&lt;&gt;"","Missing: "&amp;LEFT(IF(B900="","PO Ref, ","")&amp;IF(C900="","Vendor, ","")&amp;IF(D900="","Store, ","")&amp;IF(F900="","Product Type, ","")&amp;IF(G900="","Category, ","")&amp;IF(H900="","HSN Code, ","")&amp;IF(Q900="","Qty, ","")&amp;IF(R900="","Purchase Rate, ","")&amp;IF(S900="","MRP, ",""),LEN(IF(B900="","PO Ref, ","")&amp;IF(C900="","Vendor, ","")&amp;IF(D900="","Store, ","")&amp;IF(F900="","Product Type, ","")&amp;IF(G900="","Category, ","")&amp;IF(H900="","HSN Code, ","")&amp;IF(Q900="","Qty, ","")&amp;IF(R900="","Purchase Rate, ","")&amp;IF(S900="","MRP, ",""))-2),IF(COUNTIF(Vendors!$B$3:$B$202,C900)=0,"Add vendor "&amp;C900&amp;" on the Vendors sheet",IF(ISNA(MATCH(H900,Codes!$A$2:$A$13,0)),"Pick the HSN Code from the list",IF(AND(E900&lt;&gt;"",COUNTIFS($C$3:$C$1002,C900,$E$3:$E$1002,E900,$F$3:$F$1002,"&lt;&gt;"&amp;F900)+COUNTIFS($C$3:$C$1002,C900,$E$3:$E$1002,E900,$G$3:$G$1002,"&lt;&gt;"&amp;G900)&gt;0),"Design "&amp;E900&amp;" has another Product Type or Category on another row",IF(COUNTIFS($F$3:$F$1002,F900,$G$3:$G$1002,G900,$H$3:$H$1002,"&lt;&gt;"&amp;H900)&gt;0,F900&amp;" + "&amp;G900&amp;" has another HSN Code on another row",IF(AND(V900&lt;&gt;"",U900=""),"Received Qty needs the Vendor Invoice No",IF(AND(U900&lt;&gt;"",COUNTIFS(Bills!$B$3:$B$302,U900,Bills!$C$3:$C$302,C900)=0),"Add bill "&amp;U900&amp;" of "&amp;C900&amp;" on the Bills sheet",IF(S900&lt;R900,"MRP is below the Purchase Rate","OK")))))))))</f>
        <v/>
      </c>
      <c r="B900" s="29"/>
      <c r="C900" s="22"/>
      <c r="D900" s="22"/>
      <c r="E900" s="24"/>
      <c r="F900" s="22"/>
      <c r="G900" s="22"/>
      <c r="H900" s="22"/>
      <c r="I900" s="30" t="str">
        <f>IF(H900="","",IFERROR(INDEX(Codes!$B$2:$B$13,MATCH(H900,Codes!$A$2:$A$13,0)),""))</f>
        <v/>
      </c>
      <c r="J900" s="23"/>
      <c r="K900" s="23"/>
      <c r="L900" s="23"/>
      <c r="M900" s="23"/>
      <c r="N900" s="23"/>
      <c r="O900" s="23"/>
      <c r="P900" s="23"/>
      <c r="Q900" s="31"/>
      <c r="R900" s="32"/>
      <c r="S900" s="32"/>
      <c r="T900" s="33" t="str">
        <f t="shared" si="28"/>
        <v/>
      </c>
      <c r="U900" s="34"/>
      <c r="V900" s="35"/>
      <c r="W900" s="33" t="str">
        <f t="shared" si="29"/>
        <v/>
      </c>
    </row>
    <row r="901" spans="1:23" x14ac:dyDescent="0.35">
      <c r="A901" s="21" t="str">
        <f>IF(COUNTA(B901:H901,J901:S901,U901:V901)=0,"",IF((IF(B901="","PO Ref, ","")&amp;IF(C901="","Vendor, ","")&amp;IF(D901="","Store, ","")&amp;IF(F901="","Product Type, ","")&amp;IF(G901="","Category, ","")&amp;IF(H901="","HSN Code, ","")&amp;IF(Q901="","Qty, ","")&amp;IF(R901="","Purchase Rate, ","")&amp;IF(S901="","MRP, ",""))&lt;&gt;"","Missing: "&amp;LEFT(IF(B901="","PO Ref, ","")&amp;IF(C901="","Vendor, ","")&amp;IF(D901="","Store, ","")&amp;IF(F901="","Product Type, ","")&amp;IF(G901="","Category, ","")&amp;IF(H901="","HSN Code, ","")&amp;IF(Q901="","Qty, ","")&amp;IF(R901="","Purchase Rate, ","")&amp;IF(S901="","MRP, ",""),LEN(IF(B901="","PO Ref, ","")&amp;IF(C901="","Vendor, ","")&amp;IF(D901="","Store, ","")&amp;IF(F901="","Product Type, ","")&amp;IF(G901="","Category, ","")&amp;IF(H901="","HSN Code, ","")&amp;IF(Q901="","Qty, ","")&amp;IF(R901="","Purchase Rate, ","")&amp;IF(S901="","MRP, ",""))-2),IF(COUNTIF(Vendors!$B$3:$B$202,C901)=0,"Add vendor "&amp;C901&amp;" on the Vendors sheet",IF(ISNA(MATCH(H901,Codes!$A$2:$A$13,0)),"Pick the HSN Code from the list",IF(AND(E901&lt;&gt;"",COUNTIFS($C$3:$C$1002,C901,$E$3:$E$1002,E901,$F$3:$F$1002,"&lt;&gt;"&amp;F901)+COUNTIFS($C$3:$C$1002,C901,$E$3:$E$1002,E901,$G$3:$G$1002,"&lt;&gt;"&amp;G901)&gt;0),"Design "&amp;E901&amp;" has another Product Type or Category on another row",IF(COUNTIFS($F$3:$F$1002,F901,$G$3:$G$1002,G901,$H$3:$H$1002,"&lt;&gt;"&amp;H901)&gt;0,F901&amp;" + "&amp;G901&amp;" has another HSN Code on another row",IF(AND(V901&lt;&gt;"",U901=""),"Received Qty needs the Vendor Invoice No",IF(AND(U901&lt;&gt;"",COUNTIFS(Bills!$B$3:$B$302,U901,Bills!$C$3:$C$302,C901)=0),"Add bill "&amp;U901&amp;" of "&amp;C901&amp;" on the Bills sheet",IF(S901&lt;R901,"MRP is below the Purchase Rate","OK")))))))))</f>
        <v/>
      </c>
      <c r="B901" s="29"/>
      <c r="C901" s="22"/>
      <c r="D901" s="22"/>
      <c r="E901" s="24"/>
      <c r="F901" s="22"/>
      <c r="G901" s="22"/>
      <c r="H901" s="22"/>
      <c r="I901" s="30" t="str">
        <f>IF(H901="","",IFERROR(INDEX(Codes!$B$2:$B$13,MATCH(H901,Codes!$A$2:$A$13,0)),""))</f>
        <v/>
      </c>
      <c r="J901" s="23"/>
      <c r="K901" s="23"/>
      <c r="L901" s="23"/>
      <c r="M901" s="23"/>
      <c r="N901" s="23"/>
      <c r="O901" s="23"/>
      <c r="P901" s="23"/>
      <c r="Q901" s="31"/>
      <c r="R901" s="32"/>
      <c r="S901" s="32"/>
      <c r="T901" s="33" t="str">
        <f t="shared" si="28"/>
        <v/>
      </c>
      <c r="U901" s="34"/>
      <c r="V901" s="35"/>
      <c r="W901" s="33" t="str">
        <f t="shared" si="29"/>
        <v/>
      </c>
    </row>
    <row r="902" spans="1:23" x14ac:dyDescent="0.35">
      <c r="A902" s="21" t="str">
        <f>IF(COUNTA(B902:H902,J902:S902,U902:V902)=0,"",IF((IF(B902="","PO Ref, ","")&amp;IF(C902="","Vendor, ","")&amp;IF(D902="","Store, ","")&amp;IF(F902="","Product Type, ","")&amp;IF(G902="","Category, ","")&amp;IF(H902="","HSN Code, ","")&amp;IF(Q902="","Qty, ","")&amp;IF(R902="","Purchase Rate, ","")&amp;IF(S902="","MRP, ",""))&lt;&gt;"","Missing: "&amp;LEFT(IF(B902="","PO Ref, ","")&amp;IF(C902="","Vendor, ","")&amp;IF(D902="","Store, ","")&amp;IF(F902="","Product Type, ","")&amp;IF(G902="","Category, ","")&amp;IF(H902="","HSN Code, ","")&amp;IF(Q902="","Qty, ","")&amp;IF(R902="","Purchase Rate, ","")&amp;IF(S902="","MRP, ",""),LEN(IF(B902="","PO Ref, ","")&amp;IF(C902="","Vendor, ","")&amp;IF(D902="","Store, ","")&amp;IF(F902="","Product Type, ","")&amp;IF(G902="","Category, ","")&amp;IF(H902="","HSN Code, ","")&amp;IF(Q902="","Qty, ","")&amp;IF(R902="","Purchase Rate, ","")&amp;IF(S902="","MRP, ",""))-2),IF(COUNTIF(Vendors!$B$3:$B$202,C902)=0,"Add vendor "&amp;C902&amp;" on the Vendors sheet",IF(ISNA(MATCH(H902,Codes!$A$2:$A$13,0)),"Pick the HSN Code from the list",IF(AND(E902&lt;&gt;"",COUNTIFS($C$3:$C$1002,C902,$E$3:$E$1002,E902,$F$3:$F$1002,"&lt;&gt;"&amp;F902)+COUNTIFS($C$3:$C$1002,C902,$E$3:$E$1002,E902,$G$3:$G$1002,"&lt;&gt;"&amp;G902)&gt;0),"Design "&amp;E902&amp;" has another Product Type or Category on another row",IF(COUNTIFS($F$3:$F$1002,F902,$G$3:$G$1002,G902,$H$3:$H$1002,"&lt;&gt;"&amp;H902)&gt;0,F902&amp;" + "&amp;G902&amp;" has another HSN Code on another row",IF(AND(V902&lt;&gt;"",U902=""),"Received Qty needs the Vendor Invoice No",IF(AND(U902&lt;&gt;"",COUNTIFS(Bills!$B$3:$B$302,U902,Bills!$C$3:$C$302,C902)=0),"Add bill "&amp;U902&amp;" of "&amp;C902&amp;" on the Bills sheet",IF(S902&lt;R902,"MRP is below the Purchase Rate","OK")))))))))</f>
        <v/>
      </c>
      <c r="B902" s="29"/>
      <c r="C902" s="22"/>
      <c r="D902" s="22"/>
      <c r="E902" s="24"/>
      <c r="F902" s="22"/>
      <c r="G902" s="22"/>
      <c r="H902" s="22"/>
      <c r="I902" s="30" t="str">
        <f>IF(H902="","",IFERROR(INDEX(Codes!$B$2:$B$13,MATCH(H902,Codes!$A$2:$A$13,0)),""))</f>
        <v/>
      </c>
      <c r="J902" s="23"/>
      <c r="K902" s="23"/>
      <c r="L902" s="23"/>
      <c r="M902" s="23"/>
      <c r="N902" s="23"/>
      <c r="O902" s="23"/>
      <c r="P902" s="23"/>
      <c r="Q902" s="31"/>
      <c r="R902" s="32"/>
      <c r="S902" s="32"/>
      <c r="T902" s="33" t="str">
        <f t="shared" si="28"/>
        <v/>
      </c>
      <c r="U902" s="34"/>
      <c r="V902" s="35"/>
      <c r="W902" s="33" t="str">
        <f t="shared" si="29"/>
        <v/>
      </c>
    </row>
    <row r="903" spans="1:23" x14ac:dyDescent="0.35">
      <c r="A903" s="21" t="str">
        <f>IF(COUNTA(B903:H903,J903:S903,U903:V903)=0,"",IF((IF(B903="","PO Ref, ","")&amp;IF(C903="","Vendor, ","")&amp;IF(D903="","Store, ","")&amp;IF(F903="","Product Type, ","")&amp;IF(G903="","Category, ","")&amp;IF(H903="","HSN Code, ","")&amp;IF(Q903="","Qty, ","")&amp;IF(R903="","Purchase Rate, ","")&amp;IF(S903="","MRP, ",""))&lt;&gt;"","Missing: "&amp;LEFT(IF(B903="","PO Ref, ","")&amp;IF(C903="","Vendor, ","")&amp;IF(D903="","Store, ","")&amp;IF(F903="","Product Type, ","")&amp;IF(G903="","Category, ","")&amp;IF(H903="","HSN Code, ","")&amp;IF(Q903="","Qty, ","")&amp;IF(R903="","Purchase Rate, ","")&amp;IF(S903="","MRP, ",""),LEN(IF(B903="","PO Ref, ","")&amp;IF(C903="","Vendor, ","")&amp;IF(D903="","Store, ","")&amp;IF(F903="","Product Type, ","")&amp;IF(G903="","Category, ","")&amp;IF(H903="","HSN Code, ","")&amp;IF(Q903="","Qty, ","")&amp;IF(R903="","Purchase Rate, ","")&amp;IF(S903="","MRP, ",""))-2),IF(COUNTIF(Vendors!$B$3:$B$202,C903)=0,"Add vendor "&amp;C903&amp;" on the Vendors sheet",IF(ISNA(MATCH(H903,Codes!$A$2:$A$13,0)),"Pick the HSN Code from the list",IF(AND(E903&lt;&gt;"",COUNTIFS($C$3:$C$1002,C903,$E$3:$E$1002,E903,$F$3:$F$1002,"&lt;&gt;"&amp;F903)+COUNTIFS($C$3:$C$1002,C903,$E$3:$E$1002,E903,$G$3:$G$1002,"&lt;&gt;"&amp;G903)&gt;0),"Design "&amp;E903&amp;" has another Product Type or Category on another row",IF(COUNTIFS($F$3:$F$1002,F903,$G$3:$G$1002,G903,$H$3:$H$1002,"&lt;&gt;"&amp;H903)&gt;0,F903&amp;" + "&amp;G903&amp;" has another HSN Code on another row",IF(AND(V903&lt;&gt;"",U903=""),"Received Qty needs the Vendor Invoice No",IF(AND(U903&lt;&gt;"",COUNTIFS(Bills!$B$3:$B$302,U903,Bills!$C$3:$C$302,C903)=0),"Add bill "&amp;U903&amp;" of "&amp;C903&amp;" on the Bills sheet",IF(S903&lt;R903,"MRP is below the Purchase Rate","OK")))))))))</f>
        <v/>
      </c>
      <c r="B903" s="29"/>
      <c r="C903" s="22"/>
      <c r="D903" s="22"/>
      <c r="E903" s="24"/>
      <c r="F903" s="22"/>
      <c r="G903" s="22"/>
      <c r="H903" s="22"/>
      <c r="I903" s="30" t="str">
        <f>IF(H903="","",IFERROR(INDEX(Codes!$B$2:$B$13,MATCH(H903,Codes!$A$2:$A$13,0)),""))</f>
        <v/>
      </c>
      <c r="J903" s="23"/>
      <c r="K903" s="23"/>
      <c r="L903" s="23"/>
      <c r="M903" s="23"/>
      <c r="N903" s="23"/>
      <c r="O903" s="23"/>
      <c r="P903" s="23"/>
      <c r="Q903" s="31"/>
      <c r="R903" s="32"/>
      <c r="S903" s="32"/>
      <c r="T903" s="33" t="str">
        <f t="shared" si="28"/>
        <v/>
      </c>
      <c r="U903" s="34"/>
      <c r="V903" s="35"/>
      <c r="W903" s="33" t="str">
        <f t="shared" si="29"/>
        <v/>
      </c>
    </row>
    <row r="904" spans="1:23" x14ac:dyDescent="0.35">
      <c r="A904" s="21" t="str">
        <f>IF(COUNTA(B904:H904,J904:S904,U904:V904)=0,"",IF((IF(B904="","PO Ref, ","")&amp;IF(C904="","Vendor, ","")&amp;IF(D904="","Store, ","")&amp;IF(F904="","Product Type, ","")&amp;IF(G904="","Category, ","")&amp;IF(H904="","HSN Code, ","")&amp;IF(Q904="","Qty, ","")&amp;IF(R904="","Purchase Rate, ","")&amp;IF(S904="","MRP, ",""))&lt;&gt;"","Missing: "&amp;LEFT(IF(B904="","PO Ref, ","")&amp;IF(C904="","Vendor, ","")&amp;IF(D904="","Store, ","")&amp;IF(F904="","Product Type, ","")&amp;IF(G904="","Category, ","")&amp;IF(H904="","HSN Code, ","")&amp;IF(Q904="","Qty, ","")&amp;IF(R904="","Purchase Rate, ","")&amp;IF(S904="","MRP, ",""),LEN(IF(B904="","PO Ref, ","")&amp;IF(C904="","Vendor, ","")&amp;IF(D904="","Store, ","")&amp;IF(F904="","Product Type, ","")&amp;IF(G904="","Category, ","")&amp;IF(H904="","HSN Code, ","")&amp;IF(Q904="","Qty, ","")&amp;IF(R904="","Purchase Rate, ","")&amp;IF(S904="","MRP, ",""))-2),IF(COUNTIF(Vendors!$B$3:$B$202,C904)=0,"Add vendor "&amp;C904&amp;" on the Vendors sheet",IF(ISNA(MATCH(H904,Codes!$A$2:$A$13,0)),"Pick the HSN Code from the list",IF(AND(E904&lt;&gt;"",COUNTIFS($C$3:$C$1002,C904,$E$3:$E$1002,E904,$F$3:$F$1002,"&lt;&gt;"&amp;F904)+COUNTIFS($C$3:$C$1002,C904,$E$3:$E$1002,E904,$G$3:$G$1002,"&lt;&gt;"&amp;G904)&gt;0),"Design "&amp;E904&amp;" has another Product Type or Category on another row",IF(COUNTIFS($F$3:$F$1002,F904,$G$3:$G$1002,G904,$H$3:$H$1002,"&lt;&gt;"&amp;H904)&gt;0,F904&amp;" + "&amp;G904&amp;" has another HSN Code on another row",IF(AND(V904&lt;&gt;"",U904=""),"Received Qty needs the Vendor Invoice No",IF(AND(U904&lt;&gt;"",COUNTIFS(Bills!$B$3:$B$302,U904,Bills!$C$3:$C$302,C904)=0),"Add bill "&amp;U904&amp;" of "&amp;C904&amp;" on the Bills sheet",IF(S904&lt;R904,"MRP is below the Purchase Rate","OK")))))))))</f>
        <v/>
      </c>
      <c r="B904" s="29"/>
      <c r="C904" s="22"/>
      <c r="D904" s="22"/>
      <c r="E904" s="24"/>
      <c r="F904" s="22"/>
      <c r="G904" s="22"/>
      <c r="H904" s="22"/>
      <c r="I904" s="30" t="str">
        <f>IF(H904="","",IFERROR(INDEX(Codes!$B$2:$B$13,MATCH(H904,Codes!$A$2:$A$13,0)),""))</f>
        <v/>
      </c>
      <c r="J904" s="23"/>
      <c r="K904" s="23"/>
      <c r="L904" s="23"/>
      <c r="M904" s="23"/>
      <c r="N904" s="23"/>
      <c r="O904" s="23"/>
      <c r="P904" s="23"/>
      <c r="Q904" s="31"/>
      <c r="R904" s="32"/>
      <c r="S904" s="32"/>
      <c r="T904" s="33" t="str">
        <f t="shared" si="28"/>
        <v/>
      </c>
      <c r="U904" s="34"/>
      <c r="V904" s="35"/>
      <c r="W904" s="33" t="str">
        <f t="shared" si="29"/>
        <v/>
      </c>
    </row>
    <row r="905" spans="1:23" x14ac:dyDescent="0.35">
      <c r="A905" s="21" t="str">
        <f>IF(COUNTA(B905:H905,J905:S905,U905:V905)=0,"",IF((IF(B905="","PO Ref, ","")&amp;IF(C905="","Vendor, ","")&amp;IF(D905="","Store, ","")&amp;IF(F905="","Product Type, ","")&amp;IF(G905="","Category, ","")&amp;IF(H905="","HSN Code, ","")&amp;IF(Q905="","Qty, ","")&amp;IF(R905="","Purchase Rate, ","")&amp;IF(S905="","MRP, ",""))&lt;&gt;"","Missing: "&amp;LEFT(IF(B905="","PO Ref, ","")&amp;IF(C905="","Vendor, ","")&amp;IF(D905="","Store, ","")&amp;IF(F905="","Product Type, ","")&amp;IF(G905="","Category, ","")&amp;IF(H905="","HSN Code, ","")&amp;IF(Q905="","Qty, ","")&amp;IF(R905="","Purchase Rate, ","")&amp;IF(S905="","MRP, ",""),LEN(IF(B905="","PO Ref, ","")&amp;IF(C905="","Vendor, ","")&amp;IF(D905="","Store, ","")&amp;IF(F905="","Product Type, ","")&amp;IF(G905="","Category, ","")&amp;IF(H905="","HSN Code, ","")&amp;IF(Q905="","Qty, ","")&amp;IF(R905="","Purchase Rate, ","")&amp;IF(S905="","MRP, ",""))-2),IF(COUNTIF(Vendors!$B$3:$B$202,C905)=0,"Add vendor "&amp;C905&amp;" on the Vendors sheet",IF(ISNA(MATCH(H905,Codes!$A$2:$A$13,0)),"Pick the HSN Code from the list",IF(AND(E905&lt;&gt;"",COUNTIFS($C$3:$C$1002,C905,$E$3:$E$1002,E905,$F$3:$F$1002,"&lt;&gt;"&amp;F905)+COUNTIFS($C$3:$C$1002,C905,$E$3:$E$1002,E905,$G$3:$G$1002,"&lt;&gt;"&amp;G905)&gt;0),"Design "&amp;E905&amp;" has another Product Type or Category on another row",IF(COUNTIFS($F$3:$F$1002,F905,$G$3:$G$1002,G905,$H$3:$H$1002,"&lt;&gt;"&amp;H905)&gt;0,F905&amp;" + "&amp;G905&amp;" has another HSN Code on another row",IF(AND(V905&lt;&gt;"",U905=""),"Received Qty needs the Vendor Invoice No",IF(AND(U905&lt;&gt;"",COUNTIFS(Bills!$B$3:$B$302,U905,Bills!$C$3:$C$302,C905)=0),"Add bill "&amp;U905&amp;" of "&amp;C905&amp;" on the Bills sheet",IF(S905&lt;R905,"MRP is below the Purchase Rate","OK")))))))))</f>
        <v/>
      </c>
      <c r="B905" s="29"/>
      <c r="C905" s="22"/>
      <c r="D905" s="22"/>
      <c r="E905" s="24"/>
      <c r="F905" s="22"/>
      <c r="G905" s="22"/>
      <c r="H905" s="22"/>
      <c r="I905" s="30" t="str">
        <f>IF(H905="","",IFERROR(INDEX(Codes!$B$2:$B$13,MATCH(H905,Codes!$A$2:$A$13,0)),""))</f>
        <v/>
      </c>
      <c r="J905" s="23"/>
      <c r="K905" s="23"/>
      <c r="L905" s="23"/>
      <c r="M905" s="23"/>
      <c r="N905" s="23"/>
      <c r="O905" s="23"/>
      <c r="P905" s="23"/>
      <c r="Q905" s="31"/>
      <c r="R905" s="32"/>
      <c r="S905" s="32"/>
      <c r="T905" s="33" t="str">
        <f t="shared" si="28"/>
        <v/>
      </c>
      <c r="U905" s="34"/>
      <c r="V905" s="35"/>
      <c r="W905" s="33" t="str">
        <f t="shared" si="29"/>
        <v/>
      </c>
    </row>
    <row r="906" spans="1:23" x14ac:dyDescent="0.35">
      <c r="A906" s="21" t="str">
        <f>IF(COUNTA(B906:H906,J906:S906,U906:V906)=0,"",IF((IF(B906="","PO Ref, ","")&amp;IF(C906="","Vendor, ","")&amp;IF(D906="","Store, ","")&amp;IF(F906="","Product Type, ","")&amp;IF(G906="","Category, ","")&amp;IF(H906="","HSN Code, ","")&amp;IF(Q906="","Qty, ","")&amp;IF(R906="","Purchase Rate, ","")&amp;IF(S906="","MRP, ",""))&lt;&gt;"","Missing: "&amp;LEFT(IF(B906="","PO Ref, ","")&amp;IF(C906="","Vendor, ","")&amp;IF(D906="","Store, ","")&amp;IF(F906="","Product Type, ","")&amp;IF(G906="","Category, ","")&amp;IF(H906="","HSN Code, ","")&amp;IF(Q906="","Qty, ","")&amp;IF(R906="","Purchase Rate, ","")&amp;IF(S906="","MRP, ",""),LEN(IF(B906="","PO Ref, ","")&amp;IF(C906="","Vendor, ","")&amp;IF(D906="","Store, ","")&amp;IF(F906="","Product Type, ","")&amp;IF(G906="","Category, ","")&amp;IF(H906="","HSN Code, ","")&amp;IF(Q906="","Qty, ","")&amp;IF(R906="","Purchase Rate, ","")&amp;IF(S906="","MRP, ",""))-2),IF(COUNTIF(Vendors!$B$3:$B$202,C906)=0,"Add vendor "&amp;C906&amp;" on the Vendors sheet",IF(ISNA(MATCH(H906,Codes!$A$2:$A$13,0)),"Pick the HSN Code from the list",IF(AND(E906&lt;&gt;"",COUNTIFS($C$3:$C$1002,C906,$E$3:$E$1002,E906,$F$3:$F$1002,"&lt;&gt;"&amp;F906)+COUNTIFS($C$3:$C$1002,C906,$E$3:$E$1002,E906,$G$3:$G$1002,"&lt;&gt;"&amp;G906)&gt;0),"Design "&amp;E906&amp;" has another Product Type or Category on another row",IF(COUNTIFS($F$3:$F$1002,F906,$G$3:$G$1002,G906,$H$3:$H$1002,"&lt;&gt;"&amp;H906)&gt;0,F906&amp;" + "&amp;G906&amp;" has another HSN Code on another row",IF(AND(V906&lt;&gt;"",U906=""),"Received Qty needs the Vendor Invoice No",IF(AND(U906&lt;&gt;"",COUNTIFS(Bills!$B$3:$B$302,U906,Bills!$C$3:$C$302,C906)=0),"Add bill "&amp;U906&amp;" of "&amp;C906&amp;" on the Bills sheet",IF(S906&lt;R906,"MRP is below the Purchase Rate","OK")))))))))</f>
        <v/>
      </c>
      <c r="B906" s="29"/>
      <c r="C906" s="22"/>
      <c r="D906" s="22"/>
      <c r="E906" s="24"/>
      <c r="F906" s="22"/>
      <c r="G906" s="22"/>
      <c r="H906" s="22"/>
      <c r="I906" s="30" t="str">
        <f>IF(H906="","",IFERROR(INDEX(Codes!$B$2:$B$13,MATCH(H906,Codes!$A$2:$A$13,0)),""))</f>
        <v/>
      </c>
      <c r="J906" s="23"/>
      <c r="K906" s="23"/>
      <c r="L906" s="23"/>
      <c r="M906" s="23"/>
      <c r="N906" s="23"/>
      <c r="O906" s="23"/>
      <c r="P906" s="23"/>
      <c r="Q906" s="31"/>
      <c r="R906" s="32"/>
      <c r="S906" s="32"/>
      <c r="T906" s="33" t="str">
        <f t="shared" si="28"/>
        <v/>
      </c>
      <c r="U906" s="34"/>
      <c r="V906" s="35"/>
      <c r="W906" s="33" t="str">
        <f t="shared" si="29"/>
        <v/>
      </c>
    </row>
    <row r="907" spans="1:23" x14ac:dyDescent="0.35">
      <c r="A907" s="21" t="str">
        <f>IF(COUNTA(B907:H907,J907:S907,U907:V907)=0,"",IF((IF(B907="","PO Ref, ","")&amp;IF(C907="","Vendor, ","")&amp;IF(D907="","Store, ","")&amp;IF(F907="","Product Type, ","")&amp;IF(G907="","Category, ","")&amp;IF(H907="","HSN Code, ","")&amp;IF(Q907="","Qty, ","")&amp;IF(R907="","Purchase Rate, ","")&amp;IF(S907="","MRP, ",""))&lt;&gt;"","Missing: "&amp;LEFT(IF(B907="","PO Ref, ","")&amp;IF(C907="","Vendor, ","")&amp;IF(D907="","Store, ","")&amp;IF(F907="","Product Type, ","")&amp;IF(G907="","Category, ","")&amp;IF(H907="","HSN Code, ","")&amp;IF(Q907="","Qty, ","")&amp;IF(R907="","Purchase Rate, ","")&amp;IF(S907="","MRP, ",""),LEN(IF(B907="","PO Ref, ","")&amp;IF(C907="","Vendor, ","")&amp;IF(D907="","Store, ","")&amp;IF(F907="","Product Type, ","")&amp;IF(G907="","Category, ","")&amp;IF(H907="","HSN Code, ","")&amp;IF(Q907="","Qty, ","")&amp;IF(R907="","Purchase Rate, ","")&amp;IF(S907="","MRP, ",""))-2),IF(COUNTIF(Vendors!$B$3:$B$202,C907)=0,"Add vendor "&amp;C907&amp;" on the Vendors sheet",IF(ISNA(MATCH(H907,Codes!$A$2:$A$13,0)),"Pick the HSN Code from the list",IF(AND(E907&lt;&gt;"",COUNTIFS($C$3:$C$1002,C907,$E$3:$E$1002,E907,$F$3:$F$1002,"&lt;&gt;"&amp;F907)+COUNTIFS($C$3:$C$1002,C907,$E$3:$E$1002,E907,$G$3:$G$1002,"&lt;&gt;"&amp;G907)&gt;0),"Design "&amp;E907&amp;" has another Product Type or Category on another row",IF(COUNTIFS($F$3:$F$1002,F907,$G$3:$G$1002,G907,$H$3:$H$1002,"&lt;&gt;"&amp;H907)&gt;0,F907&amp;" + "&amp;G907&amp;" has another HSN Code on another row",IF(AND(V907&lt;&gt;"",U907=""),"Received Qty needs the Vendor Invoice No",IF(AND(U907&lt;&gt;"",COUNTIFS(Bills!$B$3:$B$302,U907,Bills!$C$3:$C$302,C907)=0),"Add bill "&amp;U907&amp;" of "&amp;C907&amp;" on the Bills sheet",IF(S907&lt;R907,"MRP is below the Purchase Rate","OK")))))))))</f>
        <v/>
      </c>
      <c r="B907" s="29"/>
      <c r="C907" s="22"/>
      <c r="D907" s="22"/>
      <c r="E907" s="24"/>
      <c r="F907" s="22"/>
      <c r="G907" s="22"/>
      <c r="H907" s="22"/>
      <c r="I907" s="30" t="str">
        <f>IF(H907="","",IFERROR(INDEX(Codes!$B$2:$B$13,MATCH(H907,Codes!$A$2:$A$13,0)),""))</f>
        <v/>
      </c>
      <c r="J907" s="23"/>
      <c r="K907" s="23"/>
      <c r="L907" s="23"/>
      <c r="M907" s="23"/>
      <c r="N907" s="23"/>
      <c r="O907" s="23"/>
      <c r="P907" s="23"/>
      <c r="Q907" s="31"/>
      <c r="R907" s="32"/>
      <c r="S907" s="32"/>
      <c r="T907" s="33" t="str">
        <f t="shared" si="28"/>
        <v/>
      </c>
      <c r="U907" s="34"/>
      <c r="V907" s="35"/>
      <c r="W907" s="33" t="str">
        <f t="shared" si="29"/>
        <v/>
      </c>
    </row>
    <row r="908" spans="1:23" x14ac:dyDescent="0.35">
      <c r="A908" s="21" t="str">
        <f>IF(COUNTA(B908:H908,J908:S908,U908:V908)=0,"",IF((IF(B908="","PO Ref, ","")&amp;IF(C908="","Vendor, ","")&amp;IF(D908="","Store, ","")&amp;IF(F908="","Product Type, ","")&amp;IF(G908="","Category, ","")&amp;IF(H908="","HSN Code, ","")&amp;IF(Q908="","Qty, ","")&amp;IF(R908="","Purchase Rate, ","")&amp;IF(S908="","MRP, ",""))&lt;&gt;"","Missing: "&amp;LEFT(IF(B908="","PO Ref, ","")&amp;IF(C908="","Vendor, ","")&amp;IF(D908="","Store, ","")&amp;IF(F908="","Product Type, ","")&amp;IF(G908="","Category, ","")&amp;IF(H908="","HSN Code, ","")&amp;IF(Q908="","Qty, ","")&amp;IF(R908="","Purchase Rate, ","")&amp;IF(S908="","MRP, ",""),LEN(IF(B908="","PO Ref, ","")&amp;IF(C908="","Vendor, ","")&amp;IF(D908="","Store, ","")&amp;IF(F908="","Product Type, ","")&amp;IF(G908="","Category, ","")&amp;IF(H908="","HSN Code, ","")&amp;IF(Q908="","Qty, ","")&amp;IF(R908="","Purchase Rate, ","")&amp;IF(S908="","MRP, ",""))-2),IF(COUNTIF(Vendors!$B$3:$B$202,C908)=0,"Add vendor "&amp;C908&amp;" on the Vendors sheet",IF(ISNA(MATCH(H908,Codes!$A$2:$A$13,0)),"Pick the HSN Code from the list",IF(AND(E908&lt;&gt;"",COUNTIFS($C$3:$C$1002,C908,$E$3:$E$1002,E908,$F$3:$F$1002,"&lt;&gt;"&amp;F908)+COUNTIFS($C$3:$C$1002,C908,$E$3:$E$1002,E908,$G$3:$G$1002,"&lt;&gt;"&amp;G908)&gt;0),"Design "&amp;E908&amp;" has another Product Type or Category on another row",IF(COUNTIFS($F$3:$F$1002,F908,$G$3:$G$1002,G908,$H$3:$H$1002,"&lt;&gt;"&amp;H908)&gt;0,F908&amp;" + "&amp;G908&amp;" has another HSN Code on another row",IF(AND(V908&lt;&gt;"",U908=""),"Received Qty needs the Vendor Invoice No",IF(AND(U908&lt;&gt;"",COUNTIFS(Bills!$B$3:$B$302,U908,Bills!$C$3:$C$302,C908)=0),"Add bill "&amp;U908&amp;" of "&amp;C908&amp;" on the Bills sheet",IF(S908&lt;R908,"MRP is below the Purchase Rate","OK")))))))))</f>
        <v/>
      </c>
      <c r="B908" s="29"/>
      <c r="C908" s="22"/>
      <c r="D908" s="22"/>
      <c r="E908" s="24"/>
      <c r="F908" s="22"/>
      <c r="G908" s="22"/>
      <c r="H908" s="22"/>
      <c r="I908" s="30" t="str">
        <f>IF(H908="","",IFERROR(INDEX(Codes!$B$2:$B$13,MATCH(H908,Codes!$A$2:$A$13,0)),""))</f>
        <v/>
      </c>
      <c r="J908" s="23"/>
      <c r="K908" s="23"/>
      <c r="L908" s="23"/>
      <c r="M908" s="23"/>
      <c r="N908" s="23"/>
      <c r="O908" s="23"/>
      <c r="P908" s="23"/>
      <c r="Q908" s="31"/>
      <c r="R908" s="32"/>
      <c r="S908" s="32"/>
      <c r="T908" s="33" t="str">
        <f t="shared" si="28"/>
        <v/>
      </c>
      <c r="U908" s="34"/>
      <c r="V908" s="35"/>
      <c r="W908" s="33" t="str">
        <f t="shared" si="29"/>
        <v/>
      </c>
    </row>
    <row r="909" spans="1:23" x14ac:dyDescent="0.35">
      <c r="A909" s="21" t="str">
        <f>IF(COUNTA(B909:H909,J909:S909,U909:V909)=0,"",IF((IF(B909="","PO Ref, ","")&amp;IF(C909="","Vendor, ","")&amp;IF(D909="","Store, ","")&amp;IF(F909="","Product Type, ","")&amp;IF(G909="","Category, ","")&amp;IF(H909="","HSN Code, ","")&amp;IF(Q909="","Qty, ","")&amp;IF(R909="","Purchase Rate, ","")&amp;IF(S909="","MRP, ",""))&lt;&gt;"","Missing: "&amp;LEFT(IF(B909="","PO Ref, ","")&amp;IF(C909="","Vendor, ","")&amp;IF(D909="","Store, ","")&amp;IF(F909="","Product Type, ","")&amp;IF(G909="","Category, ","")&amp;IF(H909="","HSN Code, ","")&amp;IF(Q909="","Qty, ","")&amp;IF(R909="","Purchase Rate, ","")&amp;IF(S909="","MRP, ",""),LEN(IF(B909="","PO Ref, ","")&amp;IF(C909="","Vendor, ","")&amp;IF(D909="","Store, ","")&amp;IF(F909="","Product Type, ","")&amp;IF(G909="","Category, ","")&amp;IF(H909="","HSN Code, ","")&amp;IF(Q909="","Qty, ","")&amp;IF(R909="","Purchase Rate, ","")&amp;IF(S909="","MRP, ",""))-2),IF(COUNTIF(Vendors!$B$3:$B$202,C909)=0,"Add vendor "&amp;C909&amp;" on the Vendors sheet",IF(ISNA(MATCH(H909,Codes!$A$2:$A$13,0)),"Pick the HSN Code from the list",IF(AND(E909&lt;&gt;"",COUNTIFS($C$3:$C$1002,C909,$E$3:$E$1002,E909,$F$3:$F$1002,"&lt;&gt;"&amp;F909)+COUNTIFS($C$3:$C$1002,C909,$E$3:$E$1002,E909,$G$3:$G$1002,"&lt;&gt;"&amp;G909)&gt;0),"Design "&amp;E909&amp;" has another Product Type or Category on another row",IF(COUNTIFS($F$3:$F$1002,F909,$G$3:$G$1002,G909,$H$3:$H$1002,"&lt;&gt;"&amp;H909)&gt;0,F909&amp;" + "&amp;G909&amp;" has another HSN Code on another row",IF(AND(V909&lt;&gt;"",U909=""),"Received Qty needs the Vendor Invoice No",IF(AND(U909&lt;&gt;"",COUNTIFS(Bills!$B$3:$B$302,U909,Bills!$C$3:$C$302,C909)=0),"Add bill "&amp;U909&amp;" of "&amp;C909&amp;" on the Bills sheet",IF(S909&lt;R909,"MRP is below the Purchase Rate","OK")))))))))</f>
        <v/>
      </c>
      <c r="B909" s="29"/>
      <c r="C909" s="22"/>
      <c r="D909" s="22"/>
      <c r="E909" s="24"/>
      <c r="F909" s="22"/>
      <c r="G909" s="22"/>
      <c r="H909" s="22"/>
      <c r="I909" s="30" t="str">
        <f>IF(H909="","",IFERROR(INDEX(Codes!$B$2:$B$13,MATCH(H909,Codes!$A$2:$A$13,0)),""))</f>
        <v/>
      </c>
      <c r="J909" s="23"/>
      <c r="K909" s="23"/>
      <c r="L909" s="23"/>
      <c r="M909" s="23"/>
      <c r="N909" s="23"/>
      <c r="O909" s="23"/>
      <c r="P909" s="23"/>
      <c r="Q909" s="31"/>
      <c r="R909" s="32"/>
      <c r="S909" s="32"/>
      <c r="T909" s="33" t="str">
        <f t="shared" si="28"/>
        <v/>
      </c>
      <c r="U909" s="34"/>
      <c r="V909" s="35"/>
      <c r="W909" s="33" t="str">
        <f t="shared" si="29"/>
        <v/>
      </c>
    </row>
    <row r="910" spans="1:23" x14ac:dyDescent="0.35">
      <c r="A910" s="21" t="str">
        <f>IF(COUNTA(B910:H910,J910:S910,U910:V910)=0,"",IF((IF(B910="","PO Ref, ","")&amp;IF(C910="","Vendor, ","")&amp;IF(D910="","Store, ","")&amp;IF(F910="","Product Type, ","")&amp;IF(G910="","Category, ","")&amp;IF(H910="","HSN Code, ","")&amp;IF(Q910="","Qty, ","")&amp;IF(R910="","Purchase Rate, ","")&amp;IF(S910="","MRP, ",""))&lt;&gt;"","Missing: "&amp;LEFT(IF(B910="","PO Ref, ","")&amp;IF(C910="","Vendor, ","")&amp;IF(D910="","Store, ","")&amp;IF(F910="","Product Type, ","")&amp;IF(G910="","Category, ","")&amp;IF(H910="","HSN Code, ","")&amp;IF(Q910="","Qty, ","")&amp;IF(R910="","Purchase Rate, ","")&amp;IF(S910="","MRP, ",""),LEN(IF(B910="","PO Ref, ","")&amp;IF(C910="","Vendor, ","")&amp;IF(D910="","Store, ","")&amp;IF(F910="","Product Type, ","")&amp;IF(G910="","Category, ","")&amp;IF(H910="","HSN Code, ","")&amp;IF(Q910="","Qty, ","")&amp;IF(R910="","Purchase Rate, ","")&amp;IF(S910="","MRP, ",""))-2),IF(COUNTIF(Vendors!$B$3:$B$202,C910)=0,"Add vendor "&amp;C910&amp;" on the Vendors sheet",IF(ISNA(MATCH(H910,Codes!$A$2:$A$13,0)),"Pick the HSN Code from the list",IF(AND(E910&lt;&gt;"",COUNTIFS($C$3:$C$1002,C910,$E$3:$E$1002,E910,$F$3:$F$1002,"&lt;&gt;"&amp;F910)+COUNTIFS($C$3:$C$1002,C910,$E$3:$E$1002,E910,$G$3:$G$1002,"&lt;&gt;"&amp;G910)&gt;0),"Design "&amp;E910&amp;" has another Product Type or Category on another row",IF(COUNTIFS($F$3:$F$1002,F910,$G$3:$G$1002,G910,$H$3:$H$1002,"&lt;&gt;"&amp;H910)&gt;0,F910&amp;" + "&amp;G910&amp;" has another HSN Code on another row",IF(AND(V910&lt;&gt;"",U910=""),"Received Qty needs the Vendor Invoice No",IF(AND(U910&lt;&gt;"",COUNTIFS(Bills!$B$3:$B$302,U910,Bills!$C$3:$C$302,C910)=0),"Add bill "&amp;U910&amp;" of "&amp;C910&amp;" on the Bills sheet",IF(S910&lt;R910,"MRP is below the Purchase Rate","OK")))))))))</f>
        <v/>
      </c>
      <c r="B910" s="29"/>
      <c r="C910" s="22"/>
      <c r="D910" s="22"/>
      <c r="E910" s="24"/>
      <c r="F910" s="22"/>
      <c r="G910" s="22"/>
      <c r="H910" s="22"/>
      <c r="I910" s="30" t="str">
        <f>IF(H910="","",IFERROR(INDEX(Codes!$B$2:$B$13,MATCH(H910,Codes!$A$2:$A$13,0)),""))</f>
        <v/>
      </c>
      <c r="J910" s="23"/>
      <c r="K910" s="23"/>
      <c r="L910" s="23"/>
      <c r="M910" s="23"/>
      <c r="N910" s="23"/>
      <c r="O910" s="23"/>
      <c r="P910" s="23"/>
      <c r="Q910" s="31"/>
      <c r="R910" s="32"/>
      <c r="S910" s="32"/>
      <c r="T910" s="33" t="str">
        <f t="shared" si="28"/>
        <v/>
      </c>
      <c r="U910" s="34"/>
      <c r="V910" s="35"/>
      <c r="W910" s="33" t="str">
        <f t="shared" si="29"/>
        <v/>
      </c>
    </row>
    <row r="911" spans="1:23" x14ac:dyDescent="0.35">
      <c r="A911" s="21" t="str">
        <f>IF(COUNTA(B911:H911,J911:S911,U911:V911)=0,"",IF((IF(B911="","PO Ref, ","")&amp;IF(C911="","Vendor, ","")&amp;IF(D911="","Store, ","")&amp;IF(F911="","Product Type, ","")&amp;IF(G911="","Category, ","")&amp;IF(H911="","HSN Code, ","")&amp;IF(Q911="","Qty, ","")&amp;IF(R911="","Purchase Rate, ","")&amp;IF(S911="","MRP, ",""))&lt;&gt;"","Missing: "&amp;LEFT(IF(B911="","PO Ref, ","")&amp;IF(C911="","Vendor, ","")&amp;IF(D911="","Store, ","")&amp;IF(F911="","Product Type, ","")&amp;IF(G911="","Category, ","")&amp;IF(H911="","HSN Code, ","")&amp;IF(Q911="","Qty, ","")&amp;IF(R911="","Purchase Rate, ","")&amp;IF(S911="","MRP, ",""),LEN(IF(B911="","PO Ref, ","")&amp;IF(C911="","Vendor, ","")&amp;IF(D911="","Store, ","")&amp;IF(F911="","Product Type, ","")&amp;IF(G911="","Category, ","")&amp;IF(H911="","HSN Code, ","")&amp;IF(Q911="","Qty, ","")&amp;IF(R911="","Purchase Rate, ","")&amp;IF(S911="","MRP, ",""))-2),IF(COUNTIF(Vendors!$B$3:$B$202,C911)=0,"Add vendor "&amp;C911&amp;" on the Vendors sheet",IF(ISNA(MATCH(H911,Codes!$A$2:$A$13,0)),"Pick the HSN Code from the list",IF(AND(E911&lt;&gt;"",COUNTIFS($C$3:$C$1002,C911,$E$3:$E$1002,E911,$F$3:$F$1002,"&lt;&gt;"&amp;F911)+COUNTIFS($C$3:$C$1002,C911,$E$3:$E$1002,E911,$G$3:$G$1002,"&lt;&gt;"&amp;G911)&gt;0),"Design "&amp;E911&amp;" has another Product Type or Category on another row",IF(COUNTIFS($F$3:$F$1002,F911,$G$3:$G$1002,G911,$H$3:$H$1002,"&lt;&gt;"&amp;H911)&gt;0,F911&amp;" + "&amp;G911&amp;" has another HSN Code on another row",IF(AND(V911&lt;&gt;"",U911=""),"Received Qty needs the Vendor Invoice No",IF(AND(U911&lt;&gt;"",COUNTIFS(Bills!$B$3:$B$302,U911,Bills!$C$3:$C$302,C911)=0),"Add bill "&amp;U911&amp;" of "&amp;C911&amp;" on the Bills sheet",IF(S911&lt;R911,"MRP is below the Purchase Rate","OK")))))))))</f>
        <v/>
      </c>
      <c r="B911" s="29"/>
      <c r="C911" s="22"/>
      <c r="D911" s="22"/>
      <c r="E911" s="24"/>
      <c r="F911" s="22"/>
      <c r="G911" s="22"/>
      <c r="H911" s="22"/>
      <c r="I911" s="30" t="str">
        <f>IF(H911="","",IFERROR(INDEX(Codes!$B$2:$B$13,MATCH(H911,Codes!$A$2:$A$13,0)),""))</f>
        <v/>
      </c>
      <c r="J911" s="23"/>
      <c r="K911" s="23"/>
      <c r="L911" s="23"/>
      <c r="M911" s="23"/>
      <c r="N911" s="23"/>
      <c r="O911" s="23"/>
      <c r="P911" s="23"/>
      <c r="Q911" s="31"/>
      <c r="R911" s="32"/>
      <c r="S911" s="32"/>
      <c r="T911" s="33" t="str">
        <f t="shared" si="28"/>
        <v/>
      </c>
      <c r="U911" s="34"/>
      <c r="V911" s="35"/>
      <c r="W911" s="33" t="str">
        <f t="shared" si="29"/>
        <v/>
      </c>
    </row>
    <row r="912" spans="1:23" x14ac:dyDescent="0.35">
      <c r="A912" s="21" t="str">
        <f>IF(COUNTA(B912:H912,J912:S912,U912:V912)=0,"",IF((IF(B912="","PO Ref, ","")&amp;IF(C912="","Vendor, ","")&amp;IF(D912="","Store, ","")&amp;IF(F912="","Product Type, ","")&amp;IF(G912="","Category, ","")&amp;IF(H912="","HSN Code, ","")&amp;IF(Q912="","Qty, ","")&amp;IF(R912="","Purchase Rate, ","")&amp;IF(S912="","MRP, ",""))&lt;&gt;"","Missing: "&amp;LEFT(IF(B912="","PO Ref, ","")&amp;IF(C912="","Vendor, ","")&amp;IF(D912="","Store, ","")&amp;IF(F912="","Product Type, ","")&amp;IF(G912="","Category, ","")&amp;IF(H912="","HSN Code, ","")&amp;IF(Q912="","Qty, ","")&amp;IF(R912="","Purchase Rate, ","")&amp;IF(S912="","MRP, ",""),LEN(IF(B912="","PO Ref, ","")&amp;IF(C912="","Vendor, ","")&amp;IF(D912="","Store, ","")&amp;IF(F912="","Product Type, ","")&amp;IF(G912="","Category, ","")&amp;IF(H912="","HSN Code, ","")&amp;IF(Q912="","Qty, ","")&amp;IF(R912="","Purchase Rate, ","")&amp;IF(S912="","MRP, ",""))-2),IF(COUNTIF(Vendors!$B$3:$B$202,C912)=0,"Add vendor "&amp;C912&amp;" on the Vendors sheet",IF(ISNA(MATCH(H912,Codes!$A$2:$A$13,0)),"Pick the HSN Code from the list",IF(AND(E912&lt;&gt;"",COUNTIFS($C$3:$C$1002,C912,$E$3:$E$1002,E912,$F$3:$F$1002,"&lt;&gt;"&amp;F912)+COUNTIFS($C$3:$C$1002,C912,$E$3:$E$1002,E912,$G$3:$G$1002,"&lt;&gt;"&amp;G912)&gt;0),"Design "&amp;E912&amp;" has another Product Type or Category on another row",IF(COUNTIFS($F$3:$F$1002,F912,$G$3:$G$1002,G912,$H$3:$H$1002,"&lt;&gt;"&amp;H912)&gt;0,F912&amp;" + "&amp;G912&amp;" has another HSN Code on another row",IF(AND(V912&lt;&gt;"",U912=""),"Received Qty needs the Vendor Invoice No",IF(AND(U912&lt;&gt;"",COUNTIFS(Bills!$B$3:$B$302,U912,Bills!$C$3:$C$302,C912)=0),"Add bill "&amp;U912&amp;" of "&amp;C912&amp;" on the Bills sheet",IF(S912&lt;R912,"MRP is below the Purchase Rate","OK")))))))))</f>
        <v/>
      </c>
      <c r="B912" s="29"/>
      <c r="C912" s="22"/>
      <c r="D912" s="22"/>
      <c r="E912" s="24"/>
      <c r="F912" s="22"/>
      <c r="G912" s="22"/>
      <c r="H912" s="22"/>
      <c r="I912" s="30" t="str">
        <f>IF(H912="","",IFERROR(INDEX(Codes!$B$2:$B$13,MATCH(H912,Codes!$A$2:$A$13,0)),""))</f>
        <v/>
      </c>
      <c r="J912" s="23"/>
      <c r="K912" s="23"/>
      <c r="L912" s="23"/>
      <c r="M912" s="23"/>
      <c r="N912" s="23"/>
      <c r="O912" s="23"/>
      <c r="P912" s="23"/>
      <c r="Q912" s="31"/>
      <c r="R912" s="32"/>
      <c r="S912" s="32"/>
      <c r="T912" s="33" t="str">
        <f t="shared" si="28"/>
        <v/>
      </c>
      <c r="U912" s="34"/>
      <c r="V912" s="35"/>
      <c r="W912" s="33" t="str">
        <f t="shared" si="29"/>
        <v/>
      </c>
    </row>
    <row r="913" spans="1:23" x14ac:dyDescent="0.35">
      <c r="A913" s="21" t="str">
        <f>IF(COUNTA(B913:H913,J913:S913,U913:V913)=0,"",IF((IF(B913="","PO Ref, ","")&amp;IF(C913="","Vendor, ","")&amp;IF(D913="","Store, ","")&amp;IF(F913="","Product Type, ","")&amp;IF(G913="","Category, ","")&amp;IF(H913="","HSN Code, ","")&amp;IF(Q913="","Qty, ","")&amp;IF(R913="","Purchase Rate, ","")&amp;IF(S913="","MRP, ",""))&lt;&gt;"","Missing: "&amp;LEFT(IF(B913="","PO Ref, ","")&amp;IF(C913="","Vendor, ","")&amp;IF(D913="","Store, ","")&amp;IF(F913="","Product Type, ","")&amp;IF(G913="","Category, ","")&amp;IF(H913="","HSN Code, ","")&amp;IF(Q913="","Qty, ","")&amp;IF(R913="","Purchase Rate, ","")&amp;IF(S913="","MRP, ",""),LEN(IF(B913="","PO Ref, ","")&amp;IF(C913="","Vendor, ","")&amp;IF(D913="","Store, ","")&amp;IF(F913="","Product Type, ","")&amp;IF(G913="","Category, ","")&amp;IF(H913="","HSN Code, ","")&amp;IF(Q913="","Qty, ","")&amp;IF(R913="","Purchase Rate, ","")&amp;IF(S913="","MRP, ",""))-2),IF(COUNTIF(Vendors!$B$3:$B$202,C913)=0,"Add vendor "&amp;C913&amp;" on the Vendors sheet",IF(ISNA(MATCH(H913,Codes!$A$2:$A$13,0)),"Pick the HSN Code from the list",IF(AND(E913&lt;&gt;"",COUNTIFS($C$3:$C$1002,C913,$E$3:$E$1002,E913,$F$3:$F$1002,"&lt;&gt;"&amp;F913)+COUNTIFS($C$3:$C$1002,C913,$E$3:$E$1002,E913,$G$3:$G$1002,"&lt;&gt;"&amp;G913)&gt;0),"Design "&amp;E913&amp;" has another Product Type or Category on another row",IF(COUNTIFS($F$3:$F$1002,F913,$G$3:$G$1002,G913,$H$3:$H$1002,"&lt;&gt;"&amp;H913)&gt;0,F913&amp;" + "&amp;G913&amp;" has another HSN Code on another row",IF(AND(V913&lt;&gt;"",U913=""),"Received Qty needs the Vendor Invoice No",IF(AND(U913&lt;&gt;"",COUNTIFS(Bills!$B$3:$B$302,U913,Bills!$C$3:$C$302,C913)=0),"Add bill "&amp;U913&amp;" of "&amp;C913&amp;" on the Bills sheet",IF(S913&lt;R913,"MRP is below the Purchase Rate","OK")))))))))</f>
        <v/>
      </c>
      <c r="B913" s="29"/>
      <c r="C913" s="22"/>
      <c r="D913" s="22"/>
      <c r="E913" s="24"/>
      <c r="F913" s="22"/>
      <c r="G913" s="22"/>
      <c r="H913" s="22"/>
      <c r="I913" s="30" t="str">
        <f>IF(H913="","",IFERROR(INDEX(Codes!$B$2:$B$13,MATCH(H913,Codes!$A$2:$A$13,0)),""))</f>
        <v/>
      </c>
      <c r="J913" s="23"/>
      <c r="K913" s="23"/>
      <c r="L913" s="23"/>
      <c r="M913" s="23"/>
      <c r="N913" s="23"/>
      <c r="O913" s="23"/>
      <c r="P913" s="23"/>
      <c r="Q913" s="31"/>
      <c r="R913" s="32"/>
      <c r="S913" s="32"/>
      <c r="T913" s="33" t="str">
        <f t="shared" si="28"/>
        <v/>
      </c>
      <c r="U913" s="34"/>
      <c r="V913" s="35"/>
      <c r="W913" s="33" t="str">
        <f t="shared" si="29"/>
        <v/>
      </c>
    </row>
    <row r="914" spans="1:23" x14ac:dyDescent="0.35">
      <c r="A914" s="21" t="str">
        <f>IF(COUNTA(B914:H914,J914:S914,U914:V914)=0,"",IF((IF(B914="","PO Ref, ","")&amp;IF(C914="","Vendor, ","")&amp;IF(D914="","Store, ","")&amp;IF(F914="","Product Type, ","")&amp;IF(G914="","Category, ","")&amp;IF(H914="","HSN Code, ","")&amp;IF(Q914="","Qty, ","")&amp;IF(R914="","Purchase Rate, ","")&amp;IF(S914="","MRP, ",""))&lt;&gt;"","Missing: "&amp;LEFT(IF(B914="","PO Ref, ","")&amp;IF(C914="","Vendor, ","")&amp;IF(D914="","Store, ","")&amp;IF(F914="","Product Type, ","")&amp;IF(G914="","Category, ","")&amp;IF(H914="","HSN Code, ","")&amp;IF(Q914="","Qty, ","")&amp;IF(R914="","Purchase Rate, ","")&amp;IF(S914="","MRP, ",""),LEN(IF(B914="","PO Ref, ","")&amp;IF(C914="","Vendor, ","")&amp;IF(D914="","Store, ","")&amp;IF(F914="","Product Type, ","")&amp;IF(G914="","Category, ","")&amp;IF(H914="","HSN Code, ","")&amp;IF(Q914="","Qty, ","")&amp;IF(R914="","Purchase Rate, ","")&amp;IF(S914="","MRP, ",""))-2),IF(COUNTIF(Vendors!$B$3:$B$202,C914)=0,"Add vendor "&amp;C914&amp;" on the Vendors sheet",IF(ISNA(MATCH(H914,Codes!$A$2:$A$13,0)),"Pick the HSN Code from the list",IF(AND(E914&lt;&gt;"",COUNTIFS($C$3:$C$1002,C914,$E$3:$E$1002,E914,$F$3:$F$1002,"&lt;&gt;"&amp;F914)+COUNTIFS($C$3:$C$1002,C914,$E$3:$E$1002,E914,$G$3:$G$1002,"&lt;&gt;"&amp;G914)&gt;0),"Design "&amp;E914&amp;" has another Product Type or Category on another row",IF(COUNTIFS($F$3:$F$1002,F914,$G$3:$G$1002,G914,$H$3:$H$1002,"&lt;&gt;"&amp;H914)&gt;0,F914&amp;" + "&amp;G914&amp;" has another HSN Code on another row",IF(AND(V914&lt;&gt;"",U914=""),"Received Qty needs the Vendor Invoice No",IF(AND(U914&lt;&gt;"",COUNTIFS(Bills!$B$3:$B$302,U914,Bills!$C$3:$C$302,C914)=0),"Add bill "&amp;U914&amp;" of "&amp;C914&amp;" on the Bills sheet",IF(S914&lt;R914,"MRP is below the Purchase Rate","OK")))))))))</f>
        <v/>
      </c>
      <c r="B914" s="29"/>
      <c r="C914" s="22"/>
      <c r="D914" s="22"/>
      <c r="E914" s="24"/>
      <c r="F914" s="22"/>
      <c r="G914" s="22"/>
      <c r="H914" s="22"/>
      <c r="I914" s="30" t="str">
        <f>IF(H914="","",IFERROR(INDEX(Codes!$B$2:$B$13,MATCH(H914,Codes!$A$2:$A$13,0)),""))</f>
        <v/>
      </c>
      <c r="J914" s="23"/>
      <c r="K914" s="23"/>
      <c r="L914" s="23"/>
      <c r="M914" s="23"/>
      <c r="N914" s="23"/>
      <c r="O914" s="23"/>
      <c r="P914" s="23"/>
      <c r="Q914" s="31"/>
      <c r="R914" s="32"/>
      <c r="S914" s="32"/>
      <c r="T914" s="33" t="str">
        <f t="shared" si="28"/>
        <v/>
      </c>
      <c r="U914" s="34"/>
      <c r="V914" s="35"/>
      <c r="W914" s="33" t="str">
        <f t="shared" si="29"/>
        <v/>
      </c>
    </row>
    <row r="915" spans="1:23" x14ac:dyDescent="0.35">
      <c r="A915" s="21" t="str">
        <f>IF(COUNTA(B915:H915,J915:S915,U915:V915)=0,"",IF((IF(B915="","PO Ref, ","")&amp;IF(C915="","Vendor, ","")&amp;IF(D915="","Store, ","")&amp;IF(F915="","Product Type, ","")&amp;IF(G915="","Category, ","")&amp;IF(H915="","HSN Code, ","")&amp;IF(Q915="","Qty, ","")&amp;IF(R915="","Purchase Rate, ","")&amp;IF(S915="","MRP, ",""))&lt;&gt;"","Missing: "&amp;LEFT(IF(B915="","PO Ref, ","")&amp;IF(C915="","Vendor, ","")&amp;IF(D915="","Store, ","")&amp;IF(F915="","Product Type, ","")&amp;IF(G915="","Category, ","")&amp;IF(H915="","HSN Code, ","")&amp;IF(Q915="","Qty, ","")&amp;IF(R915="","Purchase Rate, ","")&amp;IF(S915="","MRP, ",""),LEN(IF(B915="","PO Ref, ","")&amp;IF(C915="","Vendor, ","")&amp;IF(D915="","Store, ","")&amp;IF(F915="","Product Type, ","")&amp;IF(G915="","Category, ","")&amp;IF(H915="","HSN Code, ","")&amp;IF(Q915="","Qty, ","")&amp;IF(R915="","Purchase Rate, ","")&amp;IF(S915="","MRP, ",""))-2),IF(COUNTIF(Vendors!$B$3:$B$202,C915)=0,"Add vendor "&amp;C915&amp;" on the Vendors sheet",IF(ISNA(MATCH(H915,Codes!$A$2:$A$13,0)),"Pick the HSN Code from the list",IF(AND(E915&lt;&gt;"",COUNTIFS($C$3:$C$1002,C915,$E$3:$E$1002,E915,$F$3:$F$1002,"&lt;&gt;"&amp;F915)+COUNTIFS($C$3:$C$1002,C915,$E$3:$E$1002,E915,$G$3:$G$1002,"&lt;&gt;"&amp;G915)&gt;0),"Design "&amp;E915&amp;" has another Product Type or Category on another row",IF(COUNTIFS($F$3:$F$1002,F915,$G$3:$G$1002,G915,$H$3:$H$1002,"&lt;&gt;"&amp;H915)&gt;0,F915&amp;" + "&amp;G915&amp;" has another HSN Code on another row",IF(AND(V915&lt;&gt;"",U915=""),"Received Qty needs the Vendor Invoice No",IF(AND(U915&lt;&gt;"",COUNTIFS(Bills!$B$3:$B$302,U915,Bills!$C$3:$C$302,C915)=0),"Add bill "&amp;U915&amp;" of "&amp;C915&amp;" on the Bills sheet",IF(S915&lt;R915,"MRP is below the Purchase Rate","OK")))))))))</f>
        <v/>
      </c>
      <c r="B915" s="29"/>
      <c r="C915" s="22"/>
      <c r="D915" s="22"/>
      <c r="E915" s="24"/>
      <c r="F915" s="22"/>
      <c r="G915" s="22"/>
      <c r="H915" s="22"/>
      <c r="I915" s="30" t="str">
        <f>IF(H915="","",IFERROR(INDEX(Codes!$B$2:$B$13,MATCH(H915,Codes!$A$2:$A$13,0)),""))</f>
        <v/>
      </c>
      <c r="J915" s="23"/>
      <c r="K915" s="23"/>
      <c r="L915" s="23"/>
      <c r="M915" s="23"/>
      <c r="N915" s="23"/>
      <c r="O915" s="23"/>
      <c r="P915" s="23"/>
      <c r="Q915" s="31"/>
      <c r="R915" s="32"/>
      <c r="S915" s="32"/>
      <c r="T915" s="33" t="str">
        <f t="shared" si="28"/>
        <v/>
      </c>
      <c r="U915" s="34"/>
      <c r="V915" s="35"/>
      <c r="W915" s="33" t="str">
        <f t="shared" si="29"/>
        <v/>
      </c>
    </row>
    <row r="916" spans="1:23" x14ac:dyDescent="0.35">
      <c r="A916" s="21" t="str">
        <f>IF(COUNTA(B916:H916,J916:S916,U916:V916)=0,"",IF((IF(B916="","PO Ref, ","")&amp;IF(C916="","Vendor, ","")&amp;IF(D916="","Store, ","")&amp;IF(F916="","Product Type, ","")&amp;IF(G916="","Category, ","")&amp;IF(H916="","HSN Code, ","")&amp;IF(Q916="","Qty, ","")&amp;IF(R916="","Purchase Rate, ","")&amp;IF(S916="","MRP, ",""))&lt;&gt;"","Missing: "&amp;LEFT(IF(B916="","PO Ref, ","")&amp;IF(C916="","Vendor, ","")&amp;IF(D916="","Store, ","")&amp;IF(F916="","Product Type, ","")&amp;IF(G916="","Category, ","")&amp;IF(H916="","HSN Code, ","")&amp;IF(Q916="","Qty, ","")&amp;IF(R916="","Purchase Rate, ","")&amp;IF(S916="","MRP, ",""),LEN(IF(B916="","PO Ref, ","")&amp;IF(C916="","Vendor, ","")&amp;IF(D916="","Store, ","")&amp;IF(F916="","Product Type, ","")&amp;IF(G916="","Category, ","")&amp;IF(H916="","HSN Code, ","")&amp;IF(Q916="","Qty, ","")&amp;IF(R916="","Purchase Rate, ","")&amp;IF(S916="","MRP, ",""))-2),IF(COUNTIF(Vendors!$B$3:$B$202,C916)=0,"Add vendor "&amp;C916&amp;" on the Vendors sheet",IF(ISNA(MATCH(H916,Codes!$A$2:$A$13,0)),"Pick the HSN Code from the list",IF(AND(E916&lt;&gt;"",COUNTIFS($C$3:$C$1002,C916,$E$3:$E$1002,E916,$F$3:$F$1002,"&lt;&gt;"&amp;F916)+COUNTIFS($C$3:$C$1002,C916,$E$3:$E$1002,E916,$G$3:$G$1002,"&lt;&gt;"&amp;G916)&gt;0),"Design "&amp;E916&amp;" has another Product Type or Category on another row",IF(COUNTIFS($F$3:$F$1002,F916,$G$3:$G$1002,G916,$H$3:$H$1002,"&lt;&gt;"&amp;H916)&gt;0,F916&amp;" + "&amp;G916&amp;" has another HSN Code on another row",IF(AND(V916&lt;&gt;"",U916=""),"Received Qty needs the Vendor Invoice No",IF(AND(U916&lt;&gt;"",COUNTIFS(Bills!$B$3:$B$302,U916,Bills!$C$3:$C$302,C916)=0),"Add bill "&amp;U916&amp;" of "&amp;C916&amp;" on the Bills sheet",IF(S916&lt;R916,"MRP is below the Purchase Rate","OK")))))))))</f>
        <v/>
      </c>
      <c r="B916" s="29"/>
      <c r="C916" s="22"/>
      <c r="D916" s="22"/>
      <c r="E916" s="24"/>
      <c r="F916" s="22"/>
      <c r="G916" s="22"/>
      <c r="H916" s="22"/>
      <c r="I916" s="30" t="str">
        <f>IF(H916="","",IFERROR(INDEX(Codes!$B$2:$B$13,MATCH(H916,Codes!$A$2:$A$13,0)),""))</f>
        <v/>
      </c>
      <c r="J916" s="23"/>
      <c r="K916" s="23"/>
      <c r="L916" s="23"/>
      <c r="M916" s="23"/>
      <c r="N916" s="23"/>
      <c r="O916" s="23"/>
      <c r="P916" s="23"/>
      <c r="Q916" s="31"/>
      <c r="R916" s="32"/>
      <c r="S916" s="32"/>
      <c r="T916" s="33" t="str">
        <f t="shared" si="28"/>
        <v/>
      </c>
      <c r="U916" s="34"/>
      <c r="V916" s="35"/>
      <c r="W916" s="33" t="str">
        <f t="shared" si="29"/>
        <v/>
      </c>
    </row>
    <row r="917" spans="1:23" x14ac:dyDescent="0.35">
      <c r="A917" s="21" t="str">
        <f>IF(COUNTA(B917:H917,J917:S917,U917:V917)=0,"",IF((IF(B917="","PO Ref, ","")&amp;IF(C917="","Vendor, ","")&amp;IF(D917="","Store, ","")&amp;IF(F917="","Product Type, ","")&amp;IF(G917="","Category, ","")&amp;IF(H917="","HSN Code, ","")&amp;IF(Q917="","Qty, ","")&amp;IF(R917="","Purchase Rate, ","")&amp;IF(S917="","MRP, ",""))&lt;&gt;"","Missing: "&amp;LEFT(IF(B917="","PO Ref, ","")&amp;IF(C917="","Vendor, ","")&amp;IF(D917="","Store, ","")&amp;IF(F917="","Product Type, ","")&amp;IF(G917="","Category, ","")&amp;IF(H917="","HSN Code, ","")&amp;IF(Q917="","Qty, ","")&amp;IF(R917="","Purchase Rate, ","")&amp;IF(S917="","MRP, ",""),LEN(IF(B917="","PO Ref, ","")&amp;IF(C917="","Vendor, ","")&amp;IF(D917="","Store, ","")&amp;IF(F917="","Product Type, ","")&amp;IF(G917="","Category, ","")&amp;IF(H917="","HSN Code, ","")&amp;IF(Q917="","Qty, ","")&amp;IF(R917="","Purchase Rate, ","")&amp;IF(S917="","MRP, ",""))-2),IF(COUNTIF(Vendors!$B$3:$B$202,C917)=0,"Add vendor "&amp;C917&amp;" on the Vendors sheet",IF(ISNA(MATCH(H917,Codes!$A$2:$A$13,0)),"Pick the HSN Code from the list",IF(AND(E917&lt;&gt;"",COUNTIFS($C$3:$C$1002,C917,$E$3:$E$1002,E917,$F$3:$F$1002,"&lt;&gt;"&amp;F917)+COUNTIFS($C$3:$C$1002,C917,$E$3:$E$1002,E917,$G$3:$G$1002,"&lt;&gt;"&amp;G917)&gt;0),"Design "&amp;E917&amp;" has another Product Type or Category on another row",IF(COUNTIFS($F$3:$F$1002,F917,$G$3:$G$1002,G917,$H$3:$H$1002,"&lt;&gt;"&amp;H917)&gt;0,F917&amp;" + "&amp;G917&amp;" has another HSN Code on another row",IF(AND(V917&lt;&gt;"",U917=""),"Received Qty needs the Vendor Invoice No",IF(AND(U917&lt;&gt;"",COUNTIFS(Bills!$B$3:$B$302,U917,Bills!$C$3:$C$302,C917)=0),"Add bill "&amp;U917&amp;" of "&amp;C917&amp;" on the Bills sheet",IF(S917&lt;R917,"MRP is below the Purchase Rate","OK")))))))))</f>
        <v/>
      </c>
      <c r="B917" s="29"/>
      <c r="C917" s="22"/>
      <c r="D917" s="22"/>
      <c r="E917" s="24"/>
      <c r="F917" s="22"/>
      <c r="G917" s="22"/>
      <c r="H917" s="22"/>
      <c r="I917" s="30" t="str">
        <f>IF(H917="","",IFERROR(INDEX(Codes!$B$2:$B$13,MATCH(H917,Codes!$A$2:$A$13,0)),""))</f>
        <v/>
      </c>
      <c r="J917" s="23"/>
      <c r="K917" s="23"/>
      <c r="L917" s="23"/>
      <c r="M917" s="23"/>
      <c r="N917" s="23"/>
      <c r="O917" s="23"/>
      <c r="P917" s="23"/>
      <c r="Q917" s="31"/>
      <c r="R917" s="32"/>
      <c r="S917" s="32"/>
      <c r="T917" s="33" t="str">
        <f t="shared" si="28"/>
        <v/>
      </c>
      <c r="U917" s="34"/>
      <c r="V917" s="35"/>
      <c r="W917" s="33" t="str">
        <f t="shared" si="29"/>
        <v/>
      </c>
    </row>
    <row r="918" spans="1:23" x14ac:dyDescent="0.35">
      <c r="A918" s="21" t="str">
        <f>IF(COUNTA(B918:H918,J918:S918,U918:V918)=0,"",IF((IF(B918="","PO Ref, ","")&amp;IF(C918="","Vendor, ","")&amp;IF(D918="","Store, ","")&amp;IF(F918="","Product Type, ","")&amp;IF(G918="","Category, ","")&amp;IF(H918="","HSN Code, ","")&amp;IF(Q918="","Qty, ","")&amp;IF(R918="","Purchase Rate, ","")&amp;IF(S918="","MRP, ",""))&lt;&gt;"","Missing: "&amp;LEFT(IF(B918="","PO Ref, ","")&amp;IF(C918="","Vendor, ","")&amp;IF(D918="","Store, ","")&amp;IF(F918="","Product Type, ","")&amp;IF(G918="","Category, ","")&amp;IF(H918="","HSN Code, ","")&amp;IF(Q918="","Qty, ","")&amp;IF(R918="","Purchase Rate, ","")&amp;IF(S918="","MRP, ",""),LEN(IF(B918="","PO Ref, ","")&amp;IF(C918="","Vendor, ","")&amp;IF(D918="","Store, ","")&amp;IF(F918="","Product Type, ","")&amp;IF(G918="","Category, ","")&amp;IF(H918="","HSN Code, ","")&amp;IF(Q918="","Qty, ","")&amp;IF(R918="","Purchase Rate, ","")&amp;IF(S918="","MRP, ",""))-2),IF(COUNTIF(Vendors!$B$3:$B$202,C918)=0,"Add vendor "&amp;C918&amp;" on the Vendors sheet",IF(ISNA(MATCH(H918,Codes!$A$2:$A$13,0)),"Pick the HSN Code from the list",IF(AND(E918&lt;&gt;"",COUNTIFS($C$3:$C$1002,C918,$E$3:$E$1002,E918,$F$3:$F$1002,"&lt;&gt;"&amp;F918)+COUNTIFS($C$3:$C$1002,C918,$E$3:$E$1002,E918,$G$3:$G$1002,"&lt;&gt;"&amp;G918)&gt;0),"Design "&amp;E918&amp;" has another Product Type or Category on another row",IF(COUNTIFS($F$3:$F$1002,F918,$G$3:$G$1002,G918,$H$3:$H$1002,"&lt;&gt;"&amp;H918)&gt;0,F918&amp;" + "&amp;G918&amp;" has another HSN Code on another row",IF(AND(V918&lt;&gt;"",U918=""),"Received Qty needs the Vendor Invoice No",IF(AND(U918&lt;&gt;"",COUNTIFS(Bills!$B$3:$B$302,U918,Bills!$C$3:$C$302,C918)=0),"Add bill "&amp;U918&amp;" of "&amp;C918&amp;" on the Bills sheet",IF(S918&lt;R918,"MRP is below the Purchase Rate","OK")))))))))</f>
        <v/>
      </c>
      <c r="B918" s="29"/>
      <c r="C918" s="22"/>
      <c r="D918" s="22"/>
      <c r="E918" s="24"/>
      <c r="F918" s="22"/>
      <c r="G918" s="22"/>
      <c r="H918" s="22"/>
      <c r="I918" s="30" t="str">
        <f>IF(H918="","",IFERROR(INDEX(Codes!$B$2:$B$13,MATCH(H918,Codes!$A$2:$A$13,0)),""))</f>
        <v/>
      </c>
      <c r="J918" s="23"/>
      <c r="K918" s="23"/>
      <c r="L918" s="23"/>
      <c r="M918" s="23"/>
      <c r="N918" s="23"/>
      <c r="O918" s="23"/>
      <c r="P918" s="23"/>
      <c r="Q918" s="31"/>
      <c r="R918" s="32"/>
      <c r="S918" s="32"/>
      <c r="T918" s="33" t="str">
        <f t="shared" si="28"/>
        <v/>
      </c>
      <c r="U918" s="34"/>
      <c r="V918" s="35"/>
      <c r="W918" s="33" t="str">
        <f t="shared" si="29"/>
        <v/>
      </c>
    </row>
    <row r="919" spans="1:23" x14ac:dyDescent="0.35">
      <c r="A919" s="21" t="str">
        <f>IF(COUNTA(B919:H919,J919:S919,U919:V919)=0,"",IF((IF(B919="","PO Ref, ","")&amp;IF(C919="","Vendor, ","")&amp;IF(D919="","Store, ","")&amp;IF(F919="","Product Type, ","")&amp;IF(G919="","Category, ","")&amp;IF(H919="","HSN Code, ","")&amp;IF(Q919="","Qty, ","")&amp;IF(R919="","Purchase Rate, ","")&amp;IF(S919="","MRP, ",""))&lt;&gt;"","Missing: "&amp;LEFT(IF(B919="","PO Ref, ","")&amp;IF(C919="","Vendor, ","")&amp;IF(D919="","Store, ","")&amp;IF(F919="","Product Type, ","")&amp;IF(G919="","Category, ","")&amp;IF(H919="","HSN Code, ","")&amp;IF(Q919="","Qty, ","")&amp;IF(R919="","Purchase Rate, ","")&amp;IF(S919="","MRP, ",""),LEN(IF(B919="","PO Ref, ","")&amp;IF(C919="","Vendor, ","")&amp;IF(D919="","Store, ","")&amp;IF(F919="","Product Type, ","")&amp;IF(G919="","Category, ","")&amp;IF(H919="","HSN Code, ","")&amp;IF(Q919="","Qty, ","")&amp;IF(R919="","Purchase Rate, ","")&amp;IF(S919="","MRP, ",""))-2),IF(COUNTIF(Vendors!$B$3:$B$202,C919)=0,"Add vendor "&amp;C919&amp;" on the Vendors sheet",IF(ISNA(MATCH(H919,Codes!$A$2:$A$13,0)),"Pick the HSN Code from the list",IF(AND(E919&lt;&gt;"",COUNTIFS($C$3:$C$1002,C919,$E$3:$E$1002,E919,$F$3:$F$1002,"&lt;&gt;"&amp;F919)+COUNTIFS($C$3:$C$1002,C919,$E$3:$E$1002,E919,$G$3:$G$1002,"&lt;&gt;"&amp;G919)&gt;0),"Design "&amp;E919&amp;" has another Product Type or Category on another row",IF(COUNTIFS($F$3:$F$1002,F919,$G$3:$G$1002,G919,$H$3:$H$1002,"&lt;&gt;"&amp;H919)&gt;0,F919&amp;" + "&amp;G919&amp;" has another HSN Code on another row",IF(AND(V919&lt;&gt;"",U919=""),"Received Qty needs the Vendor Invoice No",IF(AND(U919&lt;&gt;"",COUNTIFS(Bills!$B$3:$B$302,U919,Bills!$C$3:$C$302,C919)=0),"Add bill "&amp;U919&amp;" of "&amp;C919&amp;" on the Bills sheet",IF(S919&lt;R919,"MRP is below the Purchase Rate","OK")))))))))</f>
        <v/>
      </c>
      <c r="B919" s="29"/>
      <c r="C919" s="22"/>
      <c r="D919" s="22"/>
      <c r="E919" s="24"/>
      <c r="F919" s="22"/>
      <c r="G919" s="22"/>
      <c r="H919" s="22"/>
      <c r="I919" s="30" t="str">
        <f>IF(H919="","",IFERROR(INDEX(Codes!$B$2:$B$13,MATCH(H919,Codes!$A$2:$A$13,0)),""))</f>
        <v/>
      </c>
      <c r="J919" s="23"/>
      <c r="K919" s="23"/>
      <c r="L919" s="23"/>
      <c r="M919" s="23"/>
      <c r="N919" s="23"/>
      <c r="O919" s="23"/>
      <c r="P919" s="23"/>
      <c r="Q919" s="31"/>
      <c r="R919" s="32"/>
      <c r="S919" s="32"/>
      <c r="T919" s="33" t="str">
        <f t="shared" si="28"/>
        <v/>
      </c>
      <c r="U919" s="34"/>
      <c r="V919" s="35"/>
      <c r="W919" s="33" t="str">
        <f t="shared" si="29"/>
        <v/>
      </c>
    </row>
    <row r="920" spans="1:23" x14ac:dyDescent="0.35">
      <c r="A920" s="21" t="str">
        <f>IF(COUNTA(B920:H920,J920:S920,U920:V920)=0,"",IF((IF(B920="","PO Ref, ","")&amp;IF(C920="","Vendor, ","")&amp;IF(D920="","Store, ","")&amp;IF(F920="","Product Type, ","")&amp;IF(G920="","Category, ","")&amp;IF(H920="","HSN Code, ","")&amp;IF(Q920="","Qty, ","")&amp;IF(R920="","Purchase Rate, ","")&amp;IF(S920="","MRP, ",""))&lt;&gt;"","Missing: "&amp;LEFT(IF(B920="","PO Ref, ","")&amp;IF(C920="","Vendor, ","")&amp;IF(D920="","Store, ","")&amp;IF(F920="","Product Type, ","")&amp;IF(G920="","Category, ","")&amp;IF(H920="","HSN Code, ","")&amp;IF(Q920="","Qty, ","")&amp;IF(R920="","Purchase Rate, ","")&amp;IF(S920="","MRP, ",""),LEN(IF(B920="","PO Ref, ","")&amp;IF(C920="","Vendor, ","")&amp;IF(D920="","Store, ","")&amp;IF(F920="","Product Type, ","")&amp;IF(G920="","Category, ","")&amp;IF(H920="","HSN Code, ","")&amp;IF(Q920="","Qty, ","")&amp;IF(R920="","Purchase Rate, ","")&amp;IF(S920="","MRP, ",""))-2),IF(COUNTIF(Vendors!$B$3:$B$202,C920)=0,"Add vendor "&amp;C920&amp;" on the Vendors sheet",IF(ISNA(MATCH(H920,Codes!$A$2:$A$13,0)),"Pick the HSN Code from the list",IF(AND(E920&lt;&gt;"",COUNTIFS($C$3:$C$1002,C920,$E$3:$E$1002,E920,$F$3:$F$1002,"&lt;&gt;"&amp;F920)+COUNTIFS($C$3:$C$1002,C920,$E$3:$E$1002,E920,$G$3:$G$1002,"&lt;&gt;"&amp;G920)&gt;0),"Design "&amp;E920&amp;" has another Product Type or Category on another row",IF(COUNTIFS($F$3:$F$1002,F920,$G$3:$G$1002,G920,$H$3:$H$1002,"&lt;&gt;"&amp;H920)&gt;0,F920&amp;" + "&amp;G920&amp;" has another HSN Code on another row",IF(AND(V920&lt;&gt;"",U920=""),"Received Qty needs the Vendor Invoice No",IF(AND(U920&lt;&gt;"",COUNTIFS(Bills!$B$3:$B$302,U920,Bills!$C$3:$C$302,C920)=0),"Add bill "&amp;U920&amp;" of "&amp;C920&amp;" on the Bills sheet",IF(S920&lt;R920,"MRP is below the Purchase Rate","OK")))))))))</f>
        <v/>
      </c>
      <c r="B920" s="29"/>
      <c r="C920" s="22"/>
      <c r="D920" s="22"/>
      <c r="E920" s="24"/>
      <c r="F920" s="22"/>
      <c r="G920" s="22"/>
      <c r="H920" s="22"/>
      <c r="I920" s="30" t="str">
        <f>IF(H920="","",IFERROR(INDEX(Codes!$B$2:$B$13,MATCH(H920,Codes!$A$2:$A$13,0)),""))</f>
        <v/>
      </c>
      <c r="J920" s="23"/>
      <c r="K920" s="23"/>
      <c r="L920" s="23"/>
      <c r="M920" s="23"/>
      <c r="N920" s="23"/>
      <c r="O920" s="23"/>
      <c r="P920" s="23"/>
      <c r="Q920" s="31"/>
      <c r="R920" s="32"/>
      <c r="S920" s="32"/>
      <c r="T920" s="33" t="str">
        <f t="shared" si="28"/>
        <v/>
      </c>
      <c r="U920" s="34"/>
      <c r="V920" s="35"/>
      <c r="W920" s="33" t="str">
        <f t="shared" si="29"/>
        <v/>
      </c>
    </row>
    <row r="921" spans="1:23" x14ac:dyDescent="0.35">
      <c r="A921" s="21" t="str">
        <f>IF(COUNTA(B921:H921,J921:S921,U921:V921)=0,"",IF((IF(B921="","PO Ref, ","")&amp;IF(C921="","Vendor, ","")&amp;IF(D921="","Store, ","")&amp;IF(F921="","Product Type, ","")&amp;IF(G921="","Category, ","")&amp;IF(H921="","HSN Code, ","")&amp;IF(Q921="","Qty, ","")&amp;IF(R921="","Purchase Rate, ","")&amp;IF(S921="","MRP, ",""))&lt;&gt;"","Missing: "&amp;LEFT(IF(B921="","PO Ref, ","")&amp;IF(C921="","Vendor, ","")&amp;IF(D921="","Store, ","")&amp;IF(F921="","Product Type, ","")&amp;IF(G921="","Category, ","")&amp;IF(H921="","HSN Code, ","")&amp;IF(Q921="","Qty, ","")&amp;IF(R921="","Purchase Rate, ","")&amp;IF(S921="","MRP, ",""),LEN(IF(B921="","PO Ref, ","")&amp;IF(C921="","Vendor, ","")&amp;IF(D921="","Store, ","")&amp;IF(F921="","Product Type, ","")&amp;IF(G921="","Category, ","")&amp;IF(H921="","HSN Code, ","")&amp;IF(Q921="","Qty, ","")&amp;IF(R921="","Purchase Rate, ","")&amp;IF(S921="","MRP, ",""))-2),IF(COUNTIF(Vendors!$B$3:$B$202,C921)=0,"Add vendor "&amp;C921&amp;" on the Vendors sheet",IF(ISNA(MATCH(H921,Codes!$A$2:$A$13,0)),"Pick the HSN Code from the list",IF(AND(E921&lt;&gt;"",COUNTIFS($C$3:$C$1002,C921,$E$3:$E$1002,E921,$F$3:$F$1002,"&lt;&gt;"&amp;F921)+COUNTIFS($C$3:$C$1002,C921,$E$3:$E$1002,E921,$G$3:$G$1002,"&lt;&gt;"&amp;G921)&gt;0),"Design "&amp;E921&amp;" has another Product Type or Category on another row",IF(COUNTIFS($F$3:$F$1002,F921,$G$3:$G$1002,G921,$H$3:$H$1002,"&lt;&gt;"&amp;H921)&gt;0,F921&amp;" + "&amp;G921&amp;" has another HSN Code on another row",IF(AND(V921&lt;&gt;"",U921=""),"Received Qty needs the Vendor Invoice No",IF(AND(U921&lt;&gt;"",COUNTIFS(Bills!$B$3:$B$302,U921,Bills!$C$3:$C$302,C921)=0),"Add bill "&amp;U921&amp;" of "&amp;C921&amp;" on the Bills sheet",IF(S921&lt;R921,"MRP is below the Purchase Rate","OK")))))))))</f>
        <v/>
      </c>
      <c r="B921" s="29"/>
      <c r="C921" s="22"/>
      <c r="D921" s="22"/>
      <c r="E921" s="24"/>
      <c r="F921" s="22"/>
      <c r="G921" s="22"/>
      <c r="H921" s="22"/>
      <c r="I921" s="30" t="str">
        <f>IF(H921="","",IFERROR(INDEX(Codes!$B$2:$B$13,MATCH(H921,Codes!$A$2:$A$13,0)),""))</f>
        <v/>
      </c>
      <c r="J921" s="23"/>
      <c r="K921" s="23"/>
      <c r="L921" s="23"/>
      <c r="M921" s="23"/>
      <c r="N921" s="23"/>
      <c r="O921" s="23"/>
      <c r="P921" s="23"/>
      <c r="Q921" s="31"/>
      <c r="R921" s="32"/>
      <c r="S921" s="32"/>
      <c r="T921" s="33" t="str">
        <f t="shared" si="28"/>
        <v/>
      </c>
      <c r="U921" s="34"/>
      <c r="V921" s="35"/>
      <c r="W921" s="33" t="str">
        <f t="shared" si="29"/>
        <v/>
      </c>
    </row>
    <row r="922" spans="1:23" x14ac:dyDescent="0.35">
      <c r="A922" s="21" t="str">
        <f>IF(COUNTA(B922:H922,J922:S922,U922:V922)=0,"",IF((IF(B922="","PO Ref, ","")&amp;IF(C922="","Vendor, ","")&amp;IF(D922="","Store, ","")&amp;IF(F922="","Product Type, ","")&amp;IF(G922="","Category, ","")&amp;IF(H922="","HSN Code, ","")&amp;IF(Q922="","Qty, ","")&amp;IF(R922="","Purchase Rate, ","")&amp;IF(S922="","MRP, ",""))&lt;&gt;"","Missing: "&amp;LEFT(IF(B922="","PO Ref, ","")&amp;IF(C922="","Vendor, ","")&amp;IF(D922="","Store, ","")&amp;IF(F922="","Product Type, ","")&amp;IF(G922="","Category, ","")&amp;IF(H922="","HSN Code, ","")&amp;IF(Q922="","Qty, ","")&amp;IF(R922="","Purchase Rate, ","")&amp;IF(S922="","MRP, ",""),LEN(IF(B922="","PO Ref, ","")&amp;IF(C922="","Vendor, ","")&amp;IF(D922="","Store, ","")&amp;IF(F922="","Product Type, ","")&amp;IF(G922="","Category, ","")&amp;IF(H922="","HSN Code, ","")&amp;IF(Q922="","Qty, ","")&amp;IF(R922="","Purchase Rate, ","")&amp;IF(S922="","MRP, ",""))-2),IF(COUNTIF(Vendors!$B$3:$B$202,C922)=0,"Add vendor "&amp;C922&amp;" on the Vendors sheet",IF(ISNA(MATCH(H922,Codes!$A$2:$A$13,0)),"Pick the HSN Code from the list",IF(AND(E922&lt;&gt;"",COUNTIFS($C$3:$C$1002,C922,$E$3:$E$1002,E922,$F$3:$F$1002,"&lt;&gt;"&amp;F922)+COUNTIFS($C$3:$C$1002,C922,$E$3:$E$1002,E922,$G$3:$G$1002,"&lt;&gt;"&amp;G922)&gt;0),"Design "&amp;E922&amp;" has another Product Type or Category on another row",IF(COUNTIFS($F$3:$F$1002,F922,$G$3:$G$1002,G922,$H$3:$H$1002,"&lt;&gt;"&amp;H922)&gt;0,F922&amp;" + "&amp;G922&amp;" has another HSN Code on another row",IF(AND(V922&lt;&gt;"",U922=""),"Received Qty needs the Vendor Invoice No",IF(AND(U922&lt;&gt;"",COUNTIFS(Bills!$B$3:$B$302,U922,Bills!$C$3:$C$302,C922)=0),"Add bill "&amp;U922&amp;" of "&amp;C922&amp;" on the Bills sheet",IF(S922&lt;R922,"MRP is below the Purchase Rate","OK")))))))))</f>
        <v/>
      </c>
      <c r="B922" s="29"/>
      <c r="C922" s="22"/>
      <c r="D922" s="22"/>
      <c r="E922" s="24"/>
      <c r="F922" s="22"/>
      <c r="G922" s="22"/>
      <c r="H922" s="22"/>
      <c r="I922" s="30" t="str">
        <f>IF(H922="","",IFERROR(INDEX(Codes!$B$2:$B$13,MATCH(H922,Codes!$A$2:$A$13,0)),""))</f>
        <v/>
      </c>
      <c r="J922" s="23"/>
      <c r="K922" s="23"/>
      <c r="L922" s="23"/>
      <c r="M922" s="23"/>
      <c r="N922" s="23"/>
      <c r="O922" s="23"/>
      <c r="P922" s="23"/>
      <c r="Q922" s="31"/>
      <c r="R922" s="32"/>
      <c r="S922" s="32"/>
      <c r="T922" s="33" t="str">
        <f t="shared" si="28"/>
        <v/>
      </c>
      <c r="U922" s="34"/>
      <c r="V922" s="35"/>
      <c r="W922" s="33" t="str">
        <f t="shared" si="29"/>
        <v/>
      </c>
    </row>
    <row r="923" spans="1:23" x14ac:dyDescent="0.35">
      <c r="A923" s="21" t="str">
        <f>IF(COUNTA(B923:H923,J923:S923,U923:V923)=0,"",IF((IF(B923="","PO Ref, ","")&amp;IF(C923="","Vendor, ","")&amp;IF(D923="","Store, ","")&amp;IF(F923="","Product Type, ","")&amp;IF(G923="","Category, ","")&amp;IF(H923="","HSN Code, ","")&amp;IF(Q923="","Qty, ","")&amp;IF(R923="","Purchase Rate, ","")&amp;IF(S923="","MRP, ",""))&lt;&gt;"","Missing: "&amp;LEFT(IF(B923="","PO Ref, ","")&amp;IF(C923="","Vendor, ","")&amp;IF(D923="","Store, ","")&amp;IF(F923="","Product Type, ","")&amp;IF(G923="","Category, ","")&amp;IF(H923="","HSN Code, ","")&amp;IF(Q923="","Qty, ","")&amp;IF(R923="","Purchase Rate, ","")&amp;IF(S923="","MRP, ",""),LEN(IF(B923="","PO Ref, ","")&amp;IF(C923="","Vendor, ","")&amp;IF(D923="","Store, ","")&amp;IF(F923="","Product Type, ","")&amp;IF(G923="","Category, ","")&amp;IF(H923="","HSN Code, ","")&amp;IF(Q923="","Qty, ","")&amp;IF(R923="","Purchase Rate, ","")&amp;IF(S923="","MRP, ",""))-2),IF(COUNTIF(Vendors!$B$3:$B$202,C923)=0,"Add vendor "&amp;C923&amp;" on the Vendors sheet",IF(ISNA(MATCH(H923,Codes!$A$2:$A$13,0)),"Pick the HSN Code from the list",IF(AND(E923&lt;&gt;"",COUNTIFS($C$3:$C$1002,C923,$E$3:$E$1002,E923,$F$3:$F$1002,"&lt;&gt;"&amp;F923)+COUNTIFS($C$3:$C$1002,C923,$E$3:$E$1002,E923,$G$3:$G$1002,"&lt;&gt;"&amp;G923)&gt;0),"Design "&amp;E923&amp;" has another Product Type or Category on another row",IF(COUNTIFS($F$3:$F$1002,F923,$G$3:$G$1002,G923,$H$3:$H$1002,"&lt;&gt;"&amp;H923)&gt;0,F923&amp;" + "&amp;G923&amp;" has another HSN Code on another row",IF(AND(V923&lt;&gt;"",U923=""),"Received Qty needs the Vendor Invoice No",IF(AND(U923&lt;&gt;"",COUNTIFS(Bills!$B$3:$B$302,U923,Bills!$C$3:$C$302,C923)=0),"Add bill "&amp;U923&amp;" of "&amp;C923&amp;" on the Bills sheet",IF(S923&lt;R923,"MRP is below the Purchase Rate","OK")))))))))</f>
        <v/>
      </c>
      <c r="B923" s="29"/>
      <c r="C923" s="22"/>
      <c r="D923" s="22"/>
      <c r="E923" s="24"/>
      <c r="F923" s="22"/>
      <c r="G923" s="22"/>
      <c r="H923" s="22"/>
      <c r="I923" s="30" t="str">
        <f>IF(H923="","",IFERROR(INDEX(Codes!$B$2:$B$13,MATCH(H923,Codes!$A$2:$A$13,0)),""))</f>
        <v/>
      </c>
      <c r="J923" s="23"/>
      <c r="K923" s="23"/>
      <c r="L923" s="23"/>
      <c r="M923" s="23"/>
      <c r="N923" s="23"/>
      <c r="O923" s="23"/>
      <c r="P923" s="23"/>
      <c r="Q923" s="31"/>
      <c r="R923" s="32"/>
      <c r="S923" s="32"/>
      <c r="T923" s="33" t="str">
        <f t="shared" si="28"/>
        <v/>
      </c>
      <c r="U923" s="34"/>
      <c r="V923" s="35"/>
      <c r="W923" s="33" t="str">
        <f t="shared" si="29"/>
        <v/>
      </c>
    </row>
    <row r="924" spans="1:23" x14ac:dyDescent="0.35">
      <c r="A924" s="21" t="str">
        <f>IF(COUNTA(B924:H924,J924:S924,U924:V924)=0,"",IF((IF(B924="","PO Ref, ","")&amp;IF(C924="","Vendor, ","")&amp;IF(D924="","Store, ","")&amp;IF(F924="","Product Type, ","")&amp;IF(G924="","Category, ","")&amp;IF(H924="","HSN Code, ","")&amp;IF(Q924="","Qty, ","")&amp;IF(R924="","Purchase Rate, ","")&amp;IF(S924="","MRP, ",""))&lt;&gt;"","Missing: "&amp;LEFT(IF(B924="","PO Ref, ","")&amp;IF(C924="","Vendor, ","")&amp;IF(D924="","Store, ","")&amp;IF(F924="","Product Type, ","")&amp;IF(G924="","Category, ","")&amp;IF(H924="","HSN Code, ","")&amp;IF(Q924="","Qty, ","")&amp;IF(R924="","Purchase Rate, ","")&amp;IF(S924="","MRP, ",""),LEN(IF(B924="","PO Ref, ","")&amp;IF(C924="","Vendor, ","")&amp;IF(D924="","Store, ","")&amp;IF(F924="","Product Type, ","")&amp;IF(G924="","Category, ","")&amp;IF(H924="","HSN Code, ","")&amp;IF(Q924="","Qty, ","")&amp;IF(R924="","Purchase Rate, ","")&amp;IF(S924="","MRP, ",""))-2),IF(COUNTIF(Vendors!$B$3:$B$202,C924)=0,"Add vendor "&amp;C924&amp;" on the Vendors sheet",IF(ISNA(MATCH(H924,Codes!$A$2:$A$13,0)),"Pick the HSN Code from the list",IF(AND(E924&lt;&gt;"",COUNTIFS($C$3:$C$1002,C924,$E$3:$E$1002,E924,$F$3:$F$1002,"&lt;&gt;"&amp;F924)+COUNTIFS($C$3:$C$1002,C924,$E$3:$E$1002,E924,$G$3:$G$1002,"&lt;&gt;"&amp;G924)&gt;0),"Design "&amp;E924&amp;" has another Product Type or Category on another row",IF(COUNTIFS($F$3:$F$1002,F924,$G$3:$G$1002,G924,$H$3:$H$1002,"&lt;&gt;"&amp;H924)&gt;0,F924&amp;" + "&amp;G924&amp;" has another HSN Code on another row",IF(AND(V924&lt;&gt;"",U924=""),"Received Qty needs the Vendor Invoice No",IF(AND(U924&lt;&gt;"",COUNTIFS(Bills!$B$3:$B$302,U924,Bills!$C$3:$C$302,C924)=0),"Add bill "&amp;U924&amp;" of "&amp;C924&amp;" on the Bills sheet",IF(S924&lt;R924,"MRP is below the Purchase Rate","OK")))))))))</f>
        <v/>
      </c>
      <c r="B924" s="29"/>
      <c r="C924" s="22"/>
      <c r="D924" s="22"/>
      <c r="E924" s="24"/>
      <c r="F924" s="22"/>
      <c r="G924" s="22"/>
      <c r="H924" s="22"/>
      <c r="I924" s="30" t="str">
        <f>IF(H924="","",IFERROR(INDEX(Codes!$B$2:$B$13,MATCH(H924,Codes!$A$2:$A$13,0)),""))</f>
        <v/>
      </c>
      <c r="J924" s="23"/>
      <c r="K924" s="23"/>
      <c r="L924" s="23"/>
      <c r="M924" s="23"/>
      <c r="N924" s="23"/>
      <c r="O924" s="23"/>
      <c r="P924" s="23"/>
      <c r="Q924" s="31"/>
      <c r="R924" s="32"/>
      <c r="S924" s="32"/>
      <c r="T924" s="33" t="str">
        <f t="shared" si="28"/>
        <v/>
      </c>
      <c r="U924" s="34"/>
      <c r="V924" s="35"/>
      <c r="W924" s="33" t="str">
        <f t="shared" si="29"/>
        <v/>
      </c>
    </row>
    <row r="925" spans="1:23" x14ac:dyDescent="0.35">
      <c r="A925" s="21" t="str">
        <f>IF(COUNTA(B925:H925,J925:S925,U925:V925)=0,"",IF((IF(B925="","PO Ref, ","")&amp;IF(C925="","Vendor, ","")&amp;IF(D925="","Store, ","")&amp;IF(F925="","Product Type, ","")&amp;IF(G925="","Category, ","")&amp;IF(H925="","HSN Code, ","")&amp;IF(Q925="","Qty, ","")&amp;IF(R925="","Purchase Rate, ","")&amp;IF(S925="","MRP, ",""))&lt;&gt;"","Missing: "&amp;LEFT(IF(B925="","PO Ref, ","")&amp;IF(C925="","Vendor, ","")&amp;IF(D925="","Store, ","")&amp;IF(F925="","Product Type, ","")&amp;IF(G925="","Category, ","")&amp;IF(H925="","HSN Code, ","")&amp;IF(Q925="","Qty, ","")&amp;IF(R925="","Purchase Rate, ","")&amp;IF(S925="","MRP, ",""),LEN(IF(B925="","PO Ref, ","")&amp;IF(C925="","Vendor, ","")&amp;IF(D925="","Store, ","")&amp;IF(F925="","Product Type, ","")&amp;IF(G925="","Category, ","")&amp;IF(H925="","HSN Code, ","")&amp;IF(Q925="","Qty, ","")&amp;IF(R925="","Purchase Rate, ","")&amp;IF(S925="","MRP, ",""))-2),IF(COUNTIF(Vendors!$B$3:$B$202,C925)=0,"Add vendor "&amp;C925&amp;" on the Vendors sheet",IF(ISNA(MATCH(H925,Codes!$A$2:$A$13,0)),"Pick the HSN Code from the list",IF(AND(E925&lt;&gt;"",COUNTIFS($C$3:$C$1002,C925,$E$3:$E$1002,E925,$F$3:$F$1002,"&lt;&gt;"&amp;F925)+COUNTIFS($C$3:$C$1002,C925,$E$3:$E$1002,E925,$G$3:$G$1002,"&lt;&gt;"&amp;G925)&gt;0),"Design "&amp;E925&amp;" has another Product Type or Category on another row",IF(COUNTIFS($F$3:$F$1002,F925,$G$3:$G$1002,G925,$H$3:$H$1002,"&lt;&gt;"&amp;H925)&gt;0,F925&amp;" + "&amp;G925&amp;" has another HSN Code on another row",IF(AND(V925&lt;&gt;"",U925=""),"Received Qty needs the Vendor Invoice No",IF(AND(U925&lt;&gt;"",COUNTIFS(Bills!$B$3:$B$302,U925,Bills!$C$3:$C$302,C925)=0),"Add bill "&amp;U925&amp;" of "&amp;C925&amp;" on the Bills sheet",IF(S925&lt;R925,"MRP is below the Purchase Rate","OK")))))))))</f>
        <v/>
      </c>
      <c r="B925" s="29"/>
      <c r="C925" s="22"/>
      <c r="D925" s="22"/>
      <c r="E925" s="24"/>
      <c r="F925" s="22"/>
      <c r="G925" s="22"/>
      <c r="H925" s="22"/>
      <c r="I925" s="30" t="str">
        <f>IF(H925="","",IFERROR(INDEX(Codes!$B$2:$B$13,MATCH(H925,Codes!$A$2:$A$13,0)),""))</f>
        <v/>
      </c>
      <c r="J925" s="23"/>
      <c r="K925" s="23"/>
      <c r="L925" s="23"/>
      <c r="M925" s="23"/>
      <c r="N925" s="23"/>
      <c r="O925" s="23"/>
      <c r="P925" s="23"/>
      <c r="Q925" s="31"/>
      <c r="R925" s="32"/>
      <c r="S925" s="32"/>
      <c r="T925" s="33" t="str">
        <f t="shared" si="28"/>
        <v/>
      </c>
      <c r="U925" s="34"/>
      <c r="V925" s="35"/>
      <c r="W925" s="33" t="str">
        <f t="shared" si="29"/>
        <v/>
      </c>
    </row>
    <row r="926" spans="1:23" x14ac:dyDescent="0.35">
      <c r="A926" s="21" t="str">
        <f>IF(COUNTA(B926:H926,J926:S926,U926:V926)=0,"",IF((IF(B926="","PO Ref, ","")&amp;IF(C926="","Vendor, ","")&amp;IF(D926="","Store, ","")&amp;IF(F926="","Product Type, ","")&amp;IF(G926="","Category, ","")&amp;IF(H926="","HSN Code, ","")&amp;IF(Q926="","Qty, ","")&amp;IF(R926="","Purchase Rate, ","")&amp;IF(S926="","MRP, ",""))&lt;&gt;"","Missing: "&amp;LEFT(IF(B926="","PO Ref, ","")&amp;IF(C926="","Vendor, ","")&amp;IF(D926="","Store, ","")&amp;IF(F926="","Product Type, ","")&amp;IF(G926="","Category, ","")&amp;IF(H926="","HSN Code, ","")&amp;IF(Q926="","Qty, ","")&amp;IF(R926="","Purchase Rate, ","")&amp;IF(S926="","MRP, ",""),LEN(IF(B926="","PO Ref, ","")&amp;IF(C926="","Vendor, ","")&amp;IF(D926="","Store, ","")&amp;IF(F926="","Product Type, ","")&amp;IF(G926="","Category, ","")&amp;IF(H926="","HSN Code, ","")&amp;IF(Q926="","Qty, ","")&amp;IF(R926="","Purchase Rate, ","")&amp;IF(S926="","MRP, ",""))-2),IF(COUNTIF(Vendors!$B$3:$B$202,C926)=0,"Add vendor "&amp;C926&amp;" on the Vendors sheet",IF(ISNA(MATCH(H926,Codes!$A$2:$A$13,0)),"Pick the HSN Code from the list",IF(AND(E926&lt;&gt;"",COUNTIFS($C$3:$C$1002,C926,$E$3:$E$1002,E926,$F$3:$F$1002,"&lt;&gt;"&amp;F926)+COUNTIFS($C$3:$C$1002,C926,$E$3:$E$1002,E926,$G$3:$G$1002,"&lt;&gt;"&amp;G926)&gt;0),"Design "&amp;E926&amp;" has another Product Type or Category on another row",IF(COUNTIFS($F$3:$F$1002,F926,$G$3:$G$1002,G926,$H$3:$H$1002,"&lt;&gt;"&amp;H926)&gt;0,F926&amp;" + "&amp;G926&amp;" has another HSN Code on another row",IF(AND(V926&lt;&gt;"",U926=""),"Received Qty needs the Vendor Invoice No",IF(AND(U926&lt;&gt;"",COUNTIFS(Bills!$B$3:$B$302,U926,Bills!$C$3:$C$302,C926)=0),"Add bill "&amp;U926&amp;" of "&amp;C926&amp;" on the Bills sheet",IF(S926&lt;R926,"MRP is below the Purchase Rate","OK")))))))))</f>
        <v/>
      </c>
      <c r="B926" s="29"/>
      <c r="C926" s="22"/>
      <c r="D926" s="22"/>
      <c r="E926" s="24"/>
      <c r="F926" s="22"/>
      <c r="G926" s="22"/>
      <c r="H926" s="22"/>
      <c r="I926" s="30" t="str">
        <f>IF(H926="","",IFERROR(INDEX(Codes!$B$2:$B$13,MATCH(H926,Codes!$A$2:$A$13,0)),""))</f>
        <v/>
      </c>
      <c r="J926" s="23"/>
      <c r="K926" s="23"/>
      <c r="L926" s="23"/>
      <c r="M926" s="23"/>
      <c r="N926" s="23"/>
      <c r="O926" s="23"/>
      <c r="P926" s="23"/>
      <c r="Q926" s="31"/>
      <c r="R926" s="32"/>
      <c r="S926" s="32"/>
      <c r="T926" s="33" t="str">
        <f t="shared" si="28"/>
        <v/>
      </c>
      <c r="U926" s="34"/>
      <c r="V926" s="35"/>
      <c r="W926" s="33" t="str">
        <f t="shared" si="29"/>
        <v/>
      </c>
    </row>
    <row r="927" spans="1:23" x14ac:dyDescent="0.35">
      <c r="A927" s="21" t="str">
        <f>IF(COUNTA(B927:H927,J927:S927,U927:V927)=0,"",IF((IF(B927="","PO Ref, ","")&amp;IF(C927="","Vendor, ","")&amp;IF(D927="","Store, ","")&amp;IF(F927="","Product Type, ","")&amp;IF(G927="","Category, ","")&amp;IF(H927="","HSN Code, ","")&amp;IF(Q927="","Qty, ","")&amp;IF(R927="","Purchase Rate, ","")&amp;IF(S927="","MRP, ",""))&lt;&gt;"","Missing: "&amp;LEFT(IF(B927="","PO Ref, ","")&amp;IF(C927="","Vendor, ","")&amp;IF(D927="","Store, ","")&amp;IF(F927="","Product Type, ","")&amp;IF(G927="","Category, ","")&amp;IF(H927="","HSN Code, ","")&amp;IF(Q927="","Qty, ","")&amp;IF(R927="","Purchase Rate, ","")&amp;IF(S927="","MRP, ",""),LEN(IF(B927="","PO Ref, ","")&amp;IF(C927="","Vendor, ","")&amp;IF(D927="","Store, ","")&amp;IF(F927="","Product Type, ","")&amp;IF(G927="","Category, ","")&amp;IF(H927="","HSN Code, ","")&amp;IF(Q927="","Qty, ","")&amp;IF(R927="","Purchase Rate, ","")&amp;IF(S927="","MRP, ",""))-2),IF(COUNTIF(Vendors!$B$3:$B$202,C927)=0,"Add vendor "&amp;C927&amp;" on the Vendors sheet",IF(ISNA(MATCH(H927,Codes!$A$2:$A$13,0)),"Pick the HSN Code from the list",IF(AND(E927&lt;&gt;"",COUNTIFS($C$3:$C$1002,C927,$E$3:$E$1002,E927,$F$3:$F$1002,"&lt;&gt;"&amp;F927)+COUNTIFS($C$3:$C$1002,C927,$E$3:$E$1002,E927,$G$3:$G$1002,"&lt;&gt;"&amp;G927)&gt;0),"Design "&amp;E927&amp;" has another Product Type or Category on another row",IF(COUNTIFS($F$3:$F$1002,F927,$G$3:$G$1002,G927,$H$3:$H$1002,"&lt;&gt;"&amp;H927)&gt;0,F927&amp;" + "&amp;G927&amp;" has another HSN Code on another row",IF(AND(V927&lt;&gt;"",U927=""),"Received Qty needs the Vendor Invoice No",IF(AND(U927&lt;&gt;"",COUNTIFS(Bills!$B$3:$B$302,U927,Bills!$C$3:$C$302,C927)=0),"Add bill "&amp;U927&amp;" of "&amp;C927&amp;" on the Bills sheet",IF(S927&lt;R927,"MRP is below the Purchase Rate","OK")))))))))</f>
        <v/>
      </c>
      <c r="B927" s="29"/>
      <c r="C927" s="22"/>
      <c r="D927" s="22"/>
      <c r="E927" s="24"/>
      <c r="F927" s="22"/>
      <c r="G927" s="22"/>
      <c r="H927" s="22"/>
      <c r="I927" s="30" t="str">
        <f>IF(H927="","",IFERROR(INDEX(Codes!$B$2:$B$13,MATCH(H927,Codes!$A$2:$A$13,0)),""))</f>
        <v/>
      </c>
      <c r="J927" s="23"/>
      <c r="K927" s="23"/>
      <c r="L927" s="23"/>
      <c r="M927" s="23"/>
      <c r="N927" s="23"/>
      <c r="O927" s="23"/>
      <c r="P927" s="23"/>
      <c r="Q927" s="31"/>
      <c r="R927" s="32"/>
      <c r="S927" s="32"/>
      <c r="T927" s="33" t="str">
        <f t="shared" si="28"/>
        <v/>
      </c>
      <c r="U927" s="34"/>
      <c r="V927" s="35"/>
      <c r="W927" s="33" t="str">
        <f t="shared" si="29"/>
        <v/>
      </c>
    </row>
    <row r="928" spans="1:23" x14ac:dyDescent="0.35">
      <c r="A928" s="21" t="str">
        <f>IF(COUNTA(B928:H928,J928:S928,U928:V928)=0,"",IF((IF(B928="","PO Ref, ","")&amp;IF(C928="","Vendor, ","")&amp;IF(D928="","Store, ","")&amp;IF(F928="","Product Type, ","")&amp;IF(G928="","Category, ","")&amp;IF(H928="","HSN Code, ","")&amp;IF(Q928="","Qty, ","")&amp;IF(R928="","Purchase Rate, ","")&amp;IF(S928="","MRP, ",""))&lt;&gt;"","Missing: "&amp;LEFT(IF(B928="","PO Ref, ","")&amp;IF(C928="","Vendor, ","")&amp;IF(D928="","Store, ","")&amp;IF(F928="","Product Type, ","")&amp;IF(G928="","Category, ","")&amp;IF(H928="","HSN Code, ","")&amp;IF(Q928="","Qty, ","")&amp;IF(R928="","Purchase Rate, ","")&amp;IF(S928="","MRP, ",""),LEN(IF(B928="","PO Ref, ","")&amp;IF(C928="","Vendor, ","")&amp;IF(D928="","Store, ","")&amp;IF(F928="","Product Type, ","")&amp;IF(G928="","Category, ","")&amp;IF(H928="","HSN Code, ","")&amp;IF(Q928="","Qty, ","")&amp;IF(R928="","Purchase Rate, ","")&amp;IF(S928="","MRP, ",""))-2),IF(COUNTIF(Vendors!$B$3:$B$202,C928)=0,"Add vendor "&amp;C928&amp;" on the Vendors sheet",IF(ISNA(MATCH(H928,Codes!$A$2:$A$13,0)),"Pick the HSN Code from the list",IF(AND(E928&lt;&gt;"",COUNTIFS($C$3:$C$1002,C928,$E$3:$E$1002,E928,$F$3:$F$1002,"&lt;&gt;"&amp;F928)+COUNTIFS($C$3:$C$1002,C928,$E$3:$E$1002,E928,$G$3:$G$1002,"&lt;&gt;"&amp;G928)&gt;0),"Design "&amp;E928&amp;" has another Product Type or Category on another row",IF(COUNTIFS($F$3:$F$1002,F928,$G$3:$G$1002,G928,$H$3:$H$1002,"&lt;&gt;"&amp;H928)&gt;0,F928&amp;" + "&amp;G928&amp;" has another HSN Code on another row",IF(AND(V928&lt;&gt;"",U928=""),"Received Qty needs the Vendor Invoice No",IF(AND(U928&lt;&gt;"",COUNTIFS(Bills!$B$3:$B$302,U928,Bills!$C$3:$C$302,C928)=0),"Add bill "&amp;U928&amp;" of "&amp;C928&amp;" on the Bills sheet",IF(S928&lt;R928,"MRP is below the Purchase Rate","OK")))))))))</f>
        <v/>
      </c>
      <c r="B928" s="29"/>
      <c r="C928" s="22"/>
      <c r="D928" s="22"/>
      <c r="E928" s="24"/>
      <c r="F928" s="22"/>
      <c r="G928" s="22"/>
      <c r="H928" s="22"/>
      <c r="I928" s="30" t="str">
        <f>IF(H928="","",IFERROR(INDEX(Codes!$B$2:$B$13,MATCH(H928,Codes!$A$2:$A$13,0)),""))</f>
        <v/>
      </c>
      <c r="J928" s="23"/>
      <c r="K928" s="23"/>
      <c r="L928" s="23"/>
      <c r="M928" s="23"/>
      <c r="N928" s="23"/>
      <c r="O928" s="23"/>
      <c r="P928" s="23"/>
      <c r="Q928" s="31"/>
      <c r="R928" s="32"/>
      <c r="S928" s="32"/>
      <c r="T928" s="33" t="str">
        <f t="shared" si="28"/>
        <v/>
      </c>
      <c r="U928" s="34"/>
      <c r="V928" s="35"/>
      <c r="W928" s="33" t="str">
        <f t="shared" si="29"/>
        <v/>
      </c>
    </row>
    <row r="929" spans="1:23" x14ac:dyDescent="0.35">
      <c r="A929" s="21" t="str">
        <f>IF(COUNTA(B929:H929,J929:S929,U929:V929)=0,"",IF((IF(B929="","PO Ref, ","")&amp;IF(C929="","Vendor, ","")&amp;IF(D929="","Store, ","")&amp;IF(F929="","Product Type, ","")&amp;IF(G929="","Category, ","")&amp;IF(H929="","HSN Code, ","")&amp;IF(Q929="","Qty, ","")&amp;IF(R929="","Purchase Rate, ","")&amp;IF(S929="","MRP, ",""))&lt;&gt;"","Missing: "&amp;LEFT(IF(B929="","PO Ref, ","")&amp;IF(C929="","Vendor, ","")&amp;IF(D929="","Store, ","")&amp;IF(F929="","Product Type, ","")&amp;IF(G929="","Category, ","")&amp;IF(H929="","HSN Code, ","")&amp;IF(Q929="","Qty, ","")&amp;IF(R929="","Purchase Rate, ","")&amp;IF(S929="","MRP, ",""),LEN(IF(B929="","PO Ref, ","")&amp;IF(C929="","Vendor, ","")&amp;IF(D929="","Store, ","")&amp;IF(F929="","Product Type, ","")&amp;IF(G929="","Category, ","")&amp;IF(H929="","HSN Code, ","")&amp;IF(Q929="","Qty, ","")&amp;IF(R929="","Purchase Rate, ","")&amp;IF(S929="","MRP, ",""))-2),IF(COUNTIF(Vendors!$B$3:$B$202,C929)=0,"Add vendor "&amp;C929&amp;" on the Vendors sheet",IF(ISNA(MATCH(H929,Codes!$A$2:$A$13,0)),"Pick the HSN Code from the list",IF(AND(E929&lt;&gt;"",COUNTIFS($C$3:$C$1002,C929,$E$3:$E$1002,E929,$F$3:$F$1002,"&lt;&gt;"&amp;F929)+COUNTIFS($C$3:$C$1002,C929,$E$3:$E$1002,E929,$G$3:$G$1002,"&lt;&gt;"&amp;G929)&gt;0),"Design "&amp;E929&amp;" has another Product Type or Category on another row",IF(COUNTIFS($F$3:$F$1002,F929,$G$3:$G$1002,G929,$H$3:$H$1002,"&lt;&gt;"&amp;H929)&gt;0,F929&amp;" + "&amp;G929&amp;" has another HSN Code on another row",IF(AND(V929&lt;&gt;"",U929=""),"Received Qty needs the Vendor Invoice No",IF(AND(U929&lt;&gt;"",COUNTIFS(Bills!$B$3:$B$302,U929,Bills!$C$3:$C$302,C929)=0),"Add bill "&amp;U929&amp;" of "&amp;C929&amp;" on the Bills sheet",IF(S929&lt;R929,"MRP is below the Purchase Rate","OK")))))))))</f>
        <v/>
      </c>
      <c r="B929" s="29"/>
      <c r="C929" s="22"/>
      <c r="D929" s="22"/>
      <c r="E929" s="24"/>
      <c r="F929" s="22"/>
      <c r="G929" s="22"/>
      <c r="H929" s="22"/>
      <c r="I929" s="30" t="str">
        <f>IF(H929="","",IFERROR(INDEX(Codes!$B$2:$B$13,MATCH(H929,Codes!$A$2:$A$13,0)),""))</f>
        <v/>
      </c>
      <c r="J929" s="23"/>
      <c r="K929" s="23"/>
      <c r="L929" s="23"/>
      <c r="M929" s="23"/>
      <c r="N929" s="23"/>
      <c r="O929" s="23"/>
      <c r="P929" s="23"/>
      <c r="Q929" s="31"/>
      <c r="R929" s="32"/>
      <c r="S929" s="32"/>
      <c r="T929" s="33" t="str">
        <f t="shared" si="28"/>
        <v/>
      </c>
      <c r="U929" s="34"/>
      <c r="V929" s="35"/>
      <c r="W929" s="33" t="str">
        <f t="shared" si="29"/>
        <v/>
      </c>
    </row>
    <row r="930" spans="1:23" x14ac:dyDescent="0.35">
      <c r="A930" s="21" t="str">
        <f>IF(COUNTA(B930:H930,J930:S930,U930:V930)=0,"",IF((IF(B930="","PO Ref, ","")&amp;IF(C930="","Vendor, ","")&amp;IF(D930="","Store, ","")&amp;IF(F930="","Product Type, ","")&amp;IF(G930="","Category, ","")&amp;IF(H930="","HSN Code, ","")&amp;IF(Q930="","Qty, ","")&amp;IF(R930="","Purchase Rate, ","")&amp;IF(S930="","MRP, ",""))&lt;&gt;"","Missing: "&amp;LEFT(IF(B930="","PO Ref, ","")&amp;IF(C930="","Vendor, ","")&amp;IF(D930="","Store, ","")&amp;IF(F930="","Product Type, ","")&amp;IF(G930="","Category, ","")&amp;IF(H930="","HSN Code, ","")&amp;IF(Q930="","Qty, ","")&amp;IF(R930="","Purchase Rate, ","")&amp;IF(S930="","MRP, ",""),LEN(IF(B930="","PO Ref, ","")&amp;IF(C930="","Vendor, ","")&amp;IF(D930="","Store, ","")&amp;IF(F930="","Product Type, ","")&amp;IF(G930="","Category, ","")&amp;IF(H930="","HSN Code, ","")&amp;IF(Q930="","Qty, ","")&amp;IF(R930="","Purchase Rate, ","")&amp;IF(S930="","MRP, ",""))-2),IF(COUNTIF(Vendors!$B$3:$B$202,C930)=0,"Add vendor "&amp;C930&amp;" on the Vendors sheet",IF(ISNA(MATCH(H930,Codes!$A$2:$A$13,0)),"Pick the HSN Code from the list",IF(AND(E930&lt;&gt;"",COUNTIFS($C$3:$C$1002,C930,$E$3:$E$1002,E930,$F$3:$F$1002,"&lt;&gt;"&amp;F930)+COUNTIFS($C$3:$C$1002,C930,$E$3:$E$1002,E930,$G$3:$G$1002,"&lt;&gt;"&amp;G930)&gt;0),"Design "&amp;E930&amp;" has another Product Type or Category on another row",IF(COUNTIFS($F$3:$F$1002,F930,$G$3:$G$1002,G930,$H$3:$H$1002,"&lt;&gt;"&amp;H930)&gt;0,F930&amp;" + "&amp;G930&amp;" has another HSN Code on another row",IF(AND(V930&lt;&gt;"",U930=""),"Received Qty needs the Vendor Invoice No",IF(AND(U930&lt;&gt;"",COUNTIFS(Bills!$B$3:$B$302,U930,Bills!$C$3:$C$302,C930)=0),"Add bill "&amp;U930&amp;" of "&amp;C930&amp;" on the Bills sheet",IF(S930&lt;R930,"MRP is below the Purchase Rate","OK")))))))))</f>
        <v/>
      </c>
      <c r="B930" s="29"/>
      <c r="C930" s="22"/>
      <c r="D930" s="22"/>
      <c r="E930" s="24"/>
      <c r="F930" s="22"/>
      <c r="G930" s="22"/>
      <c r="H930" s="22"/>
      <c r="I930" s="30" t="str">
        <f>IF(H930="","",IFERROR(INDEX(Codes!$B$2:$B$13,MATCH(H930,Codes!$A$2:$A$13,0)),""))</f>
        <v/>
      </c>
      <c r="J930" s="23"/>
      <c r="K930" s="23"/>
      <c r="L930" s="23"/>
      <c r="M930" s="23"/>
      <c r="N930" s="23"/>
      <c r="O930" s="23"/>
      <c r="P930" s="23"/>
      <c r="Q930" s="31"/>
      <c r="R930" s="32"/>
      <c r="S930" s="32"/>
      <c r="T930" s="33" t="str">
        <f t="shared" si="28"/>
        <v/>
      </c>
      <c r="U930" s="34"/>
      <c r="V930" s="35"/>
      <c r="W930" s="33" t="str">
        <f t="shared" si="29"/>
        <v/>
      </c>
    </row>
    <row r="931" spans="1:23" x14ac:dyDescent="0.35">
      <c r="A931" s="21" t="str">
        <f>IF(COUNTA(B931:H931,J931:S931,U931:V931)=0,"",IF((IF(B931="","PO Ref, ","")&amp;IF(C931="","Vendor, ","")&amp;IF(D931="","Store, ","")&amp;IF(F931="","Product Type, ","")&amp;IF(G931="","Category, ","")&amp;IF(H931="","HSN Code, ","")&amp;IF(Q931="","Qty, ","")&amp;IF(R931="","Purchase Rate, ","")&amp;IF(S931="","MRP, ",""))&lt;&gt;"","Missing: "&amp;LEFT(IF(B931="","PO Ref, ","")&amp;IF(C931="","Vendor, ","")&amp;IF(D931="","Store, ","")&amp;IF(F931="","Product Type, ","")&amp;IF(G931="","Category, ","")&amp;IF(H931="","HSN Code, ","")&amp;IF(Q931="","Qty, ","")&amp;IF(R931="","Purchase Rate, ","")&amp;IF(S931="","MRP, ",""),LEN(IF(B931="","PO Ref, ","")&amp;IF(C931="","Vendor, ","")&amp;IF(D931="","Store, ","")&amp;IF(F931="","Product Type, ","")&amp;IF(G931="","Category, ","")&amp;IF(H931="","HSN Code, ","")&amp;IF(Q931="","Qty, ","")&amp;IF(R931="","Purchase Rate, ","")&amp;IF(S931="","MRP, ",""))-2),IF(COUNTIF(Vendors!$B$3:$B$202,C931)=0,"Add vendor "&amp;C931&amp;" on the Vendors sheet",IF(ISNA(MATCH(H931,Codes!$A$2:$A$13,0)),"Pick the HSN Code from the list",IF(AND(E931&lt;&gt;"",COUNTIFS($C$3:$C$1002,C931,$E$3:$E$1002,E931,$F$3:$F$1002,"&lt;&gt;"&amp;F931)+COUNTIFS($C$3:$C$1002,C931,$E$3:$E$1002,E931,$G$3:$G$1002,"&lt;&gt;"&amp;G931)&gt;0),"Design "&amp;E931&amp;" has another Product Type or Category on another row",IF(COUNTIFS($F$3:$F$1002,F931,$G$3:$G$1002,G931,$H$3:$H$1002,"&lt;&gt;"&amp;H931)&gt;0,F931&amp;" + "&amp;G931&amp;" has another HSN Code on another row",IF(AND(V931&lt;&gt;"",U931=""),"Received Qty needs the Vendor Invoice No",IF(AND(U931&lt;&gt;"",COUNTIFS(Bills!$B$3:$B$302,U931,Bills!$C$3:$C$302,C931)=0),"Add bill "&amp;U931&amp;" of "&amp;C931&amp;" on the Bills sheet",IF(S931&lt;R931,"MRP is below the Purchase Rate","OK")))))))))</f>
        <v/>
      </c>
      <c r="B931" s="29"/>
      <c r="C931" s="22"/>
      <c r="D931" s="22"/>
      <c r="E931" s="24"/>
      <c r="F931" s="22"/>
      <c r="G931" s="22"/>
      <c r="H931" s="22"/>
      <c r="I931" s="30" t="str">
        <f>IF(H931="","",IFERROR(INDEX(Codes!$B$2:$B$13,MATCH(H931,Codes!$A$2:$A$13,0)),""))</f>
        <v/>
      </c>
      <c r="J931" s="23"/>
      <c r="K931" s="23"/>
      <c r="L931" s="23"/>
      <c r="M931" s="23"/>
      <c r="N931" s="23"/>
      <c r="O931" s="23"/>
      <c r="P931" s="23"/>
      <c r="Q931" s="31"/>
      <c r="R931" s="32"/>
      <c r="S931" s="32"/>
      <c r="T931" s="33" t="str">
        <f t="shared" si="28"/>
        <v/>
      </c>
      <c r="U931" s="34"/>
      <c r="V931" s="35"/>
      <c r="W931" s="33" t="str">
        <f t="shared" si="29"/>
        <v/>
      </c>
    </row>
    <row r="932" spans="1:23" x14ac:dyDescent="0.35">
      <c r="A932" s="21" t="str">
        <f>IF(COUNTA(B932:H932,J932:S932,U932:V932)=0,"",IF((IF(B932="","PO Ref, ","")&amp;IF(C932="","Vendor, ","")&amp;IF(D932="","Store, ","")&amp;IF(F932="","Product Type, ","")&amp;IF(G932="","Category, ","")&amp;IF(H932="","HSN Code, ","")&amp;IF(Q932="","Qty, ","")&amp;IF(R932="","Purchase Rate, ","")&amp;IF(S932="","MRP, ",""))&lt;&gt;"","Missing: "&amp;LEFT(IF(B932="","PO Ref, ","")&amp;IF(C932="","Vendor, ","")&amp;IF(D932="","Store, ","")&amp;IF(F932="","Product Type, ","")&amp;IF(G932="","Category, ","")&amp;IF(H932="","HSN Code, ","")&amp;IF(Q932="","Qty, ","")&amp;IF(R932="","Purchase Rate, ","")&amp;IF(S932="","MRP, ",""),LEN(IF(B932="","PO Ref, ","")&amp;IF(C932="","Vendor, ","")&amp;IF(D932="","Store, ","")&amp;IF(F932="","Product Type, ","")&amp;IF(G932="","Category, ","")&amp;IF(H932="","HSN Code, ","")&amp;IF(Q932="","Qty, ","")&amp;IF(R932="","Purchase Rate, ","")&amp;IF(S932="","MRP, ",""))-2),IF(COUNTIF(Vendors!$B$3:$B$202,C932)=0,"Add vendor "&amp;C932&amp;" on the Vendors sheet",IF(ISNA(MATCH(H932,Codes!$A$2:$A$13,0)),"Pick the HSN Code from the list",IF(AND(E932&lt;&gt;"",COUNTIFS($C$3:$C$1002,C932,$E$3:$E$1002,E932,$F$3:$F$1002,"&lt;&gt;"&amp;F932)+COUNTIFS($C$3:$C$1002,C932,$E$3:$E$1002,E932,$G$3:$G$1002,"&lt;&gt;"&amp;G932)&gt;0),"Design "&amp;E932&amp;" has another Product Type or Category on another row",IF(COUNTIFS($F$3:$F$1002,F932,$G$3:$G$1002,G932,$H$3:$H$1002,"&lt;&gt;"&amp;H932)&gt;0,F932&amp;" + "&amp;G932&amp;" has another HSN Code on another row",IF(AND(V932&lt;&gt;"",U932=""),"Received Qty needs the Vendor Invoice No",IF(AND(U932&lt;&gt;"",COUNTIFS(Bills!$B$3:$B$302,U932,Bills!$C$3:$C$302,C932)=0),"Add bill "&amp;U932&amp;" of "&amp;C932&amp;" on the Bills sheet",IF(S932&lt;R932,"MRP is below the Purchase Rate","OK")))))))))</f>
        <v/>
      </c>
      <c r="B932" s="29"/>
      <c r="C932" s="22"/>
      <c r="D932" s="22"/>
      <c r="E932" s="24"/>
      <c r="F932" s="22"/>
      <c r="G932" s="22"/>
      <c r="H932" s="22"/>
      <c r="I932" s="30" t="str">
        <f>IF(H932="","",IFERROR(INDEX(Codes!$B$2:$B$13,MATCH(H932,Codes!$A$2:$A$13,0)),""))</f>
        <v/>
      </c>
      <c r="J932" s="23"/>
      <c r="K932" s="23"/>
      <c r="L932" s="23"/>
      <c r="M932" s="23"/>
      <c r="N932" s="23"/>
      <c r="O932" s="23"/>
      <c r="P932" s="23"/>
      <c r="Q932" s="31"/>
      <c r="R932" s="32"/>
      <c r="S932" s="32"/>
      <c r="T932" s="33" t="str">
        <f t="shared" si="28"/>
        <v/>
      </c>
      <c r="U932" s="34"/>
      <c r="V932" s="35"/>
      <c r="W932" s="33" t="str">
        <f t="shared" si="29"/>
        <v/>
      </c>
    </row>
    <row r="933" spans="1:23" x14ac:dyDescent="0.35">
      <c r="A933" s="21" t="str">
        <f>IF(COUNTA(B933:H933,J933:S933,U933:V933)=0,"",IF((IF(B933="","PO Ref, ","")&amp;IF(C933="","Vendor, ","")&amp;IF(D933="","Store, ","")&amp;IF(F933="","Product Type, ","")&amp;IF(G933="","Category, ","")&amp;IF(H933="","HSN Code, ","")&amp;IF(Q933="","Qty, ","")&amp;IF(R933="","Purchase Rate, ","")&amp;IF(S933="","MRP, ",""))&lt;&gt;"","Missing: "&amp;LEFT(IF(B933="","PO Ref, ","")&amp;IF(C933="","Vendor, ","")&amp;IF(D933="","Store, ","")&amp;IF(F933="","Product Type, ","")&amp;IF(G933="","Category, ","")&amp;IF(H933="","HSN Code, ","")&amp;IF(Q933="","Qty, ","")&amp;IF(R933="","Purchase Rate, ","")&amp;IF(S933="","MRP, ",""),LEN(IF(B933="","PO Ref, ","")&amp;IF(C933="","Vendor, ","")&amp;IF(D933="","Store, ","")&amp;IF(F933="","Product Type, ","")&amp;IF(G933="","Category, ","")&amp;IF(H933="","HSN Code, ","")&amp;IF(Q933="","Qty, ","")&amp;IF(R933="","Purchase Rate, ","")&amp;IF(S933="","MRP, ",""))-2),IF(COUNTIF(Vendors!$B$3:$B$202,C933)=0,"Add vendor "&amp;C933&amp;" on the Vendors sheet",IF(ISNA(MATCH(H933,Codes!$A$2:$A$13,0)),"Pick the HSN Code from the list",IF(AND(E933&lt;&gt;"",COUNTIFS($C$3:$C$1002,C933,$E$3:$E$1002,E933,$F$3:$F$1002,"&lt;&gt;"&amp;F933)+COUNTIFS($C$3:$C$1002,C933,$E$3:$E$1002,E933,$G$3:$G$1002,"&lt;&gt;"&amp;G933)&gt;0),"Design "&amp;E933&amp;" has another Product Type or Category on another row",IF(COUNTIFS($F$3:$F$1002,F933,$G$3:$G$1002,G933,$H$3:$H$1002,"&lt;&gt;"&amp;H933)&gt;0,F933&amp;" + "&amp;G933&amp;" has another HSN Code on another row",IF(AND(V933&lt;&gt;"",U933=""),"Received Qty needs the Vendor Invoice No",IF(AND(U933&lt;&gt;"",COUNTIFS(Bills!$B$3:$B$302,U933,Bills!$C$3:$C$302,C933)=0),"Add bill "&amp;U933&amp;" of "&amp;C933&amp;" on the Bills sheet",IF(S933&lt;R933,"MRP is below the Purchase Rate","OK")))))))))</f>
        <v/>
      </c>
      <c r="B933" s="29"/>
      <c r="C933" s="22"/>
      <c r="D933" s="22"/>
      <c r="E933" s="24"/>
      <c r="F933" s="22"/>
      <c r="G933" s="22"/>
      <c r="H933" s="22"/>
      <c r="I933" s="30" t="str">
        <f>IF(H933="","",IFERROR(INDEX(Codes!$B$2:$B$13,MATCH(H933,Codes!$A$2:$A$13,0)),""))</f>
        <v/>
      </c>
      <c r="J933" s="23"/>
      <c r="K933" s="23"/>
      <c r="L933" s="23"/>
      <c r="M933" s="23"/>
      <c r="N933" s="23"/>
      <c r="O933" s="23"/>
      <c r="P933" s="23"/>
      <c r="Q933" s="31"/>
      <c r="R933" s="32"/>
      <c r="S933" s="32"/>
      <c r="T933" s="33" t="str">
        <f t="shared" si="28"/>
        <v/>
      </c>
      <c r="U933" s="34"/>
      <c r="V933" s="35"/>
      <c r="W933" s="33" t="str">
        <f t="shared" si="29"/>
        <v/>
      </c>
    </row>
    <row r="934" spans="1:23" x14ac:dyDescent="0.35">
      <c r="A934" s="21" t="str">
        <f>IF(COUNTA(B934:H934,J934:S934,U934:V934)=0,"",IF((IF(B934="","PO Ref, ","")&amp;IF(C934="","Vendor, ","")&amp;IF(D934="","Store, ","")&amp;IF(F934="","Product Type, ","")&amp;IF(G934="","Category, ","")&amp;IF(H934="","HSN Code, ","")&amp;IF(Q934="","Qty, ","")&amp;IF(R934="","Purchase Rate, ","")&amp;IF(S934="","MRP, ",""))&lt;&gt;"","Missing: "&amp;LEFT(IF(B934="","PO Ref, ","")&amp;IF(C934="","Vendor, ","")&amp;IF(D934="","Store, ","")&amp;IF(F934="","Product Type, ","")&amp;IF(G934="","Category, ","")&amp;IF(H934="","HSN Code, ","")&amp;IF(Q934="","Qty, ","")&amp;IF(R934="","Purchase Rate, ","")&amp;IF(S934="","MRP, ",""),LEN(IF(B934="","PO Ref, ","")&amp;IF(C934="","Vendor, ","")&amp;IF(D934="","Store, ","")&amp;IF(F934="","Product Type, ","")&amp;IF(G934="","Category, ","")&amp;IF(H934="","HSN Code, ","")&amp;IF(Q934="","Qty, ","")&amp;IF(R934="","Purchase Rate, ","")&amp;IF(S934="","MRP, ",""))-2),IF(COUNTIF(Vendors!$B$3:$B$202,C934)=0,"Add vendor "&amp;C934&amp;" on the Vendors sheet",IF(ISNA(MATCH(H934,Codes!$A$2:$A$13,0)),"Pick the HSN Code from the list",IF(AND(E934&lt;&gt;"",COUNTIFS($C$3:$C$1002,C934,$E$3:$E$1002,E934,$F$3:$F$1002,"&lt;&gt;"&amp;F934)+COUNTIFS($C$3:$C$1002,C934,$E$3:$E$1002,E934,$G$3:$G$1002,"&lt;&gt;"&amp;G934)&gt;0),"Design "&amp;E934&amp;" has another Product Type or Category on another row",IF(COUNTIFS($F$3:$F$1002,F934,$G$3:$G$1002,G934,$H$3:$H$1002,"&lt;&gt;"&amp;H934)&gt;0,F934&amp;" + "&amp;G934&amp;" has another HSN Code on another row",IF(AND(V934&lt;&gt;"",U934=""),"Received Qty needs the Vendor Invoice No",IF(AND(U934&lt;&gt;"",COUNTIFS(Bills!$B$3:$B$302,U934,Bills!$C$3:$C$302,C934)=0),"Add bill "&amp;U934&amp;" of "&amp;C934&amp;" on the Bills sheet",IF(S934&lt;R934,"MRP is below the Purchase Rate","OK")))))))))</f>
        <v/>
      </c>
      <c r="B934" s="29"/>
      <c r="C934" s="22"/>
      <c r="D934" s="22"/>
      <c r="E934" s="24"/>
      <c r="F934" s="22"/>
      <c r="G934" s="22"/>
      <c r="H934" s="22"/>
      <c r="I934" s="30" t="str">
        <f>IF(H934="","",IFERROR(INDEX(Codes!$B$2:$B$13,MATCH(H934,Codes!$A$2:$A$13,0)),""))</f>
        <v/>
      </c>
      <c r="J934" s="23"/>
      <c r="K934" s="23"/>
      <c r="L934" s="23"/>
      <c r="M934" s="23"/>
      <c r="N934" s="23"/>
      <c r="O934" s="23"/>
      <c r="P934" s="23"/>
      <c r="Q934" s="31"/>
      <c r="R934" s="32"/>
      <c r="S934" s="32"/>
      <c r="T934" s="33" t="str">
        <f t="shared" si="28"/>
        <v/>
      </c>
      <c r="U934" s="34"/>
      <c r="V934" s="35"/>
      <c r="W934" s="33" t="str">
        <f t="shared" si="29"/>
        <v/>
      </c>
    </row>
    <row r="935" spans="1:23" x14ac:dyDescent="0.35">
      <c r="A935" s="21" t="str">
        <f>IF(COUNTA(B935:H935,J935:S935,U935:V935)=0,"",IF((IF(B935="","PO Ref, ","")&amp;IF(C935="","Vendor, ","")&amp;IF(D935="","Store, ","")&amp;IF(F935="","Product Type, ","")&amp;IF(G935="","Category, ","")&amp;IF(H935="","HSN Code, ","")&amp;IF(Q935="","Qty, ","")&amp;IF(R935="","Purchase Rate, ","")&amp;IF(S935="","MRP, ",""))&lt;&gt;"","Missing: "&amp;LEFT(IF(B935="","PO Ref, ","")&amp;IF(C935="","Vendor, ","")&amp;IF(D935="","Store, ","")&amp;IF(F935="","Product Type, ","")&amp;IF(G935="","Category, ","")&amp;IF(H935="","HSN Code, ","")&amp;IF(Q935="","Qty, ","")&amp;IF(R935="","Purchase Rate, ","")&amp;IF(S935="","MRP, ",""),LEN(IF(B935="","PO Ref, ","")&amp;IF(C935="","Vendor, ","")&amp;IF(D935="","Store, ","")&amp;IF(F935="","Product Type, ","")&amp;IF(G935="","Category, ","")&amp;IF(H935="","HSN Code, ","")&amp;IF(Q935="","Qty, ","")&amp;IF(R935="","Purchase Rate, ","")&amp;IF(S935="","MRP, ",""))-2),IF(COUNTIF(Vendors!$B$3:$B$202,C935)=0,"Add vendor "&amp;C935&amp;" on the Vendors sheet",IF(ISNA(MATCH(H935,Codes!$A$2:$A$13,0)),"Pick the HSN Code from the list",IF(AND(E935&lt;&gt;"",COUNTIFS($C$3:$C$1002,C935,$E$3:$E$1002,E935,$F$3:$F$1002,"&lt;&gt;"&amp;F935)+COUNTIFS($C$3:$C$1002,C935,$E$3:$E$1002,E935,$G$3:$G$1002,"&lt;&gt;"&amp;G935)&gt;0),"Design "&amp;E935&amp;" has another Product Type or Category on another row",IF(COUNTIFS($F$3:$F$1002,F935,$G$3:$G$1002,G935,$H$3:$H$1002,"&lt;&gt;"&amp;H935)&gt;0,F935&amp;" + "&amp;G935&amp;" has another HSN Code on another row",IF(AND(V935&lt;&gt;"",U935=""),"Received Qty needs the Vendor Invoice No",IF(AND(U935&lt;&gt;"",COUNTIFS(Bills!$B$3:$B$302,U935,Bills!$C$3:$C$302,C935)=0),"Add bill "&amp;U935&amp;" of "&amp;C935&amp;" on the Bills sheet",IF(S935&lt;R935,"MRP is below the Purchase Rate","OK")))))))))</f>
        <v/>
      </c>
      <c r="B935" s="29"/>
      <c r="C935" s="22"/>
      <c r="D935" s="22"/>
      <c r="E935" s="24"/>
      <c r="F935" s="22"/>
      <c r="G935" s="22"/>
      <c r="H935" s="22"/>
      <c r="I935" s="30" t="str">
        <f>IF(H935="","",IFERROR(INDEX(Codes!$B$2:$B$13,MATCH(H935,Codes!$A$2:$A$13,0)),""))</f>
        <v/>
      </c>
      <c r="J935" s="23"/>
      <c r="K935" s="23"/>
      <c r="L935" s="23"/>
      <c r="M935" s="23"/>
      <c r="N935" s="23"/>
      <c r="O935" s="23"/>
      <c r="P935" s="23"/>
      <c r="Q935" s="31"/>
      <c r="R935" s="32"/>
      <c r="S935" s="32"/>
      <c r="T935" s="33" t="str">
        <f t="shared" si="28"/>
        <v/>
      </c>
      <c r="U935" s="34"/>
      <c r="V935" s="35"/>
      <c r="W935" s="33" t="str">
        <f t="shared" si="29"/>
        <v/>
      </c>
    </row>
    <row r="936" spans="1:23" x14ac:dyDescent="0.35">
      <c r="A936" s="21" t="str">
        <f>IF(COUNTA(B936:H936,J936:S936,U936:V936)=0,"",IF((IF(B936="","PO Ref, ","")&amp;IF(C936="","Vendor, ","")&amp;IF(D936="","Store, ","")&amp;IF(F936="","Product Type, ","")&amp;IF(G936="","Category, ","")&amp;IF(H936="","HSN Code, ","")&amp;IF(Q936="","Qty, ","")&amp;IF(R936="","Purchase Rate, ","")&amp;IF(S936="","MRP, ",""))&lt;&gt;"","Missing: "&amp;LEFT(IF(B936="","PO Ref, ","")&amp;IF(C936="","Vendor, ","")&amp;IF(D936="","Store, ","")&amp;IF(F936="","Product Type, ","")&amp;IF(G936="","Category, ","")&amp;IF(H936="","HSN Code, ","")&amp;IF(Q936="","Qty, ","")&amp;IF(R936="","Purchase Rate, ","")&amp;IF(S936="","MRP, ",""),LEN(IF(B936="","PO Ref, ","")&amp;IF(C936="","Vendor, ","")&amp;IF(D936="","Store, ","")&amp;IF(F936="","Product Type, ","")&amp;IF(G936="","Category, ","")&amp;IF(H936="","HSN Code, ","")&amp;IF(Q936="","Qty, ","")&amp;IF(R936="","Purchase Rate, ","")&amp;IF(S936="","MRP, ",""))-2),IF(COUNTIF(Vendors!$B$3:$B$202,C936)=0,"Add vendor "&amp;C936&amp;" on the Vendors sheet",IF(ISNA(MATCH(H936,Codes!$A$2:$A$13,0)),"Pick the HSN Code from the list",IF(AND(E936&lt;&gt;"",COUNTIFS($C$3:$C$1002,C936,$E$3:$E$1002,E936,$F$3:$F$1002,"&lt;&gt;"&amp;F936)+COUNTIFS($C$3:$C$1002,C936,$E$3:$E$1002,E936,$G$3:$G$1002,"&lt;&gt;"&amp;G936)&gt;0),"Design "&amp;E936&amp;" has another Product Type or Category on another row",IF(COUNTIFS($F$3:$F$1002,F936,$G$3:$G$1002,G936,$H$3:$H$1002,"&lt;&gt;"&amp;H936)&gt;0,F936&amp;" + "&amp;G936&amp;" has another HSN Code on another row",IF(AND(V936&lt;&gt;"",U936=""),"Received Qty needs the Vendor Invoice No",IF(AND(U936&lt;&gt;"",COUNTIFS(Bills!$B$3:$B$302,U936,Bills!$C$3:$C$302,C936)=0),"Add bill "&amp;U936&amp;" of "&amp;C936&amp;" on the Bills sheet",IF(S936&lt;R936,"MRP is below the Purchase Rate","OK")))))))))</f>
        <v/>
      </c>
      <c r="B936" s="29"/>
      <c r="C936" s="22"/>
      <c r="D936" s="22"/>
      <c r="E936" s="24"/>
      <c r="F936" s="22"/>
      <c r="G936" s="22"/>
      <c r="H936" s="22"/>
      <c r="I936" s="30" t="str">
        <f>IF(H936="","",IFERROR(INDEX(Codes!$B$2:$B$13,MATCH(H936,Codes!$A$2:$A$13,0)),""))</f>
        <v/>
      </c>
      <c r="J936" s="23"/>
      <c r="K936" s="23"/>
      <c r="L936" s="23"/>
      <c r="M936" s="23"/>
      <c r="N936" s="23"/>
      <c r="O936" s="23"/>
      <c r="P936" s="23"/>
      <c r="Q936" s="31"/>
      <c r="R936" s="32"/>
      <c r="S936" s="32"/>
      <c r="T936" s="33" t="str">
        <f t="shared" si="28"/>
        <v/>
      </c>
      <c r="U936" s="34"/>
      <c r="V936" s="35"/>
      <c r="W936" s="33" t="str">
        <f t="shared" si="29"/>
        <v/>
      </c>
    </row>
    <row r="937" spans="1:23" x14ac:dyDescent="0.35">
      <c r="A937" s="21" t="str">
        <f>IF(COUNTA(B937:H937,J937:S937,U937:V937)=0,"",IF((IF(B937="","PO Ref, ","")&amp;IF(C937="","Vendor, ","")&amp;IF(D937="","Store, ","")&amp;IF(F937="","Product Type, ","")&amp;IF(G937="","Category, ","")&amp;IF(H937="","HSN Code, ","")&amp;IF(Q937="","Qty, ","")&amp;IF(R937="","Purchase Rate, ","")&amp;IF(S937="","MRP, ",""))&lt;&gt;"","Missing: "&amp;LEFT(IF(B937="","PO Ref, ","")&amp;IF(C937="","Vendor, ","")&amp;IF(D937="","Store, ","")&amp;IF(F937="","Product Type, ","")&amp;IF(G937="","Category, ","")&amp;IF(H937="","HSN Code, ","")&amp;IF(Q937="","Qty, ","")&amp;IF(R937="","Purchase Rate, ","")&amp;IF(S937="","MRP, ",""),LEN(IF(B937="","PO Ref, ","")&amp;IF(C937="","Vendor, ","")&amp;IF(D937="","Store, ","")&amp;IF(F937="","Product Type, ","")&amp;IF(G937="","Category, ","")&amp;IF(H937="","HSN Code, ","")&amp;IF(Q937="","Qty, ","")&amp;IF(R937="","Purchase Rate, ","")&amp;IF(S937="","MRP, ",""))-2),IF(COUNTIF(Vendors!$B$3:$B$202,C937)=0,"Add vendor "&amp;C937&amp;" on the Vendors sheet",IF(ISNA(MATCH(H937,Codes!$A$2:$A$13,0)),"Pick the HSN Code from the list",IF(AND(E937&lt;&gt;"",COUNTIFS($C$3:$C$1002,C937,$E$3:$E$1002,E937,$F$3:$F$1002,"&lt;&gt;"&amp;F937)+COUNTIFS($C$3:$C$1002,C937,$E$3:$E$1002,E937,$G$3:$G$1002,"&lt;&gt;"&amp;G937)&gt;0),"Design "&amp;E937&amp;" has another Product Type or Category on another row",IF(COUNTIFS($F$3:$F$1002,F937,$G$3:$G$1002,G937,$H$3:$H$1002,"&lt;&gt;"&amp;H937)&gt;0,F937&amp;" + "&amp;G937&amp;" has another HSN Code on another row",IF(AND(V937&lt;&gt;"",U937=""),"Received Qty needs the Vendor Invoice No",IF(AND(U937&lt;&gt;"",COUNTIFS(Bills!$B$3:$B$302,U937,Bills!$C$3:$C$302,C937)=0),"Add bill "&amp;U937&amp;" of "&amp;C937&amp;" on the Bills sheet",IF(S937&lt;R937,"MRP is below the Purchase Rate","OK")))))))))</f>
        <v/>
      </c>
      <c r="B937" s="29"/>
      <c r="C937" s="22"/>
      <c r="D937" s="22"/>
      <c r="E937" s="24"/>
      <c r="F937" s="22"/>
      <c r="G937" s="22"/>
      <c r="H937" s="22"/>
      <c r="I937" s="30" t="str">
        <f>IF(H937="","",IFERROR(INDEX(Codes!$B$2:$B$13,MATCH(H937,Codes!$A$2:$A$13,0)),""))</f>
        <v/>
      </c>
      <c r="J937" s="23"/>
      <c r="K937" s="23"/>
      <c r="L937" s="23"/>
      <c r="M937" s="23"/>
      <c r="N937" s="23"/>
      <c r="O937" s="23"/>
      <c r="P937" s="23"/>
      <c r="Q937" s="31"/>
      <c r="R937" s="32"/>
      <c r="S937" s="32"/>
      <c r="T937" s="33" t="str">
        <f t="shared" si="28"/>
        <v/>
      </c>
      <c r="U937" s="34"/>
      <c r="V937" s="35"/>
      <c r="W937" s="33" t="str">
        <f t="shared" si="29"/>
        <v/>
      </c>
    </row>
    <row r="938" spans="1:23" x14ac:dyDescent="0.35">
      <c r="A938" s="21" t="str">
        <f>IF(COUNTA(B938:H938,J938:S938,U938:V938)=0,"",IF((IF(B938="","PO Ref, ","")&amp;IF(C938="","Vendor, ","")&amp;IF(D938="","Store, ","")&amp;IF(F938="","Product Type, ","")&amp;IF(G938="","Category, ","")&amp;IF(H938="","HSN Code, ","")&amp;IF(Q938="","Qty, ","")&amp;IF(R938="","Purchase Rate, ","")&amp;IF(S938="","MRP, ",""))&lt;&gt;"","Missing: "&amp;LEFT(IF(B938="","PO Ref, ","")&amp;IF(C938="","Vendor, ","")&amp;IF(D938="","Store, ","")&amp;IF(F938="","Product Type, ","")&amp;IF(G938="","Category, ","")&amp;IF(H938="","HSN Code, ","")&amp;IF(Q938="","Qty, ","")&amp;IF(R938="","Purchase Rate, ","")&amp;IF(S938="","MRP, ",""),LEN(IF(B938="","PO Ref, ","")&amp;IF(C938="","Vendor, ","")&amp;IF(D938="","Store, ","")&amp;IF(F938="","Product Type, ","")&amp;IF(G938="","Category, ","")&amp;IF(H938="","HSN Code, ","")&amp;IF(Q938="","Qty, ","")&amp;IF(R938="","Purchase Rate, ","")&amp;IF(S938="","MRP, ",""))-2),IF(COUNTIF(Vendors!$B$3:$B$202,C938)=0,"Add vendor "&amp;C938&amp;" on the Vendors sheet",IF(ISNA(MATCH(H938,Codes!$A$2:$A$13,0)),"Pick the HSN Code from the list",IF(AND(E938&lt;&gt;"",COUNTIFS($C$3:$C$1002,C938,$E$3:$E$1002,E938,$F$3:$F$1002,"&lt;&gt;"&amp;F938)+COUNTIFS($C$3:$C$1002,C938,$E$3:$E$1002,E938,$G$3:$G$1002,"&lt;&gt;"&amp;G938)&gt;0),"Design "&amp;E938&amp;" has another Product Type or Category on another row",IF(COUNTIFS($F$3:$F$1002,F938,$G$3:$G$1002,G938,$H$3:$H$1002,"&lt;&gt;"&amp;H938)&gt;0,F938&amp;" + "&amp;G938&amp;" has another HSN Code on another row",IF(AND(V938&lt;&gt;"",U938=""),"Received Qty needs the Vendor Invoice No",IF(AND(U938&lt;&gt;"",COUNTIFS(Bills!$B$3:$B$302,U938,Bills!$C$3:$C$302,C938)=0),"Add bill "&amp;U938&amp;" of "&amp;C938&amp;" on the Bills sheet",IF(S938&lt;R938,"MRP is below the Purchase Rate","OK")))))))))</f>
        <v/>
      </c>
      <c r="B938" s="29"/>
      <c r="C938" s="22"/>
      <c r="D938" s="22"/>
      <c r="E938" s="24"/>
      <c r="F938" s="22"/>
      <c r="G938" s="22"/>
      <c r="H938" s="22"/>
      <c r="I938" s="30" t="str">
        <f>IF(H938="","",IFERROR(INDEX(Codes!$B$2:$B$13,MATCH(H938,Codes!$A$2:$A$13,0)),""))</f>
        <v/>
      </c>
      <c r="J938" s="23"/>
      <c r="K938" s="23"/>
      <c r="L938" s="23"/>
      <c r="M938" s="23"/>
      <c r="N938" s="23"/>
      <c r="O938" s="23"/>
      <c r="P938" s="23"/>
      <c r="Q938" s="31"/>
      <c r="R938" s="32"/>
      <c r="S938" s="32"/>
      <c r="T938" s="33" t="str">
        <f t="shared" si="28"/>
        <v/>
      </c>
      <c r="U938" s="34"/>
      <c r="V938" s="35"/>
      <c r="W938" s="33" t="str">
        <f t="shared" si="29"/>
        <v/>
      </c>
    </row>
    <row r="939" spans="1:23" x14ac:dyDescent="0.35">
      <c r="A939" s="21" t="str">
        <f>IF(COUNTA(B939:H939,J939:S939,U939:V939)=0,"",IF((IF(B939="","PO Ref, ","")&amp;IF(C939="","Vendor, ","")&amp;IF(D939="","Store, ","")&amp;IF(F939="","Product Type, ","")&amp;IF(G939="","Category, ","")&amp;IF(H939="","HSN Code, ","")&amp;IF(Q939="","Qty, ","")&amp;IF(R939="","Purchase Rate, ","")&amp;IF(S939="","MRP, ",""))&lt;&gt;"","Missing: "&amp;LEFT(IF(B939="","PO Ref, ","")&amp;IF(C939="","Vendor, ","")&amp;IF(D939="","Store, ","")&amp;IF(F939="","Product Type, ","")&amp;IF(G939="","Category, ","")&amp;IF(H939="","HSN Code, ","")&amp;IF(Q939="","Qty, ","")&amp;IF(R939="","Purchase Rate, ","")&amp;IF(S939="","MRP, ",""),LEN(IF(B939="","PO Ref, ","")&amp;IF(C939="","Vendor, ","")&amp;IF(D939="","Store, ","")&amp;IF(F939="","Product Type, ","")&amp;IF(G939="","Category, ","")&amp;IF(H939="","HSN Code, ","")&amp;IF(Q939="","Qty, ","")&amp;IF(R939="","Purchase Rate, ","")&amp;IF(S939="","MRP, ",""))-2),IF(COUNTIF(Vendors!$B$3:$B$202,C939)=0,"Add vendor "&amp;C939&amp;" on the Vendors sheet",IF(ISNA(MATCH(H939,Codes!$A$2:$A$13,0)),"Pick the HSN Code from the list",IF(AND(E939&lt;&gt;"",COUNTIFS($C$3:$C$1002,C939,$E$3:$E$1002,E939,$F$3:$F$1002,"&lt;&gt;"&amp;F939)+COUNTIFS($C$3:$C$1002,C939,$E$3:$E$1002,E939,$G$3:$G$1002,"&lt;&gt;"&amp;G939)&gt;0),"Design "&amp;E939&amp;" has another Product Type or Category on another row",IF(COUNTIFS($F$3:$F$1002,F939,$G$3:$G$1002,G939,$H$3:$H$1002,"&lt;&gt;"&amp;H939)&gt;0,F939&amp;" + "&amp;G939&amp;" has another HSN Code on another row",IF(AND(V939&lt;&gt;"",U939=""),"Received Qty needs the Vendor Invoice No",IF(AND(U939&lt;&gt;"",COUNTIFS(Bills!$B$3:$B$302,U939,Bills!$C$3:$C$302,C939)=0),"Add bill "&amp;U939&amp;" of "&amp;C939&amp;" on the Bills sheet",IF(S939&lt;R939,"MRP is below the Purchase Rate","OK")))))))))</f>
        <v/>
      </c>
      <c r="B939" s="29"/>
      <c r="C939" s="22"/>
      <c r="D939" s="22"/>
      <c r="E939" s="24"/>
      <c r="F939" s="22"/>
      <c r="G939" s="22"/>
      <c r="H939" s="22"/>
      <c r="I939" s="30" t="str">
        <f>IF(H939="","",IFERROR(INDEX(Codes!$B$2:$B$13,MATCH(H939,Codes!$A$2:$A$13,0)),""))</f>
        <v/>
      </c>
      <c r="J939" s="23"/>
      <c r="K939" s="23"/>
      <c r="L939" s="23"/>
      <c r="M939" s="23"/>
      <c r="N939" s="23"/>
      <c r="O939" s="23"/>
      <c r="P939" s="23"/>
      <c r="Q939" s="31"/>
      <c r="R939" s="32"/>
      <c r="S939" s="32"/>
      <c r="T939" s="33" t="str">
        <f t="shared" si="28"/>
        <v/>
      </c>
      <c r="U939" s="34"/>
      <c r="V939" s="35"/>
      <c r="W939" s="33" t="str">
        <f t="shared" si="29"/>
        <v/>
      </c>
    </row>
    <row r="940" spans="1:23" x14ac:dyDescent="0.35">
      <c r="A940" s="21" t="str">
        <f>IF(COUNTA(B940:H940,J940:S940,U940:V940)=0,"",IF((IF(B940="","PO Ref, ","")&amp;IF(C940="","Vendor, ","")&amp;IF(D940="","Store, ","")&amp;IF(F940="","Product Type, ","")&amp;IF(G940="","Category, ","")&amp;IF(H940="","HSN Code, ","")&amp;IF(Q940="","Qty, ","")&amp;IF(R940="","Purchase Rate, ","")&amp;IF(S940="","MRP, ",""))&lt;&gt;"","Missing: "&amp;LEFT(IF(B940="","PO Ref, ","")&amp;IF(C940="","Vendor, ","")&amp;IF(D940="","Store, ","")&amp;IF(F940="","Product Type, ","")&amp;IF(G940="","Category, ","")&amp;IF(H940="","HSN Code, ","")&amp;IF(Q940="","Qty, ","")&amp;IF(R940="","Purchase Rate, ","")&amp;IF(S940="","MRP, ",""),LEN(IF(B940="","PO Ref, ","")&amp;IF(C940="","Vendor, ","")&amp;IF(D940="","Store, ","")&amp;IF(F940="","Product Type, ","")&amp;IF(G940="","Category, ","")&amp;IF(H940="","HSN Code, ","")&amp;IF(Q940="","Qty, ","")&amp;IF(R940="","Purchase Rate, ","")&amp;IF(S940="","MRP, ",""))-2),IF(COUNTIF(Vendors!$B$3:$B$202,C940)=0,"Add vendor "&amp;C940&amp;" on the Vendors sheet",IF(ISNA(MATCH(H940,Codes!$A$2:$A$13,0)),"Pick the HSN Code from the list",IF(AND(E940&lt;&gt;"",COUNTIFS($C$3:$C$1002,C940,$E$3:$E$1002,E940,$F$3:$F$1002,"&lt;&gt;"&amp;F940)+COUNTIFS($C$3:$C$1002,C940,$E$3:$E$1002,E940,$G$3:$G$1002,"&lt;&gt;"&amp;G940)&gt;0),"Design "&amp;E940&amp;" has another Product Type or Category on another row",IF(COUNTIFS($F$3:$F$1002,F940,$G$3:$G$1002,G940,$H$3:$H$1002,"&lt;&gt;"&amp;H940)&gt;0,F940&amp;" + "&amp;G940&amp;" has another HSN Code on another row",IF(AND(V940&lt;&gt;"",U940=""),"Received Qty needs the Vendor Invoice No",IF(AND(U940&lt;&gt;"",COUNTIFS(Bills!$B$3:$B$302,U940,Bills!$C$3:$C$302,C940)=0),"Add bill "&amp;U940&amp;" of "&amp;C940&amp;" on the Bills sheet",IF(S940&lt;R940,"MRP is below the Purchase Rate","OK")))))))))</f>
        <v/>
      </c>
      <c r="B940" s="29"/>
      <c r="C940" s="22"/>
      <c r="D940" s="22"/>
      <c r="E940" s="24"/>
      <c r="F940" s="22"/>
      <c r="G940" s="22"/>
      <c r="H940" s="22"/>
      <c r="I940" s="30" t="str">
        <f>IF(H940="","",IFERROR(INDEX(Codes!$B$2:$B$13,MATCH(H940,Codes!$A$2:$A$13,0)),""))</f>
        <v/>
      </c>
      <c r="J940" s="23"/>
      <c r="K940" s="23"/>
      <c r="L940" s="23"/>
      <c r="M940" s="23"/>
      <c r="N940" s="23"/>
      <c r="O940" s="23"/>
      <c r="P940" s="23"/>
      <c r="Q940" s="31"/>
      <c r="R940" s="32"/>
      <c r="S940" s="32"/>
      <c r="T940" s="33" t="str">
        <f t="shared" si="28"/>
        <v/>
      </c>
      <c r="U940" s="34"/>
      <c r="V940" s="35"/>
      <c r="W940" s="33" t="str">
        <f t="shared" si="29"/>
        <v/>
      </c>
    </row>
    <row r="941" spans="1:23" x14ac:dyDescent="0.35">
      <c r="A941" s="21" t="str">
        <f>IF(COUNTA(B941:H941,J941:S941,U941:V941)=0,"",IF((IF(B941="","PO Ref, ","")&amp;IF(C941="","Vendor, ","")&amp;IF(D941="","Store, ","")&amp;IF(F941="","Product Type, ","")&amp;IF(G941="","Category, ","")&amp;IF(H941="","HSN Code, ","")&amp;IF(Q941="","Qty, ","")&amp;IF(R941="","Purchase Rate, ","")&amp;IF(S941="","MRP, ",""))&lt;&gt;"","Missing: "&amp;LEFT(IF(B941="","PO Ref, ","")&amp;IF(C941="","Vendor, ","")&amp;IF(D941="","Store, ","")&amp;IF(F941="","Product Type, ","")&amp;IF(G941="","Category, ","")&amp;IF(H941="","HSN Code, ","")&amp;IF(Q941="","Qty, ","")&amp;IF(R941="","Purchase Rate, ","")&amp;IF(S941="","MRP, ",""),LEN(IF(B941="","PO Ref, ","")&amp;IF(C941="","Vendor, ","")&amp;IF(D941="","Store, ","")&amp;IF(F941="","Product Type, ","")&amp;IF(G941="","Category, ","")&amp;IF(H941="","HSN Code, ","")&amp;IF(Q941="","Qty, ","")&amp;IF(R941="","Purchase Rate, ","")&amp;IF(S941="","MRP, ",""))-2),IF(COUNTIF(Vendors!$B$3:$B$202,C941)=0,"Add vendor "&amp;C941&amp;" on the Vendors sheet",IF(ISNA(MATCH(H941,Codes!$A$2:$A$13,0)),"Pick the HSN Code from the list",IF(AND(E941&lt;&gt;"",COUNTIFS($C$3:$C$1002,C941,$E$3:$E$1002,E941,$F$3:$F$1002,"&lt;&gt;"&amp;F941)+COUNTIFS($C$3:$C$1002,C941,$E$3:$E$1002,E941,$G$3:$G$1002,"&lt;&gt;"&amp;G941)&gt;0),"Design "&amp;E941&amp;" has another Product Type or Category on another row",IF(COUNTIFS($F$3:$F$1002,F941,$G$3:$G$1002,G941,$H$3:$H$1002,"&lt;&gt;"&amp;H941)&gt;0,F941&amp;" + "&amp;G941&amp;" has another HSN Code on another row",IF(AND(V941&lt;&gt;"",U941=""),"Received Qty needs the Vendor Invoice No",IF(AND(U941&lt;&gt;"",COUNTIFS(Bills!$B$3:$B$302,U941,Bills!$C$3:$C$302,C941)=0),"Add bill "&amp;U941&amp;" of "&amp;C941&amp;" on the Bills sheet",IF(S941&lt;R941,"MRP is below the Purchase Rate","OK")))))))))</f>
        <v/>
      </c>
      <c r="B941" s="29"/>
      <c r="C941" s="22"/>
      <c r="D941" s="22"/>
      <c r="E941" s="24"/>
      <c r="F941" s="22"/>
      <c r="G941" s="22"/>
      <c r="H941" s="22"/>
      <c r="I941" s="30" t="str">
        <f>IF(H941="","",IFERROR(INDEX(Codes!$B$2:$B$13,MATCH(H941,Codes!$A$2:$A$13,0)),""))</f>
        <v/>
      </c>
      <c r="J941" s="23"/>
      <c r="K941" s="23"/>
      <c r="L941" s="23"/>
      <c r="M941" s="23"/>
      <c r="N941" s="23"/>
      <c r="O941" s="23"/>
      <c r="P941" s="23"/>
      <c r="Q941" s="31"/>
      <c r="R941" s="32"/>
      <c r="S941" s="32"/>
      <c r="T941" s="33" t="str">
        <f t="shared" si="28"/>
        <v/>
      </c>
      <c r="U941" s="34"/>
      <c r="V941" s="35"/>
      <c r="W941" s="33" t="str">
        <f t="shared" si="29"/>
        <v/>
      </c>
    </row>
    <row r="942" spans="1:23" x14ac:dyDescent="0.35">
      <c r="A942" s="21" t="str">
        <f>IF(COUNTA(B942:H942,J942:S942,U942:V942)=0,"",IF((IF(B942="","PO Ref, ","")&amp;IF(C942="","Vendor, ","")&amp;IF(D942="","Store, ","")&amp;IF(F942="","Product Type, ","")&amp;IF(G942="","Category, ","")&amp;IF(H942="","HSN Code, ","")&amp;IF(Q942="","Qty, ","")&amp;IF(R942="","Purchase Rate, ","")&amp;IF(S942="","MRP, ",""))&lt;&gt;"","Missing: "&amp;LEFT(IF(B942="","PO Ref, ","")&amp;IF(C942="","Vendor, ","")&amp;IF(D942="","Store, ","")&amp;IF(F942="","Product Type, ","")&amp;IF(G942="","Category, ","")&amp;IF(H942="","HSN Code, ","")&amp;IF(Q942="","Qty, ","")&amp;IF(R942="","Purchase Rate, ","")&amp;IF(S942="","MRP, ",""),LEN(IF(B942="","PO Ref, ","")&amp;IF(C942="","Vendor, ","")&amp;IF(D942="","Store, ","")&amp;IF(F942="","Product Type, ","")&amp;IF(G942="","Category, ","")&amp;IF(H942="","HSN Code, ","")&amp;IF(Q942="","Qty, ","")&amp;IF(R942="","Purchase Rate, ","")&amp;IF(S942="","MRP, ",""))-2),IF(COUNTIF(Vendors!$B$3:$B$202,C942)=0,"Add vendor "&amp;C942&amp;" on the Vendors sheet",IF(ISNA(MATCH(H942,Codes!$A$2:$A$13,0)),"Pick the HSN Code from the list",IF(AND(E942&lt;&gt;"",COUNTIFS($C$3:$C$1002,C942,$E$3:$E$1002,E942,$F$3:$F$1002,"&lt;&gt;"&amp;F942)+COUNTIFS($C$3:$C$1002,C942,$E$3:$E$1002,E942,$G$3:$G$1002,"&lt;&gt;"&amp;G942)&gt;0),"Design "&amp;E942&amp;" has another Product Type or Category on another row",IF(COUNTIFS($F$3:$F$1002,F942,$G$3:$G$1002,G942,$H$3:$H$1002,"&lt;&gt;"&amp;H942)&gt;0,F942&amp;" + "&amp;G942&amp;" has another HSN Code on another row",IF(AND(V942&lt;&gt;"",U942=""),"Received Qty needs the Vendor Invoice No",IF(AND(U942&lt;&gt;"",COUNTIFS(Bills!$B$3:$B$302,U942,Bills!$C$3:$C$302,C942)=0),"Add bill "&amp;U942&amp;" of "&amp;C942&amp;" on the Bills sheet",IF(S942&lt;R942,"MRP is below the Purchase Rate","OK")))))))))</f>
        <v/>
      </c>
      <c r="B942" s="29"/>
      <c r="C942" s="22"/>
      <c r="D942" s="22"/>
      <c r="E942" s="24"/>
      <c r="F942" s="22"/>
      <c r="G942" s="22"/>
      <c r="H942" s="22"/>
      <c r="I942" s="30" t="str">
        <f>IF(H942="","",IFERROR(INDEX(Codes!$B$2:$B$13,MATCH(H942,Codes!$A$2:$A$13,0)),""))</f>
        <v/>
      </c>
      <c r="J942" s="23"/>
      <c r="K942" s="23"/>
      <c r="L942" s="23"/>
      <c r="M942" s="23"/>
      <c r="N942" s="23"/>
      <c r="O942" s="23"/>
      <c r="P942" s="23"/>
      <c r="Q942" s="31"/>
      <c r="R942" s="32"/>
      <c r="S942" s="32"/>
      <c r="T942" s="33" t="str">
        <f t="shared" si="28"/>
        <v/>
      </c>
      <c r="U942" s="34"/>
      <c r="V942" s="35"/>
      <c r="W942" s="33" t="str">
        <f t="shared" si="29"/>
        <v/>
      </c>
    </row>
    <row r="943" spans="1:23" x14ac:dyDescent="0.35">
      <c r="A943" s="21" t="str">
        <f>IF(COUNTA(B943:H943,J943:S943,U943:V943)=0,"",IF((IF(B943="","PO Ref, ","")&amp;IF(C943="","Vendor, ","")&amp;IF(D943="","Store, ","")&amp;IF(F943="","Product Type, ","")&amp;IF(G943="","Category, ","")&amp;IF(H943="","HSN Code, ","")&amp;IF(Q943="","Qty, ","")&amp;IF(R943="","Purchase Rate, ","")&amp;IF(S943="","MRP, ",""))&lt;&gt;"","Missing: "&amp;LEFT(IF(B943="","PO Ref, ","")&amp;IF(C943="","Vendor, ","")&amp;IF(D943="","Store, ","")&amp;IF(F943="","Product Type, ","")&amp;IF(G943="","Category, ","")&amp;IF(H943="","HSN Code, ","")&amp;IF(Q943="","Qty, ","")&amp;IF(R943="","Purchase Rate, ","")&amp;IF(S943="","MRP, ",""),LEN(IF(B943="","PO Ref, ","")&amp;IF(C943="","Vendor, ","")&amp;IF(D943="","Store, ","")&amp;IF(F943="","Product Type, ","")&amp;IF(G943="","Category, ","")&amp;IF(H943="","HSN Code, ","")&amp;IF(Q943="","Qty, ","")&amp;IF(R943="","Purchase Rate, ","")&amp;IF(S943="","MRP, ",""))-2),IF(COUNTIF(Vendors!$B$3:$B$202,C943)=0,"Add vendor "&amp;C943&amp;" on the Vendors sheet",IF(ISNA(MATCH(H943,Codes!$A$2:$A$13,0)),"Pick the HSN Code from the list",IF(AND(E943&lt;&gt;"",COUNTIFS($C$3:$C$1002,C943,$E$3:$E$1002,E943,$F$3:$F$1002,"&lt;&gt;"&amp;F943)+COUNTIFS($C$3:$C$1002,C943,$E$3:$E$1002,E943,$G$3:$G$1002,"&lt;&gt;"&amp;G943)&gt;0),"Design "&amp;E943&amp;" has another Product Type or Category on another row",IF(COUNTIFS($F$3:$F$1002,F943,$G$3:$G$1002,G943,$H$3:$H$1002,"&lt;&gt;"&amp;H943)&gt;0,F943&amp;" + "&amp;G943&amp;" has another HSN Code on another row",IF(AND(V943&lt;&gt;"",U943=""),"Received Qty needs the Vendor Invoice No",IF(AND(U943&lt;&gt;"",COUNTIFS(Bills!$B$3:$B$302,U943,Bills!$C$3:$C$302,C943)=0),"Add bill "&amp;U943&amp;" of "&amp;C943&amp;" on the Bills sheet",IF(S943&lt;R943,"MRP is below the Purchase Rate","OK")))))))))</f>
        <v/>
      </c>
      <c r="B943" s="29"/>
      <c r="C943" s="22"/>
      <c r="D943" s="22"/>
      <c r="E943" s="24"/>
      <c r="F943" s="22"/>
      <c r="G943" s="22"/>
      <c r="H943" s="22"/>
      <c r="I943" s="30" t="str">
        <f>IF(H943="","",IFERROR(INDEX(Codes!$B$2:$B$13,MATCH(H943,Codes!$A$2:$A$13,0)),""))</f>
        <v/>
      </c>
      <c r="J943" s="23"/>
      <c r="K943" s="23"/>
      <c r="L943" s="23"/>
      <c r="M943" s="23"/>
      <c r="N943" s="23"/>
      <c r="O943" s="23"/>
      <c r="P943" s="23"/>
      <c r="Q943" s="31"/>
      <c r="R943" s="32"/>
      <c r="S943" s="32"/>
      <c r="T943" s="33" t="str">
        <f t="shared" si="28"/>
        <v/>
      </c>
      <c r="U943" s="34"/>
      <c r="V943" s="35"/>
      <c r="W943" s="33" t="str">
        <f t="shared" si="29"/>
        <v/>
      </c>
    </row>
    <row r="944" spans="1:23" x14ac:dyDescent="0.35">
      <c r="A944" s="21" t="str">
        <f>IF(COUNTA(B944:H944,J944:S944,U944:V944)=0,"",IF((IF(B944="","PO Ref, ","")&amp;IF(C944="","Vendor, ","")&amp;IF(D944="","Store, ","")&amp;IF(F944="","Product Type, ","")&amp;IF(G944="","Category, ","")&amp;IF(H944="","HSN Code, ","")&amp;IF(Q944="","Qty, ","")&amp;IF(R944="","Purchase Rate, ","")&amp;IF(S944="","MRP, ",""))&lt;&gt;"","Missing: "&amp;LEFT(IF(B944="","PO Ref, ","")&amp;IF(C944="","Vendor, ","")&amp;IF(D944="","Store, ","")&amp;IF(F944="","Product Type, ","")&amp;IF(G944="","Category, ","")&amp;IF(H944="","HSN Code, ","")&amp;IF(Q944="","Qty, ","")&amp;IF(R944="","Purchase Rate, ","")&amp;IF(S944="","MRP, ",""),LEN(IF(B944="","PO Ref, ","")&amp;IF(C944="","Vendor, ","")&amp;IF(D944="","Store, ","")&amp;IF(F944="","Product Type, ","")&amp;IF(G944="","Category, ","")&amp;IF(H944="","HSN Code, ","")&amp;IF(Q944="","Qty, ","")&amp;IF(R944="","Purchase Rate, ","")&amp;IF(S944="","MRP, ",""))-2),IF(COUNTIF(Vendors!$B$3:$B$202,C944)=0,"Add vendor "&amp;C944&amp;" on the Vendors sheet",IF(ISNA(MATCH(H944,Codes!$A$2:$A$13,0)),"Pick the HSN Code from the list",IF(AND(E944&lt;&gt;"",COUNTIFS($C$3:$C$1002,C944,$E$3:$E$1002,E944,$F$3:$F$1002,"&lt;&gt;"&amp;F944)+COUNTIFS($C$3:$C$1002,C944,$E$3:$E$1002,E944,$G$3:$G$1002,"&lt;&gt;"&amp;G944)&gt;0),"Design "&amp;E944&amp;" has another Product Type or Category on another row",IF(COUNTIFS($F$3:$F$1002,F944,$G$3:$G$1002,G944,$H$3:$H$1002,"&lt;&gt;"&amp;H944)&gt;0,F944&amp;" + "&amp;G944&amp;" has another HSN Code on another row",IF(AND(V944&lt;&gt;"",U944=""),"Received Qty needs the Vendor Invoice No",IF(AND(U944&lt;&gt;"",COUNTIFS(Bills!$B$3:$B$302,U944,Bills!$C$3:$C$302,C944)=0),"Add bill "&amp;U944&amp;" of "&amp;C944&amp;" on the Bills sheet",IF(S944&lt;R944,"MRP is below the Purchase Rate","OK")))))))))</f>
        <v/>
      </c>
      <c r="B944" s="29"/>
      <c r="C944" s="22"/>
      <c r="D944" s="22"/>
      <c r="E944" s="24"/>
      <c r="F944" s="22"/>
      <c r="G944" s="22"/>
      <c r="H944" s="22"/>
      <c r="I944" s="30" t="str">
        <f>IF(H944="","",IFERROR(INDEX(Codes!$B$2:$B$13,MATCH(H944,Codes!$A$2:$A$13,0)),""))</f>
        <v/>
      </c>
      <c r="J944" s="23"/>
      <c r="K944" s="23"/>
      <c r="L944" s="23"/>
      <c r="M944" s="23"/>
      <c r="N944" s="23"/>
      <c r="O944" s="23"/>
      <c r="P944" s="23"/>
      <c r="Q944" s="31"/>
      <c r="R944" s="32"/>
      <c r="S944" s="32"/>
      <c r="T944" s="33" t="str">
        <f t="shared" si="28"/>
        <v/>
      </c>
      <c r="U944" s="34"/>
      <c r="V944" s="35"/>
      <c r="W944" s="33" t="str">
        <f t="shared" si="29"/>
        <v/>
      </c>
    </row>
    <row r="945" spans="1:23" x14ac:dyDescent="0.35">
      <c r="A945" s="21" t="str">
        <f>IF(COUNTA(B945:H945,J945:S945,U945:V945)=0,"",IF((IF(B945="","PO Ref, ","")&amp;IF(C945="","Vendor, ","")&amp;IF(D945="","Store, ","")&amp;IF(F945="","Product Type, ","")&amp;IF(G945="","Category, ","")&amp;IF(H945="","HSN Code, ","")&amp;IF(Q945="","Qty, ","")&amp;IF(R945="","Purchase Rate, ","")&amp;IF(S945="","MRP, ",""))&lt;&gt;"","Missing: "&amp;LEFT(IF(B945="","PO Ref, ","")&amp;IF(C945="","Vendor, ","")&amp;IF(D945="","Store, ","")&amp;IF(F945="","Product Type, ","")&amp;IF(G945="","Category, ","")&amp;IF(H945="","HSN Code, ","")&amp;IF(Q945="","Qty, ","")&amp;IF(R945="","Purchase Rate, ","")&amp;IF(S945="","MRP, ",""),LEN(IF(B945="","PO Ref, ","")&amp;IF(C945="","Vendor, ","")&amp;IF(D945="","Store, ","")&amp;IF(F945="","Product Type, ","")&amp;IF(G945="","Category, ","")&amp;IF(H945="","HSN Code, ","")&amp;IF(Q945="","Qty, ","")&amp;IF(R945="","Purchase Rate, ","")&amp;IF(S945="","MRP, ",""))-2),IF(COUNTIF(Vendors!$B$3:$B$202,C945)=0,"Add vendor "&amp;C945&amp;" on the Vendors sheet",IF(ISNA(MATCH(H945,Codes!$A$2:$A$13,0)),"Pick the HSN Code from the list",IF(AND(E945&lt;&gt;"",COUNTIFS($C$3:$C$1002,C945,$E$3:$E$1002,E945,$F$3:$F$1002,"&lt;&gt;"&amp;F945)+COUNTIFS($C$3:$C$1002,C945,$E$3:$E$1002,E945,$G$3:$G$1002,"&lt;&gt;"&amp;G945)&gt;0),"Design "&amp;E945&amp;" has another Product Type or Category on another row",IF(COUNTIFS($F$3:$F$1002,F945,$G$3:$G$1002,G945,$H$3:$H$1002,"&lt;&gt;"&amp;H945)&gt;0,F945&amp;" + "&amp;G945&amp;" has another HSN Code on another row",IF(AND(V945&lt;&gt;"",U945=""),"Received Qty needs the Vendor Invoice No",IF(AND(U945&lt;&gt;"",COUNTIFS(Bills!$B$3:$B$302,U945,Bills!$C$3:$C$302,C945)=0),"Add bill "&amp;U945&amp;" of "&amp;C945&amp;" on the Bills sheet",IF(S945&lt;R945,"MRP is below the Purchase Rate","OK")))))))))</f>
        <v/>
      </c>
      <c r="B945" s="29"/>
      <c r="C945" s="22"/>
      <c r="D945" s="22"/>
      <c r="E945" s="24"/>
      <c r="F945" s="22"/>
      <c r="G945" s="22"/>
      <c r="H945" s="22"/>
      <c r="I945" s="30" t="str">
        <f>IF(H945="","",IFERROR(INDEX(Codes!$B$2:$B$13,MATCH(H945,Codes!$A$2:$A$13,0)),""))</f>
        <v/>
      </c>
      <c r="J945" s="23"/>
      <c r="K945" s="23"/>
      <c r="L945" s="23"/>
      <c r="M945" s="23"/>
      <c r="N945" s="23"/>
      <c r="O945" s="23"/>
      <c r="P945" s="23"/>
      <c r="Q945" s="31"/>
      <c r="R945" s="32"/>
      <c r="S945" s="32"/>
      <c r="T945" s="33" t="str">
        <f t="shared" si="28"/>
        <v/>
      </c>
      <c r="U945" s="34"/>
      <c r="V945" s="35"/>
      <c r="W945" s="33" t="str">
        <f t="shared" si="29"/>
        <v/>
      </c>
    </row>
    <row r="946" spans="1:23" x14ac:dyDescent="0.35">
      <c r="A946" s="21" t="str">
        <f>IF(COUNTA(B946:H946,J946:S946,U946:V946)=0,"",IF((IF(B946="","PO Ref, ","")&amp;IF(C946="","Vendor, ","")&amp;IF(D946="","Store, ","")&amp;IF(F946="","Product Type, ","")&amp;IF(G946="","Category, ","")&amp;IF(H946="","HSN Code, ","")&amp;IF(Q946="","Qty, ","")&amp;IF(R946="","Purchase Rate, ","")&amp;IF(S946="","MRP, ",""))&lt;&gt;"","Missing: "&amp;LEFT(IF(B946="","PO Ref, ","")&amp;IF(C946="","Vendor, ","")&amp;IF(D946="","Store, ","")&amp;IF(F946="","Product Type, ","")&amp;IF(G946="","Category, ","")&amp;IF(H946="","HSN Code, ","")&amp;IF(Q946="","Qty, ","")&amp;IF(R946="","Purchase Rate, ","")&amp;IF(S946="","MRP, ",""),LEN(IF(B946="","PO Ref, ","")&amp;IF(C946="","Vendor, ","")&amp;IF(D946="","Store, ","")&amp;IF(F946="","Product Type, ","")&amp;IF(G946="","Category, ","")&amp;IF(H946="","HSN Code, ","")&amp;IF(Q946="","Qty, ","")&amp;IF(R946="","Purchase Rate, ","")&amp;IF(S946="","MRP, ",""))-2),IF(COUNTIF(Vendors!$B$3:$B$202,C946)=0,"Add vendor "&amp;C946&amp;" on the Vendors sheet",IF(ISNA(MATCH(H946,Codes!$A$2:$A$13,0)),"Pick the HSN Code from the list",IF(AND(E946&lt;&gt;"",COUNTIFS($C$3:$C$1002,C946,$E$3:$E$1002,E946,$F$3:$F$1002,"&lt;&gt;"&amp;F946)+COUNTIFS($C$3:$C$1002,C946,$E$3:$E$1002,E946,$G$3:$G$1002,"&lt;&gt;"&amp;G946)&gt;0),"Design "&amp;E946&amp;" has another Product Type or Category on another row",IF(COUNTIFS($F$3:$F$1002,F946,$G$3:$G$1002,G946,$H$3:$H$1002,"&lt;&gt;"&amp;H946)&gt;0,F946&amp;" + "&amp;G946&amp;" has another HSN Code on another row",IF(AND(V946&lt;&gt;"",U946=""),"Received Qty needs the Vendor Invoice No",IF(AND(U946&lt;&gt;"",COUNTIFS(Bills!$B$3:$B$302,U946,Bills!$C$3:$C$302,C946)=0),"Add bill "&amp;U946&amp;" of "&amp;C946&amp;" on the Bills sheet",IF(S946&lt;R946,"MRP is below the Purchase Rate","OK")))))))))</f>
        <v/>
      </c>
      <c r="B946" s="29"/>
      <c r="C946" s="22"/>
      <c r="D946" s="22"/>
      <c r="E946" s="24"/>
      <c r="F946" s="22"/>
      <c r="G946" s="22"/>
      <c r="H946" s="22"/>
      <c r="I946" s="30" t="str">
        <f>IF(H946="","",IFERROR(INDEX(Codes!$B$2:$B$13,MATCH(H946,Codes!$A$2:$A$13,0)),""))</f>
        <v/>
      </c>
      <c r="J946" s="23"/>
      <c r="K946" s="23"/>
      <c r="L946" s="23"/>
      <c r="M946" s="23"/>
      <c r="N946" s="23"/>
      <c r="O946" s="23"/>
      <c r="P946" s="23"/>
      <c r="Q946" s="31"/>
      <c r="R946" s="32"/>
      <c r="S946" s="32"/>
      <c r="T946" s="33" t="str">
        <f t="shared" si="28"/>
        <v/>
      </c>
      <c r="U946" s="34"/>
      <c r="V946" s="35"/>
      <c r="W946" s="33" t="str">
        <f t="shared" si="29"/>
        <v/>
      </c>
    </row>
    <row r="947" spans="1:23" x14ac:dyDescent="0.35">
      <c r="A947" s="21" t="str">
        <f>IF(COUNTA(B947:H947,J947:S947,U947:V947)=0,"",IF((IF(B947="","PO Ref, ","")&amp;IF(C947="","Vendor, ","")&amp;IF(D947="","Store, ","")&amp;IF(F947="","Product Type, ","")&amp;IF(G947="","Category, ","")&amp;IF(H947="","HSN Code, ","")&amp;IF(Q947="","Qty, ","")&amp;IF(R947="","Purchase Rate, ","")&amp;IF(S947="","MRP, ",""))&lt;&gt;"","Missing: "&amp;LEFT(IF(B947="","PO Ref, ","")&amp;IF(C947="","Vendor, ","")&amp;IF(D947="","Store, ","")&amp;IF(F947="","Product Type, ","")&amp;IF(G947="","Category, ","")&amp;IF(H947="","HSN Code, ","")&amp;IF(Q947="","Qty, ","")&amp;IF(R947="","Purchase Rate, ","")&amp;IF(S947="","MRP, ",""),LEN(IF(B947="","PO Ref, ","")&amp;IF(C947="","Vendor, ","")&amp;IF(D947="","Store, ","")&amp;IF(F947="","Product Type, ","")&amp;IF(G947="","Category, ","")&amp;IF(H947="","HSN Code, ","")&amp;IF(Q947="","Qty, ","")&amp;IF(R947="","Purchase Rate, ","")&amp;IF(S947="","MRP, ",""))-2),IF(COUNTIF(Vendors!$B$3:$B$202,C947)=0,"Add vendor "&amp;C947&amp;" on the Vendors sheet",IF(ISNA(MATCH(H947,Codes!$A$2:$A$13,0)),"Pick the HSN Code from the list",IF(AND(E947&lt;&gt;"",COUNTIFS($C$3:$C$1002,C947,$E$3:$E$1002,E947,$F$3:$F$1002,"&lt;&gt;"&amp;F947)+COUNTIFS($C$3:$C$1002,C947,$E$3:$E$1002,E947,$G$3:$G$1002,"&lt;&gt;"&amp;G947)&gt;0),"Design "&amp;E947&amp;" has another Product Type or Category on another row",IF(COUNTIFS($F$3:$F$1002,F947,$G$3:$G$1002,G947,$H$3:$H$1002,"&lt;&gt;"&amp;H947)&gt;0,F947&amp;" + "&amp;G947&amp;" has another HSN Code on another row",IF(AND(V947&lt;&gt;"",U947=""),"Received Qty needs the Vendor Invoice No",IF(AND(U947&lt;&gt;"",COUNTIFS(Bills!$B$3:$B$302,U947,Bills!$C$3:$C$302,C947)=0),"Add bill "&amp;U947&amp;" of "&amp;C947&amp;" on the Bills sheet",IF(S947&lt;R947,"MRP is below the Purchase Rate","OK")))))))))</f>
        <v/>
      </c>
      <c r="B947" s="29"/>
      <c r="C947" s="22"/>
      <c r="D947" s="22"/>
      <c r="E947" s="24"/>
      <c r="F947" s="22"/>
      <c r="G947" s="22"/>
      <c r="H947" s="22"/>
      <c r="I947" s="30" t="str">
        <f>IF(H947="","",IFERROR(INDEX(Codes!$B$2:$B$13,MATCH(H947,Codes!$A$2:$A$13,0)),""))</f>
        <v/>
      </c>
      <c r="J947" s="23"/>
      <c r="K947" s="23"/>
      <c r="L947" s="23"/>
      <c r="M947" s="23"/>
      <c r="N947" s="23"/>
      <c r="O947" s="23"/>
      <c r="P947" s="23"/>
      <c r="Q947" s="31"/>
      <c r="R947" s="32"/>
      <c r="S947" s="32"/>
      <c r="T947" s="33" t="str">
        <f t="shared" si="28"/>
        <v/>
      </c>
      <c r="U947" s="34"/>
      <c r="V947" s="35"/>
      <c r="W947" s="33" t="str">
        <f t="shared" si="29"/>
        <v/>
      </c>
    </row>
    <row r="948" spans="1:23" x14ac:dyDescent="0.35">
      <c r="A948" s="21" t="str">
        <f>IF(COUNTA(B948:H948,J948:S948,U948:V948)=0,"",IF((IF(B948="","PO Ref, ","")&amp;IF(C948="","Vendor, ","")&amp;IF(D948="","Store, ","")&amp;IF(F948="","Product Type, ","")&amp;IF(G948="","Category, ","")&amp;IF(H948="","HSN Code, ","")&amp;IF(Q948="","Qty, ","")&amp;IF(R948="","Purchase Rate, ","")&amp;IF(S948="","MRP, ",""))&lt;&gt;"","Missing: "&amp;LEFT(IF(B948="","PO Ref, ","")&amp;IF(C948="","Vendor, ","")&amp;IF(D948="","Store, ","")&amp;IF(F948="","Product Type, ","")&amp;IF(G948="","Category, ","")&amp;IF(H948="","HSN Code, ","")&amp;IF(Q948="","Qty, ","")&amp;IF(R948="","Purchase Rate, ","")&amp;IF(S948="","MRP, ",""),LEN(IF(B948="","PO Ref, ","")&amp;IF(C948="","Vendor, ","")&amp;IF(D948="","Store, ","")&amp;IF(F948="","Product Type, ","")&amp;IF(G948="","Category, ","")&amp;IF(H948="","HSN Code, ","")&amp;IF(Q948="","Qty, ","")&amp;IF(R948="","Purchase Rate, ","")&amp;IF(S948="","MRP, ",""))-2),IF(COUNTIF(Vendors!$B$3:$B$202,C948)=0,"Add vendor "&amp;C948&amp;" on the Vendors sheet",IF(ISNA(MATCH(H948,Codes!$A$2:$A$13,0)),"Pick the HSN Code from the list",IF(AND(E948&lt;&gt;"",COUNTIFS($C$3:$C$1002,C948,$E$3:$E$1002,E948,$F$3:$F$1002,"&lt;&gt;"&amp;F948)+COUNTIFS($C$3:$C$1002,C948,$E$3:$E$1002,E948,$G$3:$G$1002,"&lt;&gt;"&amp;G948)&gt;0),"Design "&amp;E948&amp;" has another Product Type or Category on another row",IF(COUNTIFS($F$3:$F$1002,F948,$G$3:$G$1002,G948,$H$3:$H$1002,"&lt;&gt;"&amp;H948)&gt;0,F948&amp;" + "&amp;G948&amp;" has another HSN Code on another row",IF(AND(V948&lt;&gt;"",U948=""),"Received Qty needs the Vendor Invoice No",IF(AND(U948&lt;&gt;"",COUNTIFS(Bills!$B$3:$B$302,U948,Bills!$C$3:$C$302,C948)=0),"Add bill "&amp;U948&amp;" of "&amp;C948&amp;" on the Bills sheet",IF(S948&lt;R948,"MRP is below the Purchase Rate","OK")))))))))</f>
        <v/>
      </c>
      <c r="B948" s="29"/>
      <c r="C948" s="22"/>
      <c r="D948" s="22"/>
      <c r="E948" s="24"/>
      <c r="F948" s="22"/>
      <c r="G948" s="22"/>
      <c r="H948" s="22"/>
      <c r="I948" s="30" t="str">
        <f>IF(H948="","",IFERROR(INDEX(Codes!$B$2:$B$13,MATCH(H948,Codes!$A$2:$A$13,0)),""))</f>
        <v/>
      </c>
      <c r="J948" s="23"/>
      <c r="K948" s="23"/>
      <c r="L948" s="23"/>
      <c r="M948" s="23"/>
      <c r="N948" s="23"/>
      <c r="O948" s="23"/>
      <c r="P948" s="23"/>
      <c r="Q948" s="31"/>
      <c r="R948" s="32"/>
      <c r="S948" s="32"/>
      <c r="T948" s="33" t="str">
        <f t="shared" si="28"/>
        <v/>
      </c>
      <c r="U948" s="34"/>
      <c r="V948" s="35"/>
      <c r="W948" s="33" t="str">
        <f t="shared" si="29"/>
        <v/>
      </c>
    </row>
    <row r="949" spans="1:23" x14ac:dyDescent="0.35">
      <c r="A949" s="21" t="str">
        <f>IF(COUNTA(B949:H949,J949:S949,U949:V949)=0,"",IF((IF(B949="","PO Ref, ","")&amp;IF(C949="","Vendor, ","")&amp;IF(D949="","Store, ","")&amp;IF(F949="","Product Type, ","")&amp;IF(G949="","Category, ","")&amp;IF(H949="","HSN Code, ","")&amp;IF(Q949="","Qty, ","")&amp;IF(R949="","Purchase Rate, ","")&amp;IF(S949="","MRP, ",""))&lt;&gt;"","Missing: "&amp;LEFT(IF(B949="","PO Ref, ","")&amp;IF(C949="","Vendor, ","")&amp;IF(D949="","Store, ","")&amp;IF(F949="","Product Type, ","")&amp;IF(G949="","Category, ","")&amp;IF(H949="","HSN Code, ","")&amp;IF(Q949="","Qty, ","")&amp;IF(R949="","Purchase Rate, ","")&amp;IF(S949="","MRP, ",""),LEN(IF(B949="","PO Ref, ","")&amp;IF(C949="","Vendor, ","")&amp;IF(D949="","Store, ","")&amp;IF(F949="","Product Type, ","")&amp;IF(G949="","Category, ","")&amp;IF(H949="","HSN Code, ","")&amp;IF(Q949="","Qty, ","")&amp;IF(R949="","Purchase Rate, ","")&amp;IF(S949="","MRP, ",""))-2),IF(COUNTIF(Vendors!$B$3:$B$202,C949)=0,"Add vendor "&amp;C949&amp;" on the Vendors sheet",IF(ISNA(MATCH(H949,Codes!$A$2:$A$13,0)),"Pick the HSN Code from the list",IF(AND(E949&lt;&gt;"",COUNTIFS($C$3:$C$1002,C949,$E$3:$E$1002,E949,$F$3:$F$1002,"&lt;&gt;"&amp;F949)+COUNTIFS($C$3:$C$1002,C949,$E$3:$E$1002,E949,$G$3:$G$1002,"&lt;&gt;"&amp;G949)&gt;0),"Design "&amp;E949&amp;" has another Product Type or Category on another row",IF(COUNTIFS($F$3:$F$1002,F949,$G$3:$G$1002,G949,$H$3:$H$1002,"&lt;&gt;"&amp;H949)&gt;0,F949&amp;" + "&amp;G949&amp;" has another HSN Code on another row",IF(AND(V949&lt;&gt;"",U949=""),"Received Qty needs the Vendor Invoice No",IF(AND(U949&lt;&gt;"",COUNTIFS(Bills!$B$3:$B$302,U949,Bills!$C$3:$C$302,C949)=0),"Add bill "&amp;U949&amp;" of "&amp;C949&amp;" on the Bills sheet",IF(S949&lt;R949,"MRP is below the Purchase Rate","OK")))))))))</f>
        <v/>
      </c>
      <c r="B949" s="29"/>
      <c r="C949" s="22"/>
      <c r="D949" s="22"/>
      <c r="E949" s="24"/>
      <c r="F949" s="22"/>
      <c r="G949" s="22"/>
      <c r="H949" s="22"/>
      <c r="I949" s="30" t="str">
        <f>IF(H949="","",IFERROR(INDEX(Codes!$B$2:$B$13,MATCH(H949,Codes!$A$2:$A$13,0)),""))</f>
        <v/>
      </c>
      <c r="J949" s="23"/>
      <c r="K949" s="23"/>
      <c r="L949" s="23"/>
      <c r="M949" s="23"/>
      <c r="N949" s="23"/>
      <c r="O949" s="23"/>
      <c r="P949" s="23"/>
      <c r="Q949" s="31"/>
      <c r="R949" s="32"/>
      <c r="S949" s="32"/>
      <c r="T949" s="33" t="str">
        <f t="shared" si="28"/>
        <v/>
      </c>
      <c r="U949" s="34"/>
      <c r="V949" s="35"/>
      <c r="W949" s="33" t="str">
        <f t="shared" si="29"/>
        <v/>
      </c>
    </row>
    <row r="950" spans="1:23" x14ac:dyDescent="0.35">
      <c r="A950" s="21" t="str">
        <f>IF(COUNTA(B950:H950,J950:S950,U950:V950)=0,"",IF((IF(B950="","PO Ref, ","")&amp;IF(C950="","Vendor, ","")&amp;IF(D950="","Store, ","")&amp;IF(F950="","Product Type, ","")&amp;IF(G950="","Category, ","")&amp;IF(H950="","HSN Code, ","")&amp;IF(Q950="","Qty, ","")&amp;IF(R950="","Purchase Rate, ","")&amp;IF(S950="","MRP, ",""))&lt;&gt;"","Missing: "&amp;LEFT(IF(B950="","PO Ref, ","")&amp;IF(C950="","Vendor, ","")&amp;IF(D950="","Store, ","")&amp;IF(F950="","Product Type, ","")&amp;IF(G950="","Category, ","")&amp;IF(H950="","HSN Code, ","")&amp;IF(Q950="","Qty, ","")&amp;IF(R950="","Purchase Rate, ","")&amp;IF(S950="","MRP, ",""),LEN(IF(B950="","PO Ref, ","")&amp;IF(C950="","Vendor, ","")&amp;IF(D950="","Store, ","")&amp;IF(F950="","Product Type, ","")&amp;IF(G950="","Category, ","")&amp;IF(H950="","HSN Code, ","")&amp;IF(Q950="","Qty, ","")&amp;IF(R950="","Purchase Rate, ","")&amp;IF(S950="","MRP, ",""))-2),IF(COUNTIF(Vendors!$B$3:$B$202,C950)=0,"Add vendor "&amp;C950&amp;" on the Vendors sheet",IF(ISNA(MATCH(H950,Codes!$A$2:$A$13,0)),"Pick the HSN Code from the list",IF(AND(E950&lt;&gt;"",COUNTIFS($C$3:$C$1002,C950,$E$3:$E$1002,E950,$F$3:$F$1002,"&lt;&gt;"&amp;F950)+COUNTIFS($C$3:$C$1002,C950,$E$3:$E$1002,E950,$G$3:$G$1002,"&lt;&gt;"&amp;G950)&gt;0),"Design "&amp;E950&amp;" has another Product Type or Category on another row",IF(COUNTIFS($F$3:$F$1002,F950,$G$3:$G$1002,G950,$H$3:$H$1002,"&lt;&gt;"&amp;H950)&gt;0,F950&amp;" + "&amp;G950&amp;" has another HSN Code on another row",IF(AND(V950&lt;&gt;"",U950=""),"Received Qty needs the Vendor Invoice No",IF(AND(U950&lt;&gt;"",COUNTIFS(Bills!$B$3:$B$302,U950,Bills!$C$3:$C$302,C950)=0),"Add bill "&amp;U950&amp;" of "&amp;C950&amp;" on the Bills sheet",IF(S950&lt;R950,"MRP is below the Purchase Rate","OK")))))))))</f>
        <v/>
      </c>
      <c r="B950" s="29"/>
      <c r="C950" s="22"/>
      <c r="D950" s="22"/>
      <c r="E950" s="24"/>
      <c r="F950" s="22"/>
      <c r="G950" s="22"/>
      <c r="H950" s="22"/>
      <c r="I950" s="30" t="str">
        <f>IF(H950="","",IFERROR(INDEX(Codes!$B$2:$B$13,MATCH(H950,Codes!$A$2:$A$13,0)),""))</f>
        <v/>
      </c>
      <c r="J950" s="23"/>
      <c r="K950" s="23"/>
      <c r="L950" s="23"/>
      <c r="M950" s="23"/>
      <c r="N950" s="23"/>
      <c r="O950" s="23"/>
      <c r="P950" s="23"/>
      <c r="Q950" s="31"/>
      <c r="R950" s="32"/>
      <c r="S950" s="32"/>
      <c r="T950" s="33" t="str">
        <f t="shared" si="28"/>
        <v/>
      </c>
      <c r="U950" s="34"/>
      <c r="V950" s="35"/>
      <c r="W950" s="33" t="str">
        <f t="shared" si="29"/>
        <v/>
      </c>
    </row>
    <row r="951" spans="1:23" x14ac:dyDescent="0.35">
      <c r="A951" s="21" t="str">
        <f>IF(COUNTA(B951:H951,J951:S951,U951:V951)=0,"",IF((IF(B951="","PO Ref, ","")&amp;IF(C951="","Vendor, ","")&amp;IF(D951="","Store, ","")&amp;IF(F951="","Product Type, ","")&amp;IF(G951="","Category, ","")&amp;IF(H951="","HSN Code, ","")&amp;IF(Q951="","Qty, ","")&amp;IF(R951="","Purchase Rate, ","")&amp;IF(S951="","MRP, ",""))&lt;&gt;"","Missing: "&amp;LEFT(IF(B951="","PO Ref, ","")&amp;IF(C951="","Vendor, ","")&amp;IF(D951="","Store, ","")&amp;IF(F951="","Product Type, ","")&amp;IF(G951="","Category, ","")&amp;IF(H951="","HSN Code, ","")&amp;IF(Q951="","Qty, ","")&amp;IF(R951="","Purchase Rate, ","")&amp;IF(S951="","MRP, ",""),LEN(IF(B951="","PO Ref, ","")&amp;IF(C951="","Vendor, ","")&amp;IF(D951="","Store, ","")&amp;IF(F951="","Product Type, ","")&amp;IF(G951="","Category, ","")&amp;IF(H951="","HSN Code, ","")&amp;IF(Q951="","Qty, ","")&amp;IF(R951="","Purchase Rate, ","")&amp;IF(S951="","MRP, ",""))-2),IF(COUNTIF(Vendors!$B$3:$B$202,C951)=0,"Add vendor "&amp;C951&amp;" on the Vendors sheet",IF(ISNA(MATCH(H951,Codes!$A$2:$A$13,0)),"Pick the HSN Code from the list",IF(AND(E951&lt;&gt;"",COUNTIFS($C$3:$C$1002,C951,$E$3:$E$1002,E951,$F$3:$F$1002,"&lt;&gt;"&amp;F951)+COUNTIFS($C$3:$C$1002,C951,$E$3:$E$1002,E951,$G$3:$G$1002,"&lt;&gt;"&amp;G951)&gt;0),"Design "&amp;E951&amp;" has another Product Type or Category on another row",IF(COUNTIFS($F$3:$F$1002,F951,$G$3:$G$1002,G951,$H$3:$H$1002,"&lt;&gt;"&amp;H951)&gt;0,F951&amp;" + "&amp;G951&amp;" has another HSN Code on another row",IF(AND(V951&lt;&gt;"",U951=""),"Received Qty needs the Vendor Invoice No",IF(AND(U951&lt;&gt;"",COUNTIFS(Bills!$B$3:$B$302,U951,Bills!$C$3:$C$302,C951)=0),"Add bill "&amp;U951&amp;" of "&amp;C951&amp;" on the Bills sheet",IF(S951&lt;R951,"MRP is below the Purchase Rate","OK")))))))))</f>
        <v/>
      </c>
      <c r="B951" s="29"/>
      <c r="C951" s="22"/>
      <c r="D951" s="22"/>
      <c r="E951" s="24"/>
      <c r="F951" s="22"/>
      <c r="G951" s="22"/>
      <c r="H951" s="22"/>
      <c r="I951" s="30" t="str">
        <f>IF(H951="","",IFERROR(INDEX(Codes!$B$2:$B$13,MATCH(H951,Codes!$A$2:$A$13,0)),""))</f>
        <v/>
      </c>
      <c r="J951" s="23"/>
      <c r="K951" s="23"/>
      <c r="L951" s="23"/>
      <c r="M951" s="23"/>
      <c r="N951" s="23"/>
      <c r="O951" s="23"/>
      <c r="P951" s="23"/>
      <c r="Q951" s="31"/>
      <c r="R951" s="32"/>
      <c r="S951" s="32"/>
      <c r="T951" s="33" t="str">
        <f t="shared" si="28"/>
        <v/>
      </c>
      <c r="U951" s="34"/>
      <c r="V951" s="35"/>
      <c r="W951" s="33" t="str">
        <f t="shared" si="29"/>
        <v/>
      </c>
    </row>
    <row r="952" spans="1:23" x14ac:dyDescent="0.35">
      <c r="A952" s="21" t="str">
        <f>IF(COUNTA(B952:H952,J952:S952,U952:V952)=0,"",IF((IF(B952="","PO Ref, ","")&amp;IF(C952="","Vendor, ","")&amp;IF(D952="","Store, ","")&amp;IF(F952="","Product Type, ","")&amp;IF(G952="","Category, ","")&amp;IF(H952="","HSN Code, ","")&amp;IF(Q952="","Qty, ","")&amp;IF(R952="","Purchase Rate, ","")&amp;IF(S952="","MRP, ",""))&lt;&gt;"","Missing: "&amp;LEFT(IF(B952="","PO Ref, ","")&amp;IF(C952="","Vendor, ","")&amp;IF(D952="","Store, ","")&amp;IF(F952="","Product Type, ","")&amp;IF(G952="","Category, ","")&amp;IF(H952="","HSN Code, ","")&amp;IF(Q952="","Qty, ","")&amp;IF(R952="","Purchase Rate, ","")&amp;IF(S952="","MRP, ",""),LEN(IF(B952="","PO Ref, ","")&amp;IF(C952="","Vendor, ","")&amp;IF(D952="","Store, ","")&amp;IF(F952="","Product Type, ","")&amp;IF(G952="","Category, ","")&amp;IF(H952="","HSN Code, ","")&amp;IF(Q952="","Qty, ","")&amp;IF(R952="","Purchase Rate, ","")&amp;IF(S952="","MRP, ",""))-2),IF(COUNTIF(Vendors!$B$3:$B$202,C952)=0,"Add vendor "&amp;C952&amp;" on the Vendors sheet",IF(ISNA(MATCH(H952,Codes!$A$2:$A$13,0)),"Pick the HSN Code from the list",IF(AND(E952&lt;&gt;"",COUNTIFS($C$3:$C$1002,C952,$E$3:$E$1002,E952,$F$3:$F$1002,"&lt;&gt;"&amp;F952)+COUNTIFS($C$3:$C$1002,C952,$E$3:$E$1002,E952,$G$3:$G$1002,"&lt;&gt;"&amp;G952)&gt;0),"Design "&amp;E952&amp;" has another Product Type or Category on another row",IF(COUNTIFS($F$3:$F$1002,F952,$G$3:$G$1002,G952,$H$3:$H$1002,"&lt;&gt;"&amp;H952)&gt;0,F952&amp;" + "&amp;G952&amp;" has another HSN Code on another row",IF(AND(V952&lt;&gt;"",U952=""),"Received Qty needs the Vendor Invoice No",IF(AND(U952&lt;&gt;"",COUNTIFS(Bills!$B$3:$B$302,U952,Bills!$C$3:$C$302,C952)=0),"Add bill "&amp;U952&amp;" of "&amp;C952&amp;" on the Bills sheet",IF(S952&lt;R952,"MRP is below the Purchase Rate","OK")))))))))</f>
        <v/>
      </c>
      <c r="B952" s="29"/>
      <c r="C952" s="22"/>
      <c r="D952" s="22"/>
      <c r="E952" s="24"/>
      <c r="F952" s="22"/>
      <c r="G952" s="22"/>
      <c r="H952" s="22"/>
      <c r="I952" s="30" t="str">
        <f>IF(H952="","",IFERROR(INDEX(Codes!$B$2:$B$13,MATCH(H952,Codes!$A$2:$A$13,0)),""))</f>
        <v/>
      </c>
      <c r="J952" s="23"/>
      <c r="K952" s="23"/>
      <c r="L952" s="23"/>
      <c r="M952" s="23"/>
      <c r="N952" s="23"/>
      <c r="O952" s="23"/>
      <c r="P952" s="23"/>
      <c r="Q952" s="31"/>
      <c r="R952" s="32"/>
      <c r="S952" s="32"/>
      <c r="T952" s="33" t="str">
        <f t="shared" si="28"/>
        <v/>
      </c>
      <c r="U952" s="34"/>
      <c r="V952" s="35"/>
      <c r="W952" s="33" t="str">
        <f t="shared" si="29"/>
        <v/>
      </c>
    </row>
    <row r="953" spans="1:23" x14ac:dyDescent="0.35">
      <c r="A953" s="21" t="str">
        <f>IF(COUNTA(B953:H953,J953:S953,U953:V953)=0,"",IF((IF(B953="","PO Ref, ","")&amp;IF(C953="","Vendor, ","")&amp;IF(D953="","Store, ","")&amp;IF(F953="","Product Type, ","")&amp;IF(G953="","Category, ","")&amp;IF(H953="","HSN Code, ","")&amp;IF(Q953="","Qty, ","")&amp;IF(R953="","Purchase Rate, ","")&amp;IF(S953="","MRP, ",""))&lt;&gt;"","Missing: "&amp;LEFT(IF(B953="","PO Ref, ","")&amp;IF(C953="","Vendor, ","")&amp;IF(D953="","Store, ","")&amp;IF(F953="","Product Type, ","")&amp;IF(G953="","Category, ","")&amp;IF(H953="","HSN Code, ","")&amp;IF(Q953="","Qty, ","")&amp;IF(R953="","Purchase Rate, ","")&amp;IF(S953="","MRP, ",""),LEN(IF(B953="","PO Ref, ","")&amp;IF(C953="","Vendor, ","")&amp;IF(D953="","Store, ","")&amp;IF(F953="","Product Type, ","")&amp;IF(G953="","Category, ","")&amp;IF(H953="","HSN Code, ","")&amp;IF(Q953="","Qty, ","")&amp;IF(R953="","Purchase Rate, ","")&amp;IF(S953="","MRP, ",""))-2),IF(COUNTIF(Vendors!$B$3:$B$202,C953)=0,"Add vendor "&amp;C953&amp;" on the Vendors sheet",IF(ISNA(MATCH(H953,Codes!$A$2:$A$13,0)),"Pick the HSN Code from the list",IF(AND(E953&lt;&gt;"",COUNTIFS($C$3:$C$1002,C953,$E$3:$E$1002,E953,$F$3:$F$1002,"&lt;&gt;"&amp;F953)+COUNTIFS($C$3:$C$1002,C953,$E$3:$E$1002,E953,$G$3:$G$1002,"&lt;&gt;"&amp;G953)&gt;0),"Design "&amp;E953&amp;" has another Product Type or Category on another row",IF(COUNTIFS($F$3:$F$1002,F953,$G$3:$G$1002,G953,$H$3:$H$1002,"&lt;&gt;"&amp;H953)&gt;0,F953&amp;" + "&amp;G953&amp;" has another HSN Code on another row",IF(AND(V953&lt;&gt;"",U953=""),"Received Qty needs the Vendor Invoice No",IF(AND(U953&lt;&gt;"",COUNTIFS(Bills!$B$3:$B$302,U953,Bills!$C$3:$C$302,C953)=0),"Add bill "&amp;U953&amp;" of "&amp;C953&amp;" on the Bills sheet",IF(S953&lt;R953,"MRP is below the Purchase Rate","OK")))))))))</f>
        <v/>
      </c>
      <c r="B953" s="29"/>
      <c r="C953" s="22"/>
      <c r="D953" s="22"/>
      <c r="E953" s="24"/>
      <c r="F953" s="22"/>
      <c r="G953" s="22"/>
      <c r="H953" s="22"/>
      <c r="I953" s="30" t="str">
        <f>IF(H953="","",IFERROR(INDEX(Codes!$B$2:$B$13,MATCH(H953,Codes!$A$2:$A$13,0)),""))</f>
        <v/>
      </c>
      <c r="J953" s="23"/>
      <c r="K953" s="23"/>
      <c r="L953" s="23"/>
      <c r="M953" s="23"/>
      <c r="N953" s="23"/>
      <c r="O953" s="23"/>
      <c r="P953" s="23"/>
      <c r="Q953" s="31"/>
      <c r="R953" s="32"/>
      <c r="S953" s="32"/>
      <c r="T953" s="33" t="str">
        <f t="shared" si="28"/>
        <v/>
      </c>
      <c r="U953" s="34"/>
      <c r="V953" s="35"/>
      <c r="W953" s="33" t="str">
        <f t="shared" si="29"/>
        <v/>
      </c>
    </row>
    <row r="954" spans="1:23" x14ac:dyDescent="0.35">
      <c r="A954" s="21" t="str">
        <f>IF(COUNTA(B954:H954,J954:S954,U954:V954)=0,"",IF((IF(B954="","PO Ref, ","")&amp;IF(C954="","Vendor, ","")&amp;IF(D954="","Store, ","")&amp;IF(F954="","Product Type, ","")&amp;IF(G954="","Category, ","")&amp;IF(H954="","HSN Code, ","")&amp;IF(Q954="","Qty, ","")&amp;IF(R954="","Purchase Rate, ","")&amp;IF(S954="","MRP, ",""))&lt;&gt;"","Missing: "&amp;LEFT(IF(B954="","PO Ref, ","")&amp;IF(C954="","Vendor, ","")&amp;IF(D954="","Store, ","")&amp;IF(F954="","Product Type, ","")&amp;IF(G954="","Category, ","")&amp;IF(H954="","HSN Code, ","")&amp;IF(Q954="","Qty, ","")&amp;IF(R954="","Purchase Rate, ","")&amp;IF(S954="","MRP, ",""),LEN(IF(B954="","PO Ref, ","")&amp;IF(C954="","Vendor, ","")&amp;IF(D954="","Store, ","")&amp;IF(F954="","Product Type, ","")&amp;IF(G954="","Category, ","")&amp;IF(H954="","HSN Code, ","")&amp;IF(Q954="","Qty, ","")&amp;IF(R954="","Purchase Rate, ","")&amp;IF(S954="","MRP, ",""))-2),IF(COUNTIF(Vendors!$B$3:$B$202,C954)=0,"Add vendor "&amp;C954&amp;" on the Vendors sheet",IF(ISNA(MATCH(H954,Codes!$A$2:$A$13,0)),"Pick the HSN Code from the list",IF(AND(E954&lt;&gt;"",COUNTIFS($C$3:$C$1002,C954,$E$3:$E$1002,E954,$F$3:$F$1002,"&lt;&gt;"&amp;F954)+COUNTIFS($C$3:$C$1002,C954,$E$3:$E$1002,E954,$G$3:$G$1002,"&lt;&gt;"&amp;G954)&gt;0),"Design "&amp;E954&amp;" has another Product Type or Category on another row",IF(COUNTIFS($F$3:$F$1002,F954,$G$3:$G$1002,G954,$H$3:$H$1002,"&lt;&gt;"&amp;H954)&gt;0,F954&amp;" + "&amp;G954&amp;" has another HSN Code on another row",IF(AND(V954&lt;&gt;"",U954=""),"Received Qty needs the Vendor Invoice No",IF(AND(U954&lt;&gt;"",COUNTIFS(Bills!$B$3:$B$302,U954,Bills!$C$3:$C$302,C954)=0),"Add bill "&amp;U954&amp;" of "&amp;C954&amp;" on the Bills sheet",IF(S954&lt;R954,"MRP is below the Purchase Rate","OK")))))))))</f>
        <v/>
      </c>
      <c r="B954" s="29"/>
      <c r="C954" s="22"/>
      <c r="D954" s="22"/>
      <c r="E954" s="24"/>
      <c r="F954" s="22"/>
      <c r="G954" s="22"/>
      <c r="H954" s="22"/>
      <c r="I954" s="30" t="str">
        <f>IF(H954="","",IFERROR(INDEX(Codes!$B$2:$B$13,MATCH(H954,Codes!$A$2:$A$13,0)),""))</f>
        <v/>
      </c>
      <c r="J954" s="23"/>
      <c r="K954" s="23"/>
      <c r="L954" s="23"/>
      <c r="M954" s="23"/>
      <c r="N954" s="23"/>
      <c r="O954" s="23"/>
      <c r="P954" s="23"/>
      <c r="Q954" s="31"/>
      <c r="R954" s="32"/>
      <c r="S954" s="32"/>
      <c r="T954" s="33" t="str">
        <f t="shared" si="28"/>
        <v/>
      </c>
      <c r="U954" s="34"/>
      <c r="V954" s="35"/>
      <c r="W954" s="33" t="str">
        <f t="shared" si="29"/>
        <v/>
      </c>
    </row>
    <row r="955" spans="1:23" x14ac:dyDescent="0.35">
      <c r="A955" s="21" t="str">
        <f>IF(COUNTA(B955:H955,J955:S955,U955:V955)=0,"",IF((IF(B955="","PO Ref, ","")&amp;IF(C955="","Vendor, ","")&amp;IF(D955="","Store, ","")&amp;IF(F955="","Product Type, ","")&amp;IF(G955="","Category, ","")&amp;IF(H955="","HSN Code, ","")&amp;IF(Q955="","Qty, ","")&amp;IF(R955="","Purchase Rate, ","")&amp;IF(S955="","MRP, ",""))&lt;&gt;"","Missing: "&amp;LEFT(IF(B955="","PO Ref, ","")&amp;IF(C955="","Vendor, ","")&amp;IF(D955="","Store, ","")&amp;IF(F955="","Product Type, ","")&amp;IF(G955="","Category, ","")&amp;IF(H955="","HSN Code, ","")&amp;IF(Q955="","Qty, ","")&amp;IF(R955="","Purchase Rate, ","")&amp;IF(S955="","MRP, ",""),LEN(IF(B955="","PO Ref, ","")&amp;IF(C955="","Vendor, ","")&amp;IF(D955="","Store, ","")&amp;IF(F955="","Product Type, ","")&amp;IF(G955="","Category, ","")&amp;IF(H955="","HSN Code, ","")&amp;IF(Q955="","Qty, ","")&amp;IF(R955="","Purchase Rate, ","")&amp;IF(S955="","MRP, ",""))-2),IF(COUNTIF(Vendors!$B$3:$B$202,C955)=0,"Add vendor "&amp;C955&amp;" on the Vendors sheet",IF(ISNA(MATCH(H955,Codes!$A$2:$A$13,0)),"Pick the HSN Code from the list",IF(AND(E955&lt;&gt;"",COUNTIFS($C$3:$C$1002,C955,$E$3:$E$1002,E955,$F$3:$F$1002,"&lt;&gt;"&amp;F955)+COUNTIFS($C$3:$C$1002,C955,$E$3:$E$1002,E955,$G$3:$G$1002,"&lt;&gt;"&amp;G955)&gt;0),"Design "&amp;E955&amp;" has another Product Type or Category on another row",IF(COUNTIFS($F$3:$F$1002,F955,$G$3:$G$1002,G955,$H$3:$H$1002,"&lt;&gt;"&amp;H955)&gt;0,F955&amp;" + "&amp;G955&amp;" has another HSN Code on another row",IF(AND(V955&lt;&gt;"",U955=""),"Received Qty needs the Vendor Invoice No",IF(AND(U955&lt;&gt;"",COUNTIFS(Bills!$B$3:$B$302,U955,Bills!$C$3:$C$302,C955)=0),"Add bill "&amp;U955&amp;" of "&amp;C955&amp;" on the Bills sheet",IF(S955&lt;R955,"MRP is below the Purchase Rate","OK")))))))))</f>
        <v/>
      </c>
      <c r="B955" s="29"/>
      <c r="C955" s="22"/>
      <c r="D955" s="22"/>
      <c r="E955" s="24"/>
      <c r="F955" s="22"/>
      <c r="G955" s="22"/>
      <c r="H955" s="22"/>
      <c r="I955" s="30" t="str">
        <f>IF(H955="","",IFERROR(INDEX(Codes!$B$2:$B$13,MATCH(H955,Codes!$A$2:$A$13,0)),""))</f>
        <v/>
      </c>
      <c r="J955" s="23"/>
      <c r="K955" s="23"/>
      <c r="L955" s="23"/>
      <c r="M955" s="23"/>
      <c r="N955" s="23"/>
      <c r="O955" s="23"/>
      <c r="P955" s="23"/>
      <c r="Q955" s="31"/>
      <c r="R955" s="32"/>
      <c r="S955" s="32"/>
      <c r="T955" s="33" t="str">
        <f t="shared" si="28"/>
        <v/>
      </c>
      <c r="U955" s="34"/>
      <c r="V955" s="35"/>
      <c r="W955" s="33" t="str">
        <f t="shared" si="29"/>
        <v/>
      </c>
    </row>
    <row r="956" spans="1:23" x14ac:dyDescent="0.35">
      <c r="A956" s="21" t="str">
        <f>IF(COUNTA(B956:H956,J956:S956,U956:V956)=0,"",IF((IF(B956="","PO Ref, ","")&amp;IF(C956="","Vendor, ","")&amp;IF(D956="","Store, ","")&amp;IF(F956="","Product Type, ","")&amp;IF(G956="","Category, ","")&amp;IF(H956="","HSN Code, ","")&amp;IF(Q956="","Qty, ","")&amp;IF(R956="","Purchase Rate, ","")&amp;IF(S956="","MRP, ",""))&lt;&gt;"","Missing: "&amp;LEFT(IF(B956="","PO Ref, ","")&amp;IF(C956="","Vendor, ","")&amp;IF(D956="","Store, ","")&amp;IF(F956="","Product Type, ","")&amp;IF(G956="","Category, ","")&amp;IF(H956="","HSN Code, ","")&amp;IF(Q956="","Qty, ","")&amp;IF(R956="","Purchase Rate, ","")&amp;IF(S956="","MRP, ",""),LEN(IF(B956="","PO Ref, ","")&amp;IF(C956="","Vendor, ","")&amp;IF(D956="","Store, ","")&amp;IF(F956="","Product Type, ","")&amp;IF(G956="","Category, ","")&amp;IF(H956="","HSN Code, ","")&amp;IF(Q956="","Qty, ","")&amp;IF(R956="","Purchase Rate, ","")&amp;IF(S956="","MRP, ",""))-2),IF(COUNTIF(Vendors!$B$3:$B$202,C956)=0,"Add vendor "&amp;C956&amp;" on the Vendors sheet",IF(ISNA(MATCH(H956,Codes!$A$2:$A$13,0)),"Pick the HSN Code from the list",IF(AND(E956&lt;&gt;"",COUNTIFS($C$3:$C$1002,C956,$E$3:$E$1002,E956,$F$3:$F$1002,"&lt;&gt;"&amp;F956)+COUNTIFS($C$3:$C$1002,C956,$E$3:$E$1002,E956,$G$3:$G$1002,"&lt;&gt;"&amp;G956)&gt;0),"Design "&amp;E956&amp;" has another Product Type or Category on another row",IF(COUNTIFS($F$3:$F$1002,F956,$G$3:$G$1002,G956,$H$3:$H$1002,"&lt;&gt;"&amp;H956)&gt;0,F956&amp;" + "&amp;G956&amp;" has another HSN Code on another row",IF(AND(V956&lt;&gt;"",U956=""),"Received Qty needs the Vendor Invoice No",IF(AND(U956&lt;&gt;"",COUNTIFS(Bills!$B$3:$B$302,U956,Bills!$C$3:$C$302,C956)=0),"Add bill "&amp;U956&amp;" of "&amp;C956&amp;" on the Bills sheet",IF(S956&lt;R956,"MRP is below the Purchase Rate","OK")))))))))</f>
        <v/>
      </c>
      <c r="B956" s="29"/>
      <c r="C956" s="22"/>
      <c r="D956" s="22"/>
      <c r="E956" s="24"/>
      <c r="F956" s="22"/>
      <c r="G956" s="22"/>
      <c r="H956" s="22"/>
      <c r="I956" s="30" t="str">
        <f>IF(H956="","",IFERROR(INDEX(Codes!$B$2:$B$13,MATCH(H956,Codes!$A$2:$A$13,0)),""))</f>
        <v/>
      </c>
      <c r="J956" s="23"/>
      <c r="K956" s="23"/>
      <c r="L956" s="23"/>
      <c r="M956" s="23"/>
      <c r="N956" s="23"/>
      <c r="O956" s="23"/>
      <c r="P956" s="23"/>
      <c r="Q956" s="31"/>
      <c r="R956" s="32"/>
      <c r="S956" s="32"/>
      <c r="T956" s="33" t="str">
        <f t="shared" si="28"/>
        <v/>
      </c>
      <c r="U956" s="34"/>
      <c r="V956" s="35"/>
      <c r="W956" s="33" t="str">
        <f t="shared" si="29"/>
        <v/>
      </c>
    </row>
    <row r="957" spans="1:23" x14ac:dyDescent="0.35">
      <c r="A957" s="21" t="str">
        <f>IF(COUNTA(B957:H957,J957:S957,U957:V957)=0,"",IF((IF(B957="","PO Ref, ","")&amp;IF(C957="","Vendor, ","")&amp;IF(D957="","Store, ","")&amp;IF(F957="","Product Type, ","")&amp;IF(G957="","Category, ","")&amp;IF(H957="","HSN Code, ","")&amp;IF(Q957="","Qty, ","")&amp;IF(R957="","Purchase Rate, ","")&amp;IF(S957="","MRP, ",""))&lt;&gt;"","Missing: "&amp;LEFT(IF(B957="","PO Ref, ","")&amp;IF(C957="","Vendor, ","")&amp;IF(D957="","Store, ","")&amp;IF(F957="","Product Type, ","")&amp;IF(G957="","Category, ","")&amp;IF(H957="","HSN Code, ","")&amp;IF(Q957="","Qty, ","")&amp;IF(R957="","Purchase Rate, ","")&amp;IF(S957="","MRP, ",""),LEN(IF(B957="","PO Ref, ","")&amp;IF(C957="","Vendor, ","")&amp;IF(D957="","Store, ","")&amp;IF(F957="","Product Type, ","")&amp;IF(G957="","Category, ","")&amp;IF(H957="","HSN Code, ","")&amp;IF(Q957="","Qty, ","")&amp;IF(R957="","Purchase Rate, ","")&amp;IF(S957="","MRP, ",""))-2),IF(COUNTIF(Vendors!$B$3:$B$202,C957)=0,"Add vendor "&amp;C957&amp;" on the Vendors sheet",IF(ISNA(MATCH(H957,Codes!$A$2:$A$13,0)),"Pick the HSN Code from the list",IF(AND(E957&lt;&gt;"",COUNTIFS($C$3:$C$1002,C957,$E$3:$E$1002,E957,$F$3:$F$1002,"&lt;&gt;"&amp;F957)+COUNTIFS($C$3:$C$1002,C957,$E$3:$E$1002,E957,$G$3:$G$1002,"&lt;&gt;"&amp;G957)&gt;0),"Design "&amp;E957&amp;" has another Product Type or Category on another row",IF(COUNTIFS($F$3:$F$1002,F957,$G$3:$G$1002,G957,$H$3:$H$1002,"&lt;&gt;"&amp;H957)&gt;0,F957&amp;" + "&amp;G957&amp;" has another HSN Code on another row",IF(AND(V957&lt;&gt;"",U957=""),"Received Qty needs the Vendor Invoice No",IF(AND(U957&lt;&gt;"",COUNTIFS(Bills!$B$3:$B$302,U957,Bills!$C$3:$C$302,C957)=0),"Add bill "&amp;U957&amp;" of "&amp;C957&amp;" on the Bills sheet",IF(S957&lt;R957,"MRP is below the Purchase Rate","OK")))))))))</f>
        <v/>
      </c>
      <c r="B957" s="29"/>
      <c r="C957" s="22"/>
      <c r="D957" s="22"/>
      <c r="E957" s="24"/>
      <c r="F957" s="22"/>
      <c r="G957" s="22"/>
      <c r="H957" s="22"/>
      <c r="I957" s="30" t="str">
        <f>IF(H957="","",IFERROR(INDEX(Codes!$B$2:$B$13,MATCH(H957,Codes!$A$2:$A$13,0)),""))</f>
        <v/>
      </c>
      <c r="J957" s="23"/>
      <c r="K957" s="23"/>
      <c r="L957" s="23"/>
      <c r="M957" s="23"/>
      <c r="N957" s="23"/>
      <c r="O957" s="23"/>
      <c r="P957" s="23"/>
      <c r="Q957" s="31"/>
      <c r="R957" s="32"/>
      <c r="S957" s="32"/>
      <c r="T957" s="33" t="str">
        <f t="shared" si="28"/>
        <v/>
      </c>
      <c r="U957" s="34"/>
      <c r="V957" s="35"/>
      <c r="W957" s="33" t="str">
        <f t="shared" si="29"/>
        <v/>
      </c>
    </row>
    <row r="958" spans="1:23" x14ac:dyDescent="0.35">
      <c r="A958" s="21" t="str">
        <f>IF(COUNTA(B958:H958,J958:S958,U958:V958)=0,"",IF((IF(B958="","PO Ref, ","")&amp;IF(C958="","Vendor, ","")&amp;IF(D958="","Store, ","")&amp;IF(F958="","Product Type, ","")&amp;IF(G958="","Category, ","")&amp;IF(H958="","HSN Code, ","")&amp;IF(Q958="","Qty, ","")&amp;IF(R958="","Purchase Rate, ","")&amp;IF(S958="","MRP, ",""))&lt;&gt;"","Missing: "&amp;LEFT(IF(B958="","PO Ref, ","")&amp;IF(C958="","Vendor, ","")&amp;IF(D958="","Store, ","")&amp;IF(F958="","Product Type, ","")&amp;IF(G958="","Category, ","")&amp;IF(H958="","HSN Code, ","")&amp;IF(Q958="","Qty, ","")&amp;IF(R958="","Purchase Rate, ","")&amp;IF(S958="","MRP, ",""),LEN(IF(B958="","PO Ref, ","")&amp;IF(C958="","Vendor, ","")&amp;IF(D958="","Store, ","")&amp;IF(F958="","Product Type, ","")&amp;IF(G958="","Category, ","")&amp;IF(H958="","HSN Code, ","")&amp;IF(Q958="","Qty, ","")&amp;IF(R958="","Purchase Rate, ","")&amp;IF(S958="","MRP, ",""))-2),IF(COUNTIF(Vendors!$B$3:$B$202,C958)=0,"Add vendor "&amp;C958&amp;" on the Vendors sheet",IF(ISNA(MATCH(H958,Codes!$A$2:$A$13,0)),"Pick the HSN Code from the list",IF(AND(E958&lt;&gt;"",COUNTIFS($C$3:$C$1002,C958,$E$3:$E$1002,E958,$F$3:$F$1002,"&lt;&gt;"&amp;F958)+COUNTIFS($C$3:$C$1002,C958,$E$3:$E$1002,E958,$G$3:$G$1002,"&lt;&gt;"&amp;G958)&gt;0),"Design "&amp;E958&amp;" has another Product Type or Category on another row",IF(COUNTIFS($F$3:$F$1002,F958,$G$3:$G$1002,G958,$H$3:$H$1002,"&lt;&gt;"&amp;H958)&gt;0,F958&amp;" + "&amp;G958&amp;" has another HSN Code on another row",IF(AND(V958&lt;&gt;"",U958=""),"Received Qty needs the Vendor Invoice No",IF(AND(U958&lt;&gt;"",COUNTIFS(Bills!$B$3:$B$302,U958,Bills!$C$3:$C$302,C958)=0),"Add bill "&amp;U958&amp;" of "&amp;C958&amp;" on the Bills sheet",IF(S958&lt;R958,"MRP is below the Purchase Rate","OK")))))))))</f>
        <v/>
      </c>
      <c r="B958" s="29"/>
      <c r="C958" s="22"/>
      <c r="D958" s="22"/>
      <c r="E958" s="24"/>
      <c r="F958" s="22"/>
      <c r="G958" s="22"/>
      <c r="H958" s="22"/>
      <c r="I958" s="30" t="str">
        <f>IF(H958="","",IFERROR(INDEX(Codes!$B$2:$B$13,MATCH(H958,Codes!$A$2:$A$13,0)),""))</f>
        <v/>
      </c>
      <c r="J958" s="23"/>
      <c r="K958" s="23"/>
      <c r="L958" s="23"/>
      <c r="M958" s="23"/>
      <c r="N958" s="23"/>
      <c r="O958" s="23"/>
      <c r="P958" s="23"/>
      <c r="Q958" s="31"/>
      <c r="R958" s="32"/>
      <c r="S958" s="32"/>
      <c r="T958" s="33" t="str">
        <f t="shared" si="28"/>
        <v/>
      </c>
      <c r="U958" s="34"/>
      <c r="V958" s="35"/>
      <c r="W958" s="33" t="str">
        <f t="shared" si="29"/>
        <v/>
      </c>
    </row>
    <row r="959" spans="1:23" x14ac:dyDescent="0.35">
      <c r="A959" s="21" t="str">
        <f>IF(COUNTA(B959:H959,J959:S959,U959:V959)=0,"",IF((IF(B959="","PO Ref, ","")&amp;IF(C959="","Vendor, ","")&amp;IF(D959="","Store, ","")&amp;IF(F959="","Product Type, ","")&amp;IF(G959="","Category, ","")&amp;IF(H959="","HSN Code, ","")&amp;IF(Q959="","Qty, ","")&amp;IF(R959="","Purchase Rate, ","")&amp;IF(S959="","MRP, ",""))&lt;&gt;"","Missing: "&amp;LEFT(IF(B959="","PO Ref, ","")&amp;IF(C959="","Vendor, ","")&amp;IF(D959="","Store, ","")&amp;IF(F959="","Product Type, ","")&amp;IF(G959="","Category, ","")&amp;IF(H959="","HSN Code, ","")&amp;IF(Q959="","Qty, ","")&amp;IF(R959="","Purchase Rate, ","")&amp;IF(S959="","MRP, ",""),LEN(IF(B959="","PO Ref, ","")&amp;IF(C959="","Vendor, ","")&amp;IF(D959="","Store, ","")&amp;IF(F959="","Product Type, ","")&amp;IF(G959="","Category, ","")&amp;IF(H959="","HSN Code, ","")&amp;IF(Q959="","Qty, ","")&amp;IF(R959="","Purchase Rate, ","")&amp;IF(S959="","MRP, ",""))-2),IF(COUNTIF(Vendors!$B$3:$B$202,C959)=0,"Add vendor "&amp;C959&amp;" on the Vendors sheet",IF(ISNA(MATCH(H959,Codes!$A$2:$A$13,0)),"Pick the HSN Code from the list",IF(AND(E959&lt;&gt;"",COUNTIFS($C$3:$C$1002,C959,$E$3:$E$1002,E959,$F$3:$F$1002,"&lt;&gt;"&amp;F959)+COUNTIFS($C$3:$C$1002,C959,$E$3:$E$1002,E959,$G$3:$G$1002,"&lt;&gt;"&amp;G959)&gt;0),"Design "&amp;E959&amp;" has another Product Type or Category on another row",IF(COUNTIFS($F$3:$F$1002,F959,$G$3:$G$1002,G959,$H$3:$H$1002,"&lt;&gt;"&amp;H959)&gt;0,F959&amp;" + "&amp;G959&amp;" has another HSN Code on another row",IF(AND(V959&lt;&gt;"",U959=""),"Received Qty needs the Vendor Invoice No",IF(AND(U959&lt;&gt;"",COUNTIFS(Bills!$B$3:$B$302,U959,Bills!$C$3:$C$302,C959)=0),"Add bill "&amp;U959&amp;" of "&amp;C959&amp;" on the Bills sheet",IF(S959&lt;R959,"MRP is below the Purchase Rate","OK")))))))))</f>
        <v/>
      </c>
      <c r="B959" s="29"/>
      <c r="C959" s="22"/>
      <c r="D959" s="22"/>
      <c r="E959" s="24"/>
      <c r="F959" s="22"/>
      <c r="G959" s="22"/>
      <c r="H959" s="22"/>
      <c r="I959" s="30" t="str">
        <f>IF(H959="","",IFERROR(INDEX(Codes!$B$2:$B$13,MATCH(H959,Codes!$A$2:$A$13,0)),""))</f>
        <v/>
      </c>
      <c r="J959" s="23"/>
      <c r="K959" s="23"/>
      <c r="L959" s="23"/>
      <c r="M959" s="23"/>
      <c r="N959" s="23"/>
      <c r="O959" s="23"/>
      <c r="P959" s="23"/>
      <c r="Q959" s="31"/>
      <c r="R959" s="32"/>
      <c r="S959" s="32"/>
      <c r="T959" s="33" t="str">
        <f t="shared" si="28"/>
        <v/>
      </c>
      <c r="U959" s="34"/>
      <c r="V959" s="35"/>
      <c r="W959" s="33" t="str">
        <f t="shared" si="29"/>
        <v/>
      </c>
    </row>
    <row r="960" spans="1:23" x14ac:dyDescent="0.35">
      <c r="A960" s="21" t="str">
        <f>IF(COUNTA(B960:H960,J960:S960,U960:V960)=0,"",IF((IF(B960="","PO Ref, ","")&amp;IF(C960="","Vendor, ","")&amp;IF(D960="","Store, ","")&amp;IF(F960="","Product Type, ","")&amp;IF(G960="","Category, ","")&amp;IF(H960="","HSN Code, ","")&amp;IF(Q960="","Qty, ","")&amp;IF(R960="","Purchase Rate, ","")&amp;IF(S960="","MRP, ",""))&lt;&gt;"","Missing: "&amp;LEFT(IF(B960="","PO Ref, ","")&amp;IF(C960="","Vendor, ","")&amp;IF(D960="","Store, ","")&amp;IF(F960="","Product Type, ","")&amp;IF(G960="","Category, ","")&amp;IF(H960="","HSN Code, ","")&amp;IF(Q960="","Qty, ","")&amp;IF(R960="","Purchase Rate, ","")&amp;IF(S960="","MRP, ",""),LEN(IF(B960="","PO Ref, ","")&amp;IF(C960="","Vendor, ","")&amp;IF(D960="","Store, ","")&amp;IF(F960="","Product Type, ","")&amp;IF(G960="","Category, ","")&amp;IF(H960="","HSN Code, ","")&amp;IF(Q960="","Qty, ","")&amp;IF(R960="","Purchase Rate, ","")&amp;IF(S960="","MRP, ",""))-2),IF(COUNTIF(Vendors!$B$3:$B$202,C960)=0,"Add vendor "&amp;C960&amp;" on the Vendors sheet",IF(ISNA(MATCH(H960,Codes!$A$2:$A$13,0)),"Pick the HSN Code from the list",IF(AND(E960&lt;&gt;"",COUNTIFS($C$3:$C$1002,C960,$E$3:$E$1002,E960,$F$3:$F$1002,"&lt;&gt;"&amp;F960)+COUNTIFS($C$3:$C$1002,C960,$E$3:$E$1002,E960,$G$3:$G$1002,"&lt;&gt;"&amp;G960)&gt;0),"Design "&amp;E960&amp;" has another Product Type or Category on another row",IF(COUNTIFS($F$3:$F$1002,F960,$G$3:$G$1002,G960,$H$3:$H$1002,"&lt;&gt;"&amp;H960)&gt;0,F960&amp;" + "&amp;G960&amp;" has another HSN Code on another row",IF(AND(V960&lt;&gt;"",U960=""),"Received Qty needs the Vendor Invoice No",IF(AND(U960&lt;&gt;"",COUNTIFS(Bills!$B$3:$B$302,U960,Bills!$C$3:$C$302,C960)=0),"Add bill "&amp;U960&amp;" of "&amp;C960&amp;" on the Bills sheet",IF(S960&lt;R960,"MRP is below the Purchase Rate","OK")))))))))</f>
        <v/>
      </c>
      <c r="B960" s="29"/>
      <c r="C960" s="22"/>
      <c r="D960" s="22"/>
      <c r="E960" s="24"/>
      <c r="F960" s="22"/>
      <c r="G960" s="22"/>
      <c r="H960" s="22"/>
      <c r="I960" s="30" t="str">
        <f>IF(H960="","",IFERROR(INDEX(Codes!$B$2:$B$13,MATCH(H960,Codes!$A$2:$A$13,0)),""))</f>
        <v/>
      </c>
      <c r="J960" s="23"/>
      <c r="K960" s="23"/>
      <c r="L960" s="23"/>
      <c r="M960" s="23"/>
      <c r="N960" s="23"/>
      <c r="O960" s="23"/>
      <c r="P960" s="23"/>
      <c r="Q960" s="31"/>
      <c r="R960" s="32"/>
      <c r="S960" s="32"/>
      <c r="T960" s="33" t="str">
        <f t="shared" si="28"/>
        <v/>
      </c>
      <c r="U960" s="34"/>
      <c r="V960" s="35"/>
      <c r="W960" s="33" t="str">
        <f t="shared" si="29"/>
        <v/>
      </c>
    </row>
    <row r="961" spans="1:23" x14ac:dyDescent="0.35">
      <c r="A961" s="21" t="str">
        <f>IF(COUNTA(B961:H961,J961:S961,U961:V961)=0,"",IF((IF(B961="","PO Ref, ","")&amp;IF(C961="","Vendor, ","")&amp;IF(D961="","Store, ","")&amp;IF(F961="","Product Type, ","")&amp;IF(G961="","Category, ","")&amp;IF(H961="","HSN Code, ","")&amp;IF(Q961="","Qty, ","")&amp;IF(R961="","Purchase Rate, ","")&amp;IF(S961="","MRP, ",""))&lt;&gt;"","Missing: "&amp;LEFT(IF(B961="","PO Ref, ","")&amp;IF(C961="","Vendor, ","")&amp;IF(D961="","Store, ","")&amp;IF(F961="","Product Type, ","")&amp;IF(G961="","Category, ","")&amp;IF(H961="","HSN Code, ","")&amp;IF(Q961="","Qty, ","")&amp;IF(R961="","Purchase Rate, ","")&amp;IF(S961="","MRP, ",""),LEN(IF(B961="","PO Ref, ","")&amp;IF(C961="","Vendor, ","")&amp;IF(D961="","Store, ","")&amp;IF(F961="","Product Type, ","")&amp;IF(G961="","Category, ","")&amp;IF(H961="","HSN Code, ","")&amp;IF(Q961="","Qty, ","")&amp;IF(R961="","Purchase Rate, ","")&amp;IF(S961="","MRP, ",""))-2),IF(COUNTIF(Vendors!$B$3:$B$202,C961)=0,"Add vendor "&amp;C961&amp;" on the Vendors sheet",IF(ISNA(MATCH(H961,Codes!$A$2:$A$13,0)),"Pick the HSN Code from the list",IF(AND(E961&lt;&gt;"",COUNTIFS($C$3:$C$1002,C961,$E$3:$E$1002,E961,$F$3:$F$1002,"&lt;&gt;"&amp;F961)+COUNTIFS($C$3:$C$1002,C961,$E$3:$E$1002,E961,$G$3:$G$1002,"&lt;&gt;"&amp;G961)&gt;0),"Design "&amp;E961&amp;" has another Product Type or Category on another row",IF(COUNTIFS($F$3:$F$1002,F961,$G$3:$G$1002,G961,$H$3:$H$1002,"&lt;&gt;"&amp;H961)&gt;0,F961&amp;" + "&amp;G961&amp;" has another HSN Code on another row",IF(AND(V961&lt;&gt;"",U961=""),"Received Qty needs the Vendor Invoice No",IF(AND(U961&lt;&gt;"",COUNTIFS(Bills!$B$3:$B$302,U961,Bills!$C$3:$C$302,C961)=0),"Add bill "&amp;U961&amp;" of "&amp;C961&amp;" on the Bills sheet",IF(S961&lt;R961,"MRP is below the Purchase Rate","OK")))))))))</f>
        <v/>
      </c>
      <c r="B961" s="29"/>
      <c r="C961" s="22"/>
      <c r="D961" s="22"/>
      <c r="E961" s="24"/>
      <c r="F961" s="22"/>
      <c r="G961" s="22"/>
      <c r="H961" s="22"/>
      <c r="I961" s="30" t="str">
        <f>IF(H961="","",IFERROR(INDEX(Codes!$B$2:$B$13,MATCH(H961,Codes!$A$2:$A$13,0)),""))</f>
        <v/>
      </c>
      <c r="J961" s="23"/>
      <c r="K961" s="23"/>
      <c r="L961" s="23"/>
      <c r="M961" s="23"/>
      <c r="N961" s="23"/>
      <c r="O961" s="23"/>
      <c r="P961" s="23"/>
      <c r="Q961" s="31"/>
      <c r="R961" s="32"/>
      <c r="S961" s="32"/>
      <c r="T961" s="33" t="str">
        <f t="shared" si="28"/>
        <v/>
      </c>
      <c r="U961" s="34"/>
      <c r="V961" s="35"/>
      <c r="W961" s="33" t="str">
        <f t="shared" si="29"/>
        <v/>
      </c>
    </row>
    <row r="962" spans="1:23" x14ac:dyDescent="0.35">
      <c r="A962" s="21" t="str">
        <f>IF(COUNTA(B962:H962,J962:S962,U962:V962)=0,"",IF((IF(B962="","PO Ref, ","")&amp;IF(C962="","Vendor, ","")&amp;IF(D962="","Store, ","")&amp;IF(F962="","Product Type, ","")&amp;IF(G962="","Category, ","")&amp;IF(H962="","HSN Code, ","")&amp;IF(Q962="","Qty, ","")&amp;IF(R962="","Purchase Rate, ","")&amp;IF(S962="","MRP, ",""))&lt;&gt;"","Missing: "&amp;LEFT(IF(B962="","PO Ref, ","")&amp;IF(C962="","Vendor, ","")&amp;IF(D962="","Store, ","")&amp;IF(F962="","Product Type, ","")&amp;IF(G962="","Category, ","")&amp;IF(H962="","HSN Code, ","")&amp;IF(Q962="","Qty, ","")&amp;IF(R962="","Purchase Rate, ","")&amp;IF(S962="","MRP, ",""),LEN(IF(B962="","PO Ref, ","")&amp;IF(C962="","Vendor, ","")&amp;IF(D962="","Store, ","")&amp;IF(F962="","Product Type, ","")&amp;IF(G962="","Category, ","")&amp;IF(H962="","HSN Code, ","")&amp;IF(Q962="","Qty, ","")&amp;IF(R962="","Purchase Rate, ","")&amp;IF(S962="","MRP, ",""))-2),IF(COUNTIF(Vendors!$B$3:$B$202,C962)=0,"Add vendor "&amp;C962&amp;" on the Vendors sheet",IF(ISNA(MATCH(H962,Codes!$A$2:$A$13,0)),"Pick the HSN Code from the list",IF(AND(E962&lt;&gt;"",COUNTIFS($C$3:$C$1002,C962,$E$3:$E$1002,E962,$F$3:$F$1002,"&lt;&gt;"&amp;F962)+COUNTIFS($C$3:$C$1002,C962,$E$3:$E$1002,E962,$G$3:$G$1002,"&lt;&gt;"&amp;G962)&gt;0),"Design "&amp;E962&amp;" has another Product Type or Category on another row",IF(COUNTIFS($F$3:$F$1002,F962,$G$3:$G$1002,G962,$H$3:$H$1002,"&lt;&gt;"&amp;H962)&gt;0,F962&amp;" + "&amp;G962&amp;" has another HSN Code on another row",IF(AND(V962&lt;&gt;"",U962=""),"Received Qty needs the Vendor Invoice No",IF(AND(U962&lt;&gt;"",COUNTIFS(Bills!$B$3:$B$302,U962,Bills!$C$3:$C$302,C962)=0),"Add bill "&amp;U962&amp;" of "&amp;C962&amp;" on the Bills sheet",IF(S962&lt;R962,"MRP is below the Purchase Rate","OK")))))))))</f>
        <v/>
      </c>
      <c r="B962" s="29"/>
      <c r="C962" s="22"/>
      <c r="D962" s="22"/>
      <c r="E962" s="24"/>
      <c r="F962" s="22"/>
      <c r="G962" s="22"/>
      <c r="H962" s="22"/>
      <c r="I962" s="30" t="str">
        <f>IF(H962="","",IFERROR(INDEX(Codes!$B$2:$B$13,MATCH(H962,Codes!$A$2:$A$13,0)),""))</f>
        <v/>
      </c>
      <c r="J962" s="23"/>
      <c r="K962" s="23"/>
      <c r="L962" s="23"/>
      <c r="M962" s="23"/>
      <c r="N962" s="23"/>
      <c r="O962" s="23"/>
      <c r="P962" s="23"/>
      <c r="Q962" s="31"/>
      <c r="R962" s="32"/>
      <c r="S962" s="32"/>
      <c r="T962" s="33" t="str">
        <f t="shared" si="28"/>
        <v/>
      </c>
      <c r="U962" s="34"/>
      <c r="V962" s="35"/>
      <c r="W962" s="33" t="str">
        <f t="shared" si="29"/>
        <v/>
      </c>
    </row>
    <row r="963" spans="1:23" x14ac:dyDescent="0.35">
      <c r="A963" s="21" t="str">
        <f>IF(COUNTA(B963:H963,J963:S963,U963:V963)=0,"",IF((IF(B963="","PO Ref, ","")&amp;IF(C963="","Vendor, ","")&amp;IF(D963="","Store, ","")&amp;IF(F963="","Product Type, ","")&amp;IF(G963="","Category, ","")&amp;IF(H963="","HSN Code, ","")&amp;IF(Q963="","Qty, ","")&amp;IF(R963="","Purchase Rate, ","")&amp;IF(S963="","MRP, ",""))&lt;&gt;"","Missing: "&amp;LEFT(IF(B963="","PO Ref, ","")&amp;IF(C963="","Vendor, ","")&amp;IF(D963="","Store, ","")&amp;IF(F963="","Product Type, ","")&amp;IF(G963="","Category, ","")&amp;IF(H963="","HSN Code, ","")&amp;IF(Q963="","Qty, ","")&amp;IF(R963="","Purchase Rate, ","")&amp;IF(S963="","MRP, ",""),LEN(IF(B963="","PO Ref, ","")&amp;IF(C963="","Vendor, ","")&amp;IF(D963="","Store, ","")&amp;IF(F963="","Product Type, ","")&amp;IF(G963="","Category, ","")&amp;IF(H963="","HSN Code, ","")&amp;IF(Q963="","Qty, ","")&amp;IF(R963="","Purchase Rate, ","")&amp;IF(S963="","MRP, ",""))-2),IF(COUNTIF(Vendors!$B$3:$B$202,C963)=0,"Add vendor "&amp;C963&amp;" on the Vendors sheet",IF(ISNA(MATCH(H963,Codes!$A$2:$A$13,0)),"Pick the HSN Code from the list",IF(AND(E963&lt;&gt;"",COUNTIFS($C$3:$C$1002,C963,$E$3:$E$1002,E963,$F$3:$F$1002,"&lt;&gt;"&amp;F963)+COUNTIFS($C$3:$C$1002,C963,$E$3:$E$1002,E963,$G$3:$G$1002,"&lt;&gt;"&amp;G963)&gt;0),"Design "&amp;E963&amp;" has another Product Type or Category on another row",IF(COUNTIFS($F$3:$F$1002,F963,$G$3:$G$1002,G963,$H$3:$H$1002,"&lt;&gt;"&amp;H963)&gt;0,F963&amp;" + "&amp;G963&amp;" has another HSN Code on another row",IF(AND(V963&lt;&gt;"",U963=""),"Received Qty needs the Vendor Invoice No",IF(AND(U963&lt;&gt;"",COUNTIFS(Bills!$B$3:$B$302,U963,Bills!$C$3:$C$302,C963)=0),"Add bill "&amp;U963&amp;" of "&amp;C963&amp;" on the Bills sheet",IF(S963&lt;R963,"MRP is below the Purchase Rate","OK")))))))))</f>
        <v/>
      </c>
      <c r="B963" s="29"/>
      <c r="C963" s="22"/>
      <c r="D963" s="22"/>
      <c r="E963" s="24"/>
      <c r="F963" s="22"/>
      <c r="G963" s="22"/>
      <c r="H963" s="22"/>
      <c r="I963" s="30" t="str">
        <f>IF(H963="","",IFERROR(INDEX(Codes!$B$2:$B$13,MATCH(H963,Codes!$A$2:$A$13,0)),""))</f>
        <v/>
      </c>
      <c r="J963" s="23"/>
      <c r="K963" s="23"/>
      <c r="L963" s="23"/>
      <c r="M963" s="23"/>
      <c r="N963" s="23"/>
      <c r="O963" s="23"/>
      <c r="P963" s="23"/>
      <c r="Q963" s="31"/>
      <c r="R963" s="32"/>
      <c r="S963" s="32"/>
      <c r="T963" s="33" t="str">
        <f t="shared" ref="T963:T1002" si="30">IF(OR(Q963="",R963=""),"",Q963*R963)</f>
        <v/>
      </c>
      <c r="U963" s="34"/>
      <c r="V963" s="35"/>
      <c r="W963" s="33" t="str">
        <f t="shared" ref="W963:W1026" si="31">IF(OR(U963="",R963=""),"",IF(V963="",Q963,V963)*R963)</f>
        <v/>
      </c>
    </row>
    <row r="964" spans="1:23" x14ac:dyDescent="0.35">
      <c r="A964" s="21" t="str">
        <f>IF(COUNTA(B964:H964,J964:S964,U964:V964)=0,"",IF((IF(B964="","PO Ref, ","")&amp;IF(C964="","Vendor, ","")&amp;IF(D964="","Store, ","")&amp;IF(F964="","Product Type, ","")&amp;IF(G964="","Category, ","")&amp;IF(H964="","HSN Code, ","")&amp;IF(Q964="","Qty, ","")&amp;IF(R964="","Purchase Rate, ","")&amp;IF(S964="","MRP, ",""))&lt;&gt;"","Missing: "&amp;LEFT(IF(B964="","PO Ref, ","")&amp;IF(C964="","Vendor, ","")&amp;IF(D964="","Store, ","")&amp;IF(F964="","Product Type, ","")&amp;IF(G964="","Category, ","")&amp;IF(H964="","HSN Code, ","")&amp;IF(Q964="","Qty, ","")&amp;IF(R964="","Purchase Rate, ","")&amp;IF(S964="","MRP, ",""),LEN(IF(B964="","PO Ref, ","")&amp;IF(C964="","Vendor, ","")&amp;IF(D964="","Store, ","")&amp;IF(F964="","Product Type, ","")&amp;IF(G964="","Category, ","")&amp;IF(H964="","HSN Code, ","")&amp;IF(Q964="","Qty, ","")&amp;IF(R964="","Purchase Rate, ","")&amp;IF(S964="","MRP, ",""))-2),IF(COUNTIF(Vendors!$B$3:$B$202,C964)=0,"Add vendor "&amp;C964&amp;" on the Vendors sheet",IF(ISNA(MATCH(H964,Codes!$A$2:$A$13,0)),"Pick the HSN Code from the list",IF(AND(E964&lt;&gt;"",COUNTIFS($C$3:$C$1002,C964,$E$3:$E$1002,E964,$F$3:$F$1002,"&lt;&gt;"&amp;F964)+COUNTIFS($C$3:$C$1002,C964,$E$3:$E$1002,E964,$G$3:$G$1002,"&lt;&gt;"&amp;G964)&gt;0),"Design "&amp;E964&amp;" has another Product Type or Category on another row",IF(COUNTIFS($F$3:$F$1002,F964,$G$3:$G$1002,G964,$H$3:$H$1002,"&lt;&gt;"&amp;H964)&gt;0,F964&amp;" + "&amp;G964&amp;" has another HSN Code on another row",IF(AND(V964&lt;&gt;"",U964=""),"Received Qty needs the Vendor Invoice No",IF(AND(U964&lt;&gt;"",COUNTIFS(Bills!$B$3:$B$302,U964,Bills!$C$3:$C$302,C964)=0),"Add bill "&amp;U964&amp;" of "&amp;C964&amp;" on the Bills sheet",IF(S964&lt;R964,"MRP is below the Purchase Rate","OK")))))))))</f>
        <v/>
      </c>
      <c r="B964" s="29"/>
      <c r="C964" s="22"/>
      <c r="D964" s="22"/>
      <c r="E964" s="24"/>
      <c r="F964" s="22"/>
      <c r="G964" s="22"/>
      <c r="H964" s="22"/>
      <c r="I964" s="30" t="str">
        <f>IF(H964="","",IFERROR(INDEX(Codes!$B$2:$B$13,MATCH(H964,Codes!$A$2:$A$13,0)),""))</f>
        <v/>
      </c>
      <c r="J964" s="23"/>
      <c r="K964" s="23"/>
      <c r="L964" s="23"/>
      <c r="M964" s="23"/>
      <c r="N964" s="23"/>
      <c r="O964" s="23"/>
      <c r="P964" s="23"/>
      <c r="Q964" s="31"/>
      <c r="R964" s="32"/>
      <c r="S964" s="32"/>
      <c r="T964" s="33" t="str">
        <f t="shared" si="30"/>
        <v/>
      </c>
      <c r="U964" s="34"/>
      <c r="V964" s="35"/>
      <c r="W964" s="33" t="str">
        <f t="shared" si="31"/>
        <v/>
      </c>
    </row>
    <row r="965" spans="1:23" x14ac:dyDescent="0.35">
      <c r="A965" s="21" t="str">
        <f>IF(COUNTA(B965:H965,J965:S965,U965:V965)=0,"",IF((IF(B965="","PO Ref, ","")&amp;IF(C965="","Vendor, ","")&amp;IF(D965="","Store, ","")&amp;IF(F965="","Product Type, ","")&amp;IF(G965="","Category, ","")&amp;IF(H965="","HSN Code, ","")&amp;IF(Q965="","Qty, ","")&amp;IF(R965="","Purchase Rate, ","")&amp;IF(S965="","MRP, ",""))&lt;&gt;"","Missing: "&amp;LEFT(IF(B965="","PO Ref, ","")&amp;IF(C965="","Vendor, ","")&amp;IF(D965="","Store, ","")&amp;IF(F965="","Product Type, ","")&amp;IF(G965="","Category, ","")&amp;IF(H965="","HSN Code, ","")&amp;IF(Q965="","Qty, ","")&amp;IF(R965="","Purchase Rate, ","")&amp;IF(S965="","MRP, ",""),LEN(IF(B965="","PO Ref, ","")&amp;IF(C965="","Vendor, ","")&amp;IF(D965="","Store, ","")&amp;IF(F965="","Product Type, ","")&amp;IF(G965="","Category, ","")&amp;IF(H965="","HSN Code, ","")&amp;IF(Q965="","Qty, ","")&amp;IF(R965="","Purchase Rate, ","")&amp;IF(S965="","MRP, ",""))-2),IF(COUNTIF(Vendors!$B$3:$B$202,C965)=0,"Add vendor "&amp;C965&amp;" on the Vendors sheet",IF(ISNA(MATCH(H965,Codes!$A$2:$A$13,0)),"Pick the HSN Code from the list",IF(AND(E965&lt;&gt;"",COUNTIFS($C$3:$C$1002,C965,$E$3:$E$1002,E965,$F$3:$F$1002,"&lt;&gt;"&amp;F965)+COUNTIFS($C$3:$C$1002,C965,$E$3:$E$1002,E965,$G$3:$G$1002,"&lt;&gt;"&amp;G965)&gt;0),"Design "&amp;E965&amp;" has another Product Type or Category on another row",IF(COUNTIFS($F$3:$F$1002,F965,$G$3:$G$1002,G965,$H$3:$H$1002,"&lt;&gt;"&amp;H965)&gt;0,F965&amp;" + "&amp;G965&amp;" has another HSN Code on another row",IF(AND(V965&lt;&gt;"",U965=""),"Received Qty needs the Vendor Invoice No",IF(AND(U965&lt;&gt;"",COUNTIFS(Bills!$B$3:$B$302,U965,Bills!$C$3:$C$302,C965)=0),"Add bill "&amp;U965&amp;" of "&amp;C965&amp;" on the Bills sheet",IF(S965&lt;R965,"MRP is below the Purchase Rate","OK")))))))))</f>
        <v/>
      </c>
      <c r="B965" s="29"/>
      <c r="C965" s="22"/>
      <c r="D965" s="22"/>
      <c r="E965" s="24"/>
      <c r="F965" s="22"/>
      <c r="G965" s="22"/>
      <c r="H965" s="22"/>
      <c r="I965" s="30" t="str">
        <f>IF(H965="","",IFERROR(INDEX(Codes!$B$2:$B$13,MATCH(H965,Codes!$A$2:$A$13,0)),""))</f>
        <v/>
      </c>
      <c r="J965" s="23"/>
      <c r="K965" s="23"/>
      <c r="L965" s="23"/>
      <c r="M965" s="23"/>
      <c r="N965" s="23"/>
      <c r="O965" s="23"/>
      <c r="P965" s="23"/>
      <c r="Q965" s="31"/>
      <c r="R965" s="32"/>
      <c r="S965" s="32"/>
      <c r="T965" s="33" t="str">
        <f t="shared" si="30"/>
        <v/>
      </c>
      <c r="U965" s="34"/>
      <c r="V965" s="35"/>
      <c r="W965" s="33" t="str">
        <f t="shared" si="31"/>
        <v/>
      </c>
    </row>
    <row r="966" spans="1:23" x14ac:dyDescent="0.35">
      <c r="A966" s="21" t="str">
        <f>IF(COUNTA(B966:H966,J966:S966,U966:V966)=0,"",IF((IF(B966="","PO Ref, ","")&amp;IF(C966="","Vendor, ","")&amp;IF(D966="","Store, ","")&amp;IF(F966="","Product Type, ","")&amp;IF(G966="","Category, ","")&amp;IF(H966="","HSN Code, ","")&amp;IF(Q966="","Qty, ","")&amp;IF(R966="","Purchase Rate, ","")&amp;IF(S966="","MRP, ",""))&lt;&gt;"","Missing: "&amp;LEFT(IF(B966="","PO Ref, ","")&amp;IF(C966="","Vendor, ","")&amp;IF(D966="","Store, ","")&amp;IF(F966="","Product Type, ","")&amp;IF(G966="","Category, ","")&amp;IF(H966="","HSN Code, ","")&amp;IF(Q966="","Qty, ","")&amp;IF(R966="","Purchase Rate, ","")&amp;IF(S966="","MRP, ",""),LEN(IF(B966="","PO Ref, ","")&amp;IF(C966="","Vendor, ","")&amp;IF(D966="","Store, ","")&amp;IF(F966="","Product Type, ","")&amp;IF(G966="","Category, ","")&amp;IF(H966="","HSN Code, ","")&amp;IF(Q966="","Qty, ","")&amp;IF(R966="","Purchase Rate, ","")&amp;IF(S966="","MRP, ",""))-2),IF(COUNTIF(Vendors!$B$3:$B$202,C966)=0,"Add vendor "&amp;C966&amp;" on the Vendors sheet",IF(ISNA(MATCH(H966,Codes!$A$2:$A$13,0)),"Pick the HSN Code from the list",IF(AND(E966&lt;&gt;"",COUNTIFS($C$3:$C$1002,C966,$E$3:$E$1002,E966,$F$3:$F$1002,"&lt;&gt;"&amp;F966)+COUNTIFS($C$3:$C$1002,C966,$E$3:$E$1002,E966,$G$3:$G$1002,"&lt;&gt;"&amp;G966)&gt;0),"Design "&amp;E966&amp;" has another Product Type or Category on another row",IF(COUNTIFS($F$3:$F$1002,F966,$G$3:$G$1002,G966,$H$3:$H$1002,"&lt;&gt;"&amp;H966)&gt;0,F966&amp;" + "&amp;G966&amp;" has another HSN Code on another row",IF(AND(V966&lt;&gt;"",U966=""),"Received Qty needs the Vendor Invoice No",IF(AND(U966&lt;&gt;"",COUNTIFS(Bills!$B$3:$B$302,U966,Bills!$C$3:$C$302,C966)=0),"Add bill "&amp;U966&amp;" of "&amp;C966&amp;" on the Bills sheet",IF(S966&lt;R966,"MRP is below the Purchase Rate","OK")))))))))</f>
        <v/>
      </c>
      <c r="B966" s="29"/>
      <c r="C966" s="22"/>
      <c r="D966" s="22"/>
      <c r="E966" s="24"/>
      <c r="F966" s="22"/>
      <c r="G966" s="22"/>
      <c r="H966" s="22"/>
      <c r="I966" s="30" t="str">
        <f>IF(H966="","",IFERROR(INDEX(Codes!$B$2:$B$13,MATCH(H966,Codes!$A$2:$A$13,0)),""))</f>
        <v/>
      </c>
      <c r="J966" s="23"/>
      <c r="K966" s="23"/>
      <c r="L966" s="23"/>
      <c r="M966" s="23"/>
      <c r="N966" s="23"/>
      <c r="O966" s="23"/>
      <c r="P966" s="23"/>
      <c r="Q966" s="31"/>
      <c r="R966" s="32"/>
      <c r="S966" s="32"/>
      <c r="T966" s="33" t="str">
        <f t="shared" si="30"/>
        <v/>
      </c>
      <c r="U966" s="34"/>
      <c r="V966" s="35"/>
      <c r="W966" s="33" t="str">
        <f t="shared" si="31"/>
        <v/>
      </c>
    </row>
    <row r="967" spans="1:23" x14ac:dyDescent="0.35">
      <c r="A967" s="21" t="str">
        <f>IF(COUNTA(B967:H967,J967:S967,U967:V967)=0,"",IF((IF(B967="","PO Ref, ","")&amp;IF(C967="","Vendor, ","")&amp;IF(D967="","Store, ","")&amp;IF(F967="","Product Type, ","")&amp;IF(G967="","Category, ","")&amp;IF(H967="","HSN Code, ","")&amp;IF(Q967="","Qty, ","")&amp;IF(R967="","Purchase Rate, ","")&amp;IF(S967="","MRP, ",""))&lt;&gt;"","Missing: "&amp;LEFT(IF(B967="","PO Ref, ","")&amp;IF(C967="","Vendor, ","")&amp;IF(D967="","Store, ","")&amp;IF(F967="","Product Type, ","")&amp;IF(G967="","Category, ","")&amp;IF(H967="","HSN Code, ","")&amp;IF(Q967="","Qty, ","")&amp;IF(R967="","Purchase Rate, ","")&amp;IF(S967="","MRP, ",""),LEN(IF(B967="","PO Ref, ","")&amp;IF(C967="","Vendor, ","")&amp;IF(D967="","Store, ","")&amp;IF(F967="","Product Type, ","")&amp;IF(G967="","Category, ","")&amp;IF(H967="","HSN Code, ","")&amp;IF(Q967="","Qty, ","")&amp;IF(R967="","Purchase Rate, ","")&amp;IF(S967="","MRP, ",""))-2),IF(COUNTIF(Vendors!$B$3:$B$202,C967)=0,"Add vendor "&amp;C967&amp;" on the Vendors sheet",IF(ISNA(MATCH(H967,Codes!$A$2:$A$13,0)),"Pick the HSN Code from the list",IF(AND(E967&lt;&gt;"",COUNTIFS($C$3:$C$1002,C967,$E$3:$E$1002,E967,$F$3:$F$1002,"&lt;&gt;"&amp;F967)+COUNTIFS($C$3:$C$1002,C967,$E$3:$E$1002,E967,$G$3:$G$1002,"&lt;&gt;"&amp;G967)&gt;0),"Design "&amp;E967&amp;" has another Product Type or Category on another row",IF(COUNTIFS($F$3:$F$1002,F967,$G$3:$G$1002,G967,$H$3:$H$1002,"&lt;&gt;"&amp;H967)&gt;0,F967&amp;" + "&amp;G967&amp;" has another HSN Code on another row",IF(AND(V967&lt;&gt;"",U967=""),"Received Qty needs the Vendor Invoice No",IF(AND(U967&lt;&gt;"",COUNTIFS(Bills!$B$3:$B$302,U967,Bills!$C$3:$C$302,C967)=0),"Add bill "&amp;U967&amp;" of "&amp;C967&amp;" on the Bills sheet",IF(S967&lt;R967,"MRP is below the Purchase Rate","OK")))))))))</f>
        <v/>
      </c>
      <c r="B967" s="29"/>
      <c r="C967" s="22"/>
      <c r="D967" s="22"/>
      <c r="E967" s="24"/>
      <c r="F967" s="22"/>
      <c r="G967" s="22"/>
      <c r="H967" s="22"/>
      <c r="I967" s="30" t="str">
        <f>IF(H967="","",IFERROR(INDEX(Codes!$B$2:$B$13,MATCH(H967,Codes!$A$2:$A$13,0)),""))</f>
        <v/>
      </c>
      <c r="J967" s="23"/>
      <c r="K967" s="23"/>
      <c r="L967" s="23"/>
      <c r="M967" s="23"/>
      <c r="N967" s="23"/>
      <c r="O967" s="23"/>
      <c r="P967" s="23"/>
      <c r="Q967" s="31"/>
      <c r="R967" s="32"/>
      <c r="S967" s="32"/>
      <c r="T967" s="33" t="str">
        <f t="shared" si="30"/>
        <v/>
      </c>
      <c r="U967" s="34"/>
      <c r="V967" s="35"/>
      <c r="W967" s="33" t="str">
        <f t="shared" si="31"/>
        <v/>
      </c>
    </row>
    <row r="968" spans="1:23" x14ac:dyDescent="0.35">
      <c r="A968" s="21" t="str">
        <f>IF(COUNTA(B968:H968,J968:S968,U968:V968)=0,"",IF((IF(B968="","PO Ref, ","")&amp;IF(C968="","Vendor, ","")&amp;IF(D968="","Store, ","")&amp;IF(F968="","Product Type, ","")&amp;IF(G968="","Category, ","")&amp;IF(H968="","HSN Code, ","")&amp;IF(Q968="","Qty, ","")&amp;IF(R968="","Purchase Rate, ","")&amp;IF(S968="","MRP, ",""))&lt;&gt;"","Missing: "&amp;LEFT(IF(B968="","PO Ref, ","")&amp;IF(C968="","Vendor, ","")&amp;IF(D968="","Store, ","")&amp;IF(F968="","Product Type, ","")&amp;IF(G968="","Category, ","")&amp;IF(H968="","HSN Code, ","")&amp;IF(Q968="","Qty, ","")&amp;IF(R968="","Purchase Rate, ","")&amp;IF(S968="","MRP, ",""),LEN(IF(B968="","PO Ref, ","")&amp;IF(C968="","Vendor, ","")&amp;IF(D968="","Store, ","")&amp;IF(F968="","Product Type, ","")&amp;IF(G968="","Category, ","")&amp;IF(H968="","HSN Code, ","")&amp;IF(Q968="","Qty, ","")&amp;IF(R968="","Purchase Rate, ","")&amp;IF(S968="","MRP, ",""))-2),IF(COUNTIF(Vendors!$B$3:$B$202,C968)=0,"Add vendor "&amp;C968&amp;" on the Vendors sheet",IF(ISNA(MATCH(H968,Codes!$A$2:$A$13,0)),"Pick the HSN Code from the list",IF(AND(E968&lt;&gt;"",COUNTIFS($C$3:$C$1002,C968,$E$3:$E$1002,E968,$F$3:$F$1002,"&lt;&gt;"&amp;F968)+COUNTIFS($C$3:$C$1002,C968,$E$3:$E$1002,E968,$G$3:$G$1002,"&lt;&gt;"&amp;G968)&gt;0),"Design "&amp;E968&amp;" has another Product Type or Category on another row",IF(COUNTIFS($F$3:$F$1002,F968,$G$3:$G$1002,G968,$H$3:$H$1002,"&lt;&gt;"&amp;H968)&gt;0,F968&amp;" + "&amp;G968&amp;" has another HSN Code on another row",IF(AND(V968&lt;&gt;"",U968=""),"Received Qty needs the Vendor Invoice No",IF(AND(U968&lt;&gt;"",COUNTIFS(Bills!$B$3:$B$302,U968,Bills!$C$3:$C$302,C968)=0),"Add bill "&amp;U968&amp;" of "&amp;C968&amp;" on the Bills sheet",IF(S968&lt;R968,"MRP is below the Purchase Rate","OK")))))))))</f>
        <v/>
      </c>
      <c r="B968" s="29"/>
      <c r="C968" s="22"/>
      <c r="D968" s="22"/>
      <c r="E968" s="24"/>
      <c r="F968" s="22"/>
      <c r="G968" s="22"/>
      <c r="H968" s="22"/>
      <c r="I968" s="30" t="str">
        <f>IF(H968="","",IFERROR(INDEX(Codes!$B$2:$B$13,MATCH(H968,Codes!$A$2:$A$13,0)),""))</f>
        <v/>
      </c>
      <c r="J968" s="23"/>
      <c r="K968" s="23"/>
      <c r="L968" s="23"/>
      <c r="M968" s="23"/>
      <c r="N968" s="23"/>
      <c r="O968" s="23"/>
      <c r="P968" s="23"/>
      <c r="Q968" s="31"/>
      <c r="R968" s="32"/>
      <c r="S968" s="32"/>
      <c r="T968" s="33" t="str">
        <f t="shared" si="30"/>
        <v/>
      </c>
      <c r="U968" s="34"/>
      <c r="V968" s="35"/>
      <c r="W968" s="33" t="str">
        <f t="shared" si="31"/>
        <v/>
      </c>
    </row>
    <row r="969" spans="1:23" x14ac:dyDescent="0.35">
      <c r="A969" s="21" t="str">
        <f>IF(COUNTA(B969:H969,J969:S969,U969:V969)=0,"",IF((IF(B969="","PO Ref, ","")&amp;IF(C969="","Vendor, ","")&amp;IF(D969="","Store, ","")&amp;IF(F969="","Product Type, ","")&amp;IF(G969="","Category, ","")&amp;IF(H969="","HSN Code, ","")&amp;IF(Q969="","Qty, ","")&amp;IF(R969="","Purchase Rate, ","")&amp;IF(S969="","MRP, ",""))&lt;&gt;"","Missing: "&amp;LEFT(IF(B969="","PO Ref, ","")&amp;IF(C969="","Vendor, ","")&amp;IF(D969="","Store, ","")&amp;IF(F969="","Product Type, ","")&amp;IF(G969="","Category, ","")&amp;IF(H969="","HSN Code, ","")&amp;IF(Q969="","Qty, ","")&amp;IF(R969="","Purchase Rate, ","")&amp;IF(S969="","MRP, ",""),LEN(IF(B969="","PO Ref, ","")&amp;IF(C969="","Vendor, ","")&amp;IF(D969="","Store, ","")&amp;IF(F969="","Product Type, ","")&amp;IF(G969="","Category, ","")&amp;IF(H969="","HSN Code, ","")&amp;IF(Q969="","Qty, ","")&amp;IF(R969="","Purchase Rate, ","")&amp;IF(S969="","MRP, ",""))-2),IF(COUNTIF(Vendors!$B$3:$B$202,C969)=0,"Add vendor "&amp;C969&amp;" on the Vendors sheet",IF(ISNA(MATCH(H969,Codes!$A$2:$A$13,0)),"Pick the HSN Code from the list",IF(AND(E969&lt;&gt;"",COUNTIFS($C$3:$C$1002,C969,$E$3:$E$1002,E969,$F$3:$F$1002,"&lt;&gt;"&amp;F969)+COUNTIFS($C$3:$C$1002,C969,$E$3:$E$1002,E969,$G$3:$G$1002,"&lt;&gt;"&amp;G969)&gt;0),"Design "&amp;E969&amp;" has another Product Type or Category on another row",IF(COUNTIFS($F$3:$F$1002,F969,$G$3:$G$1002,G969,$H$3:$H$1002,"&lt;&gt;"&amp;H969)&gt;0,F969&amp;" + "&amp;G969&amp;" has another HSN Code on another row",IF(AND(V969&lt;&gt;"",U969=""),"Received Qty needs the Vendor Invoice No",IF(AND(U969&lt;&gt;"",COUNTIFS(Bills!$B$3:$B$302,U969,Bills!$C$3:$C$302,C969)=0),"Add bill "&amp;U969&amp;" of "&amp;C969&amp;" on the Bills sheet",IF(S969&lt;R969,"MRP is below the Purchase Rate","OK")))))))))</f>
        <v/>
      </c>
      <c r="B969" s="29"/>
      <c r="C969" s="22"/>
      <c r="D969" s="22"/>
      <c r="E969" s="24"/>
      <c r="F969" s="22"/>
      <c r="G969" s="22"/>
      <c r="H969" s="22"/>
      <c r="I969" s="30" t="str">
        <f>IF(H969="","",IFERROR(INDEX(Codes!$B$2:$B$13,MATCH(H969,Codes!$A$2:$A$13,0)),""))</f>
        <v/>
      </c>
      <c r="J969" s="23"/>
      <c r="K969" s="23"/>
      <c r="L969" s="23"/>
      <c r="M969" s="23"/>
      <c r="N969" s="23"/>
      <c r="O969" s="23"/>
      <c r="P969" s="23"/>
      <c r="Q969" s="31"/>
      <c r="R969" s="32"/>
      <c r="S969" s="32"/>
      <c r="T969" s="33" t="str">
        <f t="shared" si="30"/>
        <v/>
      </c>
      <c r="U969" s="34"/>
      <c r="V969" s="35"/>
      <c r="W969" s="33" t="str">
        <f t="shared" si="31"/>
        <v/>
      </c>
    </row>
    <row r="970" spans="1:23" x14ac:dyDescent="0.35">
      <c r="A970" s="21" t="str">
        <f>IF(COUNTA(B970:H970,J970:S970,U970:V970)=0,"",IF((IF(B970="","PO Ref, ","")&amp;IF(C970="","Vendor, ","")&amp;IF(D970="","Store, ","")&amp;IF(F970="","Product Type, ","")&amp;IF(G970="","Category, ","")&amp;IF(H970="","HSN Code, ","")&amp;IF(Q970="","Qty, ","")&amp;IF(R970="","Purchase Rate, ","")&amp;IF(S970="","MRP, ",""))&lt;&gt;"","Missing: "&amp;LEFT(IF(B970="","PO Ref, ","")&amp;IF(C970="","Vendor, ","")&amp;IF(D970="","Store, ","")&amp;IF(F970="","Product Type, ","")&amp;IF(G970="","Category, ","")&amp;IF(H970="","HSN Code, ","")&amp;IF(Q970="","Qty, ","")&amp;IF(R970="","Purchase Rate, ","")&amp;IF(S970="","MRP, ",""),LEN(IF(B970="","PO Ref, ","")&amp;IF(C970="","Vendor, ","")&amp;IF(D970="","Store, ","")&amp;IF(F970="","Product Type, ","")&amp;IF(G970="","Category, ","")&amp;IF(H970="","HSN Code, ","")&amp;IF(Q970="","Qty, ","")&amp;IF(R970="","Purchase Rate, ","")&amp;IF(S970="","MRP, ",""))-2),IF(COUNTIF(Vendors!$B$3:$B$202,C970)=0,"Add vendor "&amp;C970&amp;" on the Vendors sheet",IF(ISNA(MATCH(H970,Codes!$A$2:$A$13,0)),"Pick the HSN Code from the list",IF(AND(E970&lt;&gt;"",COUNTIFS($C$3:$C$1002,C970,$E$3:$E$1002,E970,$F$3:$F$1002,"&lt;&gt;"&amp;F970)+COUNTIFS($C$3:$C$1002,C970,$E$3:$E$1002,E970,$G$3:$G$1002,"&lt;&gt;"&amp;G970)&gt;0),"Design "&amp;E970&amp;" has another Product Type or Category on another row",IF(COUNTIFS($F$3:$F$1002,F970,$G$3:$G$1002,G970,$H$3:$H$1002,"&lt;&gt;"&amp;H970)&gt;0,F970&amp;" + "&amp;G970&amp;" has another HSN Code on another row",IF(AND(V970&lt;&gt;"",U970=""),"Received Qty needs the Vendor Invoice No",IF(AND(U970&lt;&gt;"",COUNTIFS(Bills!$B$3:$B$302,U970,Bills!$C$3:$C$302,C970)=0),"Add bill "&amp;U970&amp;" of "&amp;C970&amp;" on the Bills sheet",IF(S970&lt;R970,"MRP is below the Purchase Rate","OK")))))))))</f>
        <v/>
      </c>
      <c r="B970" s="29"/>
      <c r="C970" s="22"/>
      <c r="D970" s="22"/>
      <c r="E970" s="24"/>
      <c r="F970" s="22"/>
      <c r="G970" s="22"/>
      <c r="H970" s="22"/>
      <c r="I970" s="30" t="str">
        <f>IF(H970="","",IFERROR(INDEX(Codes!$B$2:$B$13,MATCH(H970,Codes!$A$2:$A$13,0)),""))</f>
        <v/>
      </c>
      <c r="J970" s="23"/>
      <c r="K970" s="23"/>
      <c r="L970" s="23"/>
      <c r="M970" s="23"/>
      <c r="N970" s="23"/>
      <c r="O970" s="23"/>
      <c r="P970" s="23"/>
      <c r="Q970" s="31"/>
      <c r="R970" s="32"/>
      <c r="S970" s="32"/>
      <c r="T970" s="33" t="str">
        <f t="shared" si="30"/>
        <v/>
      </c>
      <c r="U970" s="34"/>
      <c r="V970" s="35"/>
      <c r="W970" s="33" t="str">
        <f t="shared" si="31"/>
        <v/>
      </c>
    </row>
    <row r="971" spans="1:23" x14ac:dyDescent="0.35">
      <c r="A971" s="21" t="str">
        <f>IF(COUNTA(B971:H971,J971:S971,U971:V971)=0,"",IF((IF(B971="","PO Ref, ","")&amp;IF(C971="","Vendor, ","")&amp;IF(D971="","Store, ","")&amp;IF(F971="","Product Type, ","")&amp;IF(G971="","Category, ","")&amp;IF(H971="","HSN Code, ","")&amp;IF(Q971="","Qty, ","")&amp;IF(R971="","Purchase Rate, ","")&amp;IF(S971="","MRP, ",""))&lt;&gt;"","Missing: "&amp;LEFT(IF(B971="","PO Ref, ","")&amp;IF(C971="","Vendor, ","")&amp;IF(D971="","Store, ","")&amp;IF(F971="","Product Type, ","")&amp;IF(G971="","Category, ","")&amp;IF(H971="","HSN Code, ","")&amp;IF(Q971="","Qty, ","")&amp;IF(R971="","Purchase Rate, ","")&amp;IF(S971="","MRP, ",""),LEN(IF(B971="","PO Ref, ","")&amp;IF(C971="","Vendor, ","")&amp;IF(D971="","Store, ","")&amp;IF(F971="","Product Type, ","")&amp;IF(G971="","Category, ","")&amp;IF(H971="","HSN Code, ","")&amp;IF(Q971="","Qty, ","")&amp;IF(R971="","Purchase Rate, ","")&amp;IF(S971="","MRP, ",""))-2),IF(COUNTIF(Vendors!$B$3:$B$202,C971)=0,"Add vendor "&amp;C971&amp;" on the Vendors sheet",IF(ISNA(MATCH(H971,Codes!$A$2:$A$13,0)),"Pick the HSN Code from the list",IF(AND(E971&lt;&gt;"",COUNTIFS($C$3:$C$1002,C971,$E$3:$E$1002,E971,$F$3:$F$1002,"&lt;&gt;"&amp;F971)+COUNTIFS($C$3:$C$1002,C971,$E$3:$E$1002,E971,$G$3:$G$1002,"&lt;&gt;"&amp;G971)&gt;0),"Design "&amp;E971&amp;" has another Product Type or Category on another row",IF(COUNTIFS($F$3:$F$1002,F971,$G$3:$G$1002,G971,$H$3:$H$1002,"&lt;&gt;"&amp;H971)&gt;0,F971&amp;" + "&amp;G971&amp;" has another HSN Code on another row",IF(AND(V971&lt;&gt;"",U971=""),"Received Qty needs the Vendor Invoice No",IF(AND(U971&lt;&gt;"",COUNTIFS(Bills!$B$3:$B$302,U971,Bills!$C$3:$C$302,C971)=0),"Add bill "&amp;U971&amp;" of "&amp;C971&amp;" on the Bills sheet",IF(S971&lt;R971,"MRP is below the Purchase Rate","OK")))))))))</f>
        <v/>
      </c>
      <c r="B971" s="29"/>
      <c r="C971" s="22"/>
      <c r="D971" s="22"/>
      <c r="E971" s="24"/>
      <c r="F971" s="22"/>
      <c r="G971" s="22"/>
      <c r="H971" s="22"/>
      <c r="I971" s="30" t="str">
        <f>IF(H971="","",IFERROR(INDEX(Codes!$B$2:$B$13,MATCH(H971,Codes!$A$2:$A$13,0)),""))</f>
        <v/>
      </c>
      <c r="J971" s="23"/>
      <c r="K971" s="23"/>
      <c r="L971" s="23"/>
      <c r="M971" s="23"/>
      <c r="N971" s="23"/>
      <c r="O971" s="23"/>
      <c r="P971" s="23"/>
      <c r="Q971" s="31"/>
      <c r="R971" s="32"/>
      <c r="S971" s="32"/>
      <c r="T971" s="33" t="str">
        <f t="shared" si="30"/>
        <v/>
      </c>
      <c r="U971" s="34"/>
      <c r="V971" s="35"/>
      <c r="W971" s="33" t="str">
        <f t="shared" si="31"/>
        <v/>
      </c>
    </row>
    <row r="972" spans="1:23" x14ac:dyDescent="0.35">
      <c r="A972" s="21" t="str">
        <f>IF(COUNTA(B972:H972,J972:S972,U972:V972)=0,"",IF((IF(B972="","PO Ref, ","")&amp;IF(C972="","Vendor, ","")&amp;IF(D972="","Store, ","")&amp;IF(F972="","Product Type, ","")&amp;IF(G972="","Category, ","")&amp;IF(H972="","HSN Code, ","")&amp;IF(Q972="","Qty, ","")&amp;IF(R972="","Purchase Rate, ","")&amp;IF(S972="","MRP, ",""))&lt;&gt;"","Missing: "&amp;LEFT(IF(B972="","PO Ref, ","")&amp;IF(C972="","Vendor, ","")&amp;IF(D972="","Store, ","")&amp;IF(F972="","Product Type, ","")&amp;IF(G972="","Category, ","")&amp;IF(H972="","HSN Code, ","")&amp;IF(Q972="","Qty, ","")&amp;IF(R972="","Purchase Rate, ","")&amp;IF(S972="","MRP, ",""),LEN(IF(B972="","PO Ref, ","")&amp;IF(C972="","Vendor, ","")&amp;IF(D972="","Store, ","")&amp;IF(F972="","Product Type, ","")&amp;IF(G972="","Category, ","")&amp;IF(H972="","HSN Code, ","")&amp;IF(Q972="","Qty, ","")&amp;IF(R972="","Purchase Rate, ","")&amp;IF(S972="","MRP, ",""))-2),IF(COUNTIF(Vendors!$B$3:$B$202,C972)=0,"Add vendor "&amp;C972&amp;" on the Vendors sheet",IF(ISNA(MATCH(H972,Codes!$A$2:$A$13,0)),"Pick the HSN Code from the list",IF(AND(E972&lt;&gt;"",COUNTIFS($C$3:$C$1002,C972,$E$3:$E$1002,E972,$F$3:$F$1002,"&lt;&gt;"&amp;F972)+COUNTIFS($C$3:$C$1002,C972,$E$3:$E$1002,E972,$G$3:$G$1002,"&lt;&gt;"&amp;G972)&gt;0),"Design "&amp;E972&amp;" has another Product Type or Category on another row",IF(COUNTIFS($F$3:$F$1002,F972,$G$3:$G$1002,G972,$H$3:$H$1002,"&lt;&gt;"&amp;H972)&gt;0,F972&amp;" + "&amp;G972&amp;" has another HSN Code on another row",IF(AND(V972&lt;&gt;"",U972=""),"Received Qty needs the Vendor Invoice No",IF(AND(U972&lt;&gt;"",COUNTIFS(Bills!$B$3:$B$302,U972,Bills!$C$3:$C$302,C972)=0),"Add bill "&amp;U972&amp;" of "&amp;C972&amp;" on the Bills sheet",IF(S972&lt;R972,"MRP is below the Purchase Rate","OK")))))))))</f>
        <v/>
      </c>
      <c r="B972" s="29"/>
      <c r="C972" s="22"/>
      <c r="D972" s="22"/>
      <c r="E972" s="24"/>
      <c r="F972" s="22"/>
      <c r="G972" s="22"/>
      <c r="H972" s="22"/>
      <c r="I972" s="30" t="str">
        <f>IF(H972="","",IFERROR(INDEX(Codes!$B$2:$B$13,MATCH(H972,Codes!$A$2:$A$13,0)),""))</f>
        <v/>
      </c>
      <c r="J972" s="23"/>
      <c r="K972" s="23"/>
      <c r="L972" s="23"/>
      <c r="M972" s="23"/>
      <c r="N972" s="23"/>
      <c r="O972" s="23"/>
      <c r="P972" s="23"/>
      <c r="Q972" s="31"/>
      <c r="R972" s="32"/>
      <c r="S972" s="32"/>
      <c r="T972" s="33" t="str">
        <f t="shared" si="30"/>
        <v/>
      </c>
      <c r="U972" s="34"/>
      <c r="V972" s="35"/>
      <c r="W972" s="33" t="str">
        <f t="shared" si="31"/>
        <v/>
      </c>
    </row>
    <row r="973" spans="1:23" x14ac:dyDescent="0.35">
      <c r="A973" s="21" t="str">
        <f>IF(COUNTA(B973:H973,J973:S973,U973:V973)=0,"",IF((IF(B973="","PO Ref, ","")&amp;IF(C973="","Vendor, ","")&amp;IF(D973="","Store, ","")&amp;IF(F973="","Product Type, ","")&amp;IF(G973="","Category, ","")&amp;IF(H973="","HSN Code, ","")&amp;IF(Q973="","Qty, ","")&amp;IF(R973="","Purchase Rate, ","")&amp;IF(S973="","MRP, ",""))&lt;&gt;"","Missing: "&amp;LEFT(IF(B973="","PO Ref, ","")&amp;IF(C973="","Vendor, ","")&amp;IF(D973="","Store, ","")&amp;IF(F973="","Product Type, ","")&amp;IF(G973="","Category, ","")&amp;IF(H973="","HSN Code, ","")&amp;IF(Q973="","Qty, ","")&amp;IF(R973="","Purchase Rate, ","")&amp;IF(S973="","MRP, ",""),LEN(IF(B973="","PO Ref, ","")&amp;IF(C973="","Vendor, ","")&amp;IF(D973="","Store, ","")&amp;IF(F973="","Product Type, ","")&amp;IF(G973="","Category, ","")&amp;IF(H973="","HSN Code, ","")&amp;IF(Q973="","Qty, ","")&amp;IF(R973="","Purchase Rate, ","")&amp;IF(S973="","MRP, ",""))-2),IF(COUNTIF(Vendors!$B$3:$B$202,C973)=0,"Add vendor "&amp;C973&amp;" on the Vendors sheet",IF(ISNA(MATCH(H973,Codes!$A$2:$A$13,0)),"Pick the HSN Code from the list",IF(AND(E973&lt;&gt;"",COUNTIFS($C$3:$C$1002,C973,$E$3:$E$1002,E973,$F$3:$F$1002,"&lt;&gt;"&amp;F973)+COUNTIFS($C$3:$C$1002,C973,$E$3:$E$1002,E973,$G$3:$G$1002,"&lt;&gt;"&amp;G973)&gt;0),"Design "&amp;E973&amp;" has another Product Type or Category on another row",IF(COUNTIFS($F$3:$F$1002,F973,$G$3:$G$1002,G973,$H$3:$H$1002,"&lt;&gt;"&amp;H973)&gt;0,F973&amp;" + "&amp;G973&amp;" has another HSN Code on another row",IF(AND(V973&lt;&gt;"",U973=""),"Received Qty needs the Vendor Invoice No",IF(AND(U973&lt;&gt;"",COUNTIFS(Bills!$B$3:$B$302,U973,Bills!$C$3:$C$302,C973)=0),"Add bill "&amp;U973&amp;" of "&amp;C973&amp;" on the Bills sheet",IF(S973&lt;R973,"MRP is below the Purchase Rate","OK")))))))))</f>
        <v/>
      </c>
      <c r="B973" s="29"/>
      <c r="C973" s="22"/>
      <c r="D973" s="22"/>
      <c r="E973" s="24"/>
      <c r="F973" s="22"/>
      <c r="G973" s="22"/>
      <c r="H973" s="22"/>
      <c r="I973" s="30" t="str">
        <f>IF(H973="","",IFERROR(INDEX(Codes!$B$2:$B$13,MATCH(H973,Codes!$A$2:$A$13,0)),""))</f>
        <v/>
      </c>
      <c r="J973" s="23"/>
      <c r="K973" s="23"/>
      <c r="L973" s="23"/>
      <c r="M973" s="23"/>
      <c r="N973" s="23"/>
      <c r="O973" s="23"/>
      <c r="P973" s="23"/>
      <c r="Q973" s="31"/>
      <c r="R973" s="32"/>
      <c r="S973" s="32"/>
      <c r="T973" s="33" t="str">
        <f t="shared" si="30"/>
        <v/>
      </c>
      <c r="U973" s="34"/>
      <c r="V973" s="35"/>
      <c r="W973" s="33" t="str">
        <f t="shared" si="31"/>
        <v/>
      </c>
    </row>
    <row r="974" spans="1:23" x14ac:dyDescent="0.35">
      <c r="A974" s="21" t="str">
        <f>IF(COUNTA(B974:H974,J974:S974,U974:V974)=0,"",IF((IF(B974="","PO Ref, ","")&amp;IF(C974="","Vendor, ","")&amp;IF(D974="","Store, ","")&amp;IF(F974="","Product Type, ","")&amp;IF(G974="","Category, ","")&amp;IF(H974="","HSN Code, ","")&amp;IF(Q974="","Qty, ","")&amp;IF(R974="","Purchase Rate, ","")&amp;IF(S974="","MRP, ",""))&lt;&gt;"","Missing: "&amp;LEFT(IF(B974="","PO Ref, ","")&amp;IF(C974="","Vendor, ","")&amp;IF(D974="","Store, ","")&amp;IF(F974="","Product Type, ","")&amp;IF(G974="","Category, ","")&amp;IF(H974="","HSN Code, ","")&amp;IF(Q974="","Qty, ","")&amp;IF(R974="","Purchase Rate, ","")&amp;IF(S974="","MRP, ",""),LEN(IF(B974="","PO Ref, ","")&amp;IF(C974="","Vendor, ","")&amp;IF(D974="","Store, ","")&amp;IF(F974="","Product Type, ","")&amp;IF(G974="","Category, ","")&amp;IF(H974="","HSN Code, ","")&amp;IF(Q974="","Qty, ","")&amp;IF(R974="","Purchase Rate, ","")&amp;IF(S974="","MRP, ",""))-2),IF(COUNTIF(Vendors!$B$3:$B$202,C974)=0,"Add vendor "&amp;C974&amp;" on the Vendors sheet",IF(ISNA(MATCH(H974,Codes!$A$2:$A$13,0)),"Pick the HSN Code from the list",IF(AND(E974&lt;&gt;"",COUNTIFS($C$3:$C$1002,C974,$E$3:$E$1002,E974,$F$3:$F$1002,"&lt;&gt;"&amp;F974)+COUNTIFS($C$3:$C$1002,C974,$E$3:$E$1002,E974,$G$3:$G$1002,"&lt;&gt;"&amp;G974)&gt;0),"Design "&amp;E974&amp;" has another Product Type or Category on another row",IF(COUNTIFS($F$3:$F$1002,F974,$G$3:$G$1002,G974,$H$3:$H$1002,"&lt;&gt;"&amp;H974)&gt;0,F974&amp;" + "&amp;G974&amp;" has another HSN Code on another row",IF(AND(V974&lt;&gt;"",U974=""),"Received Qty needs the Vendor Invoice No",IF(AND(U974&lt;&gt;"",COUNTIFS(Bills!$B$3:$B$302,U974,Bills!$C$3:$C$302,C974)=0),"Add bill "&amp;U974&amp;" of "&amp;C974&amp;" on the Bills sheet",IF(S974&lt;R974,"MRP is below the Purchase Rate","OK")))))))))</f>
        <v/>
      </c>
      <c r="B974" s="29"/>
      <c r="C974" s="22"/>
      <c r="D974" s="22"/>
      <c r="E974" s="24"/>
      <c r="F974" s="22"/>
      <c r="G974" s="22"/>
      <c r="H974" s="22"/>
      <c r="I974" s="30" t="str">
        <f>IF(H974="","",IFERROR(INDEX(Codes!$B$2:$B$13,MATCH(H974,Codes!$A$2:$A$13,0)),""))</f>
        <v/>
      </c>
      <c r="J974" s="23"/>
      <c r="K974" s="23"/>
      <c r="L974" s="23"/>
      <c r="M974" s="23"/>
      <c r="N974" s="23"/>
      <c r="O974" s="23"/>
      <c r="P974" s="23"/>
      <c r="Q974" s="31"/>
      <c r="R974" s="32"/>
      <c r="S974" s="32"/>
      <c r="T974" s="33" t="str">
        <f t="shared" si="30"/>
        <v/>
      </c>
      <c r="U974" s="34"/>
      <c r="V974" s="35"/>
      <c r="W974" s="33" t="str">
        <f t="shared" si="31"/>
        <v/>
      </c>
    </row>
    <row r="975" spans="1:23" x14ac:dyDescent="0.35">
      <c r="A975" s="21" t="str">
        <f>IF(COUNTA(B975:H975,J975:S975,U975:V975)=0,"",IF((IF(B975="","PO Ref, ","")&amp;IF(C975="","Vendor, ","")&amp;IF(D975="","Store, ","")&amp;IF(F975="","Product Type, ","")&amp;IF(G975="","Category, ","")&amp;IF(H975="","HSN Code, ","")&amp;IF(Q975="","Qty, ","")&amp;IF(R975="","Purchase Rate, ","")&amp;IF(S975="","MRP, ",""))&lt;&gt;"","Missing: "&amp;LEFT(IF(B975="","PO Ref, ","")&amp;IF(C975="","Vendor, ","")&amp;IF(D975="","Store, ","")&amp;IF(F975="","Product Type, ","")&amp;IF(G975="","Category, ","")&amp;IF(H975="","HSN Code, ","")&amp;IF(Q975="","Qty, ","")&amp;IF(R975="","Purchase Rate, ","")&amp;IF(S975="","MRP, ",""),LEN(IF(B975="","PO Ref, ","")&amp;IF(C975="","Vendor, ","")&amp;IF(D975="","Store, ","")&amp;IF(F975="","Product Type, ","")&amp;IF(G975="","Category, ","")&amp;IF(H975="","HSN Code, ","")&amp;IF(Q975="","Qty, ","")&amp;IF(R975="","Purchase Rate, ","")&amp;IF(S975="","MRP, ",""))-2),IF(COUNTIF(Vendors!$B$3:$B$202,C975)=0,"Add vendor "&amp;C975&amp;" on the Vendors sheet",IF(ISNA(MATCH(H975,Codes!$A$2:$A$13,0)),"Pick the HSN Code from the list",IF(AND(E975&lt;&gt;"",COUNTIFS($C$3:$C$1002,C975,$E$3:$E$1002,E975,$F$3:$F$1002,"&lt;&gt;"&amp;F975)+COUNTIFS($C$3:$C$1002,C975,$E$3:$E$1002,E975,$G$3:$G$1002,"&lt;&gt;"&amp;G975)&gt;0),"Design "&amp;E975&amp;" has another Product Type or Category on another row",IF(COUNTIFS($F$3:$F$1002,F975,$G$3:$G$1002,G975,$H$3:$H$1002,"&lt;&gt;"&amp;H975)&gt;0,F975&amp;" + "&amp;G975&amp;" has another HSN Code on another row",IF(AND(V975&lt;&gt;"",U975=""),"Received Qty needs the Vendor Invoice No",IF(AND(U975&lt;&gt;"",COUNTIFS(Bills!$B$3:$B$302,U975,Bills!$C$3:$C$302,C975)=0),"Add bill "&amp;U975&amp;" of "&amp;C975&amp;" on the Bills sheet",IF(S975&lt;R975,"MRP is below the Purchase Rate","OK")))))))))</f>
        <v/>
      </c>
      <c r="B975" s="29"/>
      <c r="C975" s="22"/>
      <c r="D975" s="22"/>
      <c r="E975" s="24"/>
      <c r="F975" s="22"/>
      <c r="G975" s="22"/>
      <c r="H975" s="22"/>
      <c r="I975" s="30" t="str">
        <f>IF(H975="","",IFERROR(INDEX(Codes!$B$2:$B$13,MATCH(H975,Codes!$A$2:$A$13,0)),""))</f>
        <v/>
      </c>
      <c r="J975" s="23"/>
      <c r="K975" s="23"/>
      <c r="L975" s="23"/>
      <c r="M975" s="23"/>
      <c r="N975" s="23"/>
      <c r="O975" s="23"/>
      <c r="P975" s="23"/>
      <c r="Q975" s="31"/>
      <c r="R975" s="32"/>
      <c r="S975" s="32"/>
      <c r="T975" s="33" t="str">
        <f t="shared" si="30"/>
        <v/>
      </c>
      <c r="U975" s="34"/>
      <c r="V975" s="35"/>
      <c r="W975" s="33" t="str">
        <f t="shared" si="31"/>
        <v/>
      </c>
    </row>
    <row r="976" spans="1:23" x14ac:dyDescent="0.35">
      <c r="A976" s="21" t="str">
        <f>IF(COUNTA(B976:H976,J976:S976,U976:V976)=0,"",IF((IF(B976="","PO Ref, ","")&amp;IF(C976="","Vendor, ","")&amp;IF(D976="","Store, ","")&amp;IF(F976="","Product Type, ","")&amp;IF(G976="","Category, ","")&amp;IF(H976="","HSN Code, ","")&amp;IF(Q976="","Qty, ","")&amp;IF(R976="","Purchase Rate, ","")&amp;IF(S976="","MRP, ",""))&lt;&gt;"","Missing: "&amp;LEFT(IF(B976="","PO Ref, ","")&amp;IF(C976="","Vendor, ","")&amp;IF(D976="","Store, ","")&amp;IF(F976="","Product Type, ","")&amp;IF(G976="","Category, ","")&amp;IF(H976="","HSN Code, ","")&amp;IF(Q976="","Qty, ","")&amp;IF(R976="","Purchase Rate, ","")&amp;IF(S976="","MRP, ",""),LEN(IF(B976="","PO Ref, ","")&amp;IF(C976="","Vendor, ","")&amp;IF(D976="","Store, ","")&amp;IF(F976="","Product Type, ","")&amp;IF(G976="","Category, ","")&amp;IF(H976="","HSN Code, ","")&amp;IF(Q976="","Qty, ","")&amp;IF(R976="","Purchase Rate, ","")&amp;IF(S976="","MRP, ",""))-2),IF(COUNTIF(Vendors!$B$3:$B$202,C976)=0,"Add vendor "&amp;C976&amp;" on the Vendors sheet",IF(ISNA(MATCH(H976,Codes!$A$2:$A$13,0)),"Pick the HSN Code from the list",IF(AND(E976&lt;&gt;"",COUNTIFS($C$3:$C$1002,C976,$E$3:$E$1002,E976,$F$3:$F$1002,"&lt;&gt;"&amp;F976)+COUNTIFS($C$3:$C$1002,C976,$E$3:$E$1002,E976,$G$3:$G$1002,"&lt;&gt;"&amp;G976)&gt;0),"Design "&amp;E976&amp;" has another Product Type or Category on another row",IF(COUNTIFS($F$3:$F$1002,F976,$G$3:$G$1002,G976,$H$3:$H$1002,"&lt;&gt;"&amp;H976)&gt;0,F976&amp;" + "&amp;G976&amp;" has another HSN Code on another row",IF(AND(V976&lt;&gt;"",U976=""),"Received Qty needs the Vendor Invoice No",IF(AND(U976&lt;&gt;"",COUNTIFS(Bills!$B$3:$B$302,U976,Bills!$C$3:$C$302,C976)=0),"Add bill "&amp;U976&amp;" of "&amp;C976&amp;" on the Bills sheet",IF(S976&lt;R976,"MRP is below the Purchase Rate","OK")))))))))</f>
        <v/>
      </c>
      <c r="B976" s="29"/>
      <c r="C976" s="22"/>
      <c r="D976" s="22"/>
      <c r="E976" s="24"/>
      <c r="F976" s="22"/>
      <c r="G976" s="22"/>
      <c r="H976" s="22"/>
      <c r="I976" s="30" t="str">
        <f>IF(H976="","",IFERROR(INDEX(Codes!$B$2:$B$13,MATCH(H976,Codes!$A$2:$A$13,0)),""))</f>
        <v/>
      </c>
      <c r="J976" s="23"/>
      <c r="K976" s="23"/>
      <c r="L976" s="23"/>
      <c r="M976" s="23"/>
      <c r="N976" s="23"/>
      <c r="O976" s="23"/>
      <c r="P976" s="23"/>
      <c r="Q976" s="31"/>
      <c r="R976" s="32"/>
      <c r="S976" s="32"/>
      <c r="T976" s="33" t="str">
        <f t="shared" si="30"/>
        <v/>
      </c>
      <c r="U976" s="34"/>
      <c r="V976" s="35"/>
      <c r="W976" s="33" t="str">
        <f t="shared" si="31"/>
        <v/>
      </c>
    </row>
    <row r="977" spans="1:23" x14ac:dyDescent="0.35">
      <c r="A977" s="21" t="str">
        <f>IF(COUNTA(B977:H977,J977:S977,U977:V977)=0,"",IF((IF(B977="","PO Ref, ","")&amp;IF(C977="","Vendor, ","")&amp;IF(D977="","Store, ","")&amp;IF(F977="","Product Type, ","")&amp;IF(G977="","Category, ","")&amp;IF(H977="","HSN Code, ","")&amp;IF(Q977="","Qty, ","")&amp;IF(R977="","Purchase Rate, ","")&amp;IF(S977="","MRP, ",""))&lt;&gt;"","Missing: "&amp;LEFT(IF(B977="","PO Ref, ","")&amp;IF(C977="","Vendor, ","")&amp;IF(D977="","Store, ","")&amp;IF(F977="","Product Type, ","")&amp;IF(G977="","Category, ","")&amp;IF(H977="","HSN Code, ","")&amp;IF(Q977="","Qty, ","")&amp;IF(R977="","Purchase Rate, ","")&amp;IF(S977="","MRP, ",""),LEN(IF(B977="","PO Ref, ","")&amp;IF(C977="","Vendor, ","")&amp;IF(D977="","Store, ","")&amp;IF(F977="","Product Type, ","")&amp;IF(G977="","Category, ","")&amp;IF(H977="","HSN Code, ","")&amp;IF(Q977="","Qty, ","")&amp;IF(R977="","Purchase Rate, ","")&amp;IF(S977="","MRP, ",""))-2),IF(COUNTIF(Vendors!$B$3:$B$202,C977)=0,"Add vendor "&amp;C977&amp;" on the Vendors sheet",IF(ISNA(MATCH(H977,Codes!$A$2:$A$13,0)),"Pick the HSN Code from the list",IF(AND(E977&lt;&gt;"",COUNTIFS($C$3:$C$1002,C977,$E$3:$E$1002,E977,$F$3:$F$1002,"&lt;&gt;"&amp;F977)+COUNTIFS($C$3:$C$1002,C977,$E$3:$E$1002,E977,$G$3:$G$1002,"&lt;&gt;"&amp;G977)&gt;0),"Design "&amp;E977&amp;" has another Product Type or Category on another row",IF(COUNTIFS($F$3:$F$1002,F977,$G$3:$G$1002,G977,$H$3:$H$1002,"&lt;&gt;"&amp;H977)&gt;0,F977&amp;" + "&amp;G977&amp;" has another HSN Code on another row",IF(AND(V977&lt;&gt;"",U977=""),"Received Qty needs the Vendor Invoice No",IF(AND(U977&lt;&gt;"",COUNTIFS(Bills!$B$3:$B$302,U977,Bills!$C$3:$C$302,C977)=0),"Add bill "&amp;U977&amp;" of "&amp;C977&amp;" on the Bills sheet",IF(S977&lt;R977,"MRP is below the Purchase Rate","OK")))))))))</f>
        <v/>
      </c>
      <c r="B977" s="29"/>
      <c r="C977" s="22"/>
      <c r="D977" s="22"/>
      <c r="E977" s="24"/>
      <c r="F977" s="22"/>
      <c r="G977" s="22"/>
      <c r="H977" s="22"/>
      <c r="I977" s="30" t="str">
        <f>IF(H977="","",IFERROR(INDEX(Codes!$B$2:$B$13,MATCH(H977,Codes!$A$2:$A$13,0)),""))</f>
        <v/>
      </c>
      <c r="J977" s="23"/>
      <c r="K977" s="23"/>
      <c r="L977" s="23"/>
      <c r="M977" s="23"/>
      <c r="N977" s="23"/>
      <c r="O977" s="23"/>
      <c r="P977" s="23"/>
      <c r="Q977" s="31"/>
      <c r="R977" s="32"/>
      <c r="S977" s="32"/>
      <c r="T977" s="33" t="str">
        <f t="shared" si="30"/>
        <v/>
      </c>
      <c r="U977" s="34"/>
      <c r="V977" s="35"/>
      <c r="W977" s="33" t="str">
        <f t="shared" si="31"/>
        <v/>
      </c>
    </row>
    <row r="978" spans="1:23" x14ac:dyDescent="0.35">
      <c r="A978" s="21" t="str">
        <f>IF(COUNTA(B978:H978,J978:S978,U978:V978)=0,"",IF((IF(B978="","PO Ref, ","")&amp;IF(C978="","Vendor, ","")&amp;IF(D978="","Store, ","")&amp;IF(F978="","Product Type, ","")&amp;IF(G978="","Category, ","")&amp;IF(H978="","HSN Code, ","")&amp;IF(Q978="","Qty, ","")&amp;IF(R978="","Purchase Rate, ","")&amp;IF(S978="","MRP, ",""))&lt;&gt;"","Missing: "&amp;LEFT(IF(B978="","PO Ref, ","")&amp;IF(C978="","Vendor, ","")&amp;IF(D978="","Store, ","")&amp;IF(F978="","Product Type, ","")&amp;IF(G978="","Category, ","")&amp;IF(H978="","HSN Code, ","")&amp;IF(Q978="","Qty, ","")&amp;IF(R978="","Purchase Rate, ","")&amp;IF(S978="","MRP, ",""),LEN(IF(B978="","PO Ref, ","")&amp;IF(C978="","Vendor, ","")&amp;IF(D978="","Store, ","")&amp;IF(F978="","Product Type, ","")&amp;IF(G978="","Category, ","")&amp;IF(H978="","HSN Code, ","")&amp;IF(Q978="","Qty, ","")&amp;IF(R978="","Purchase Rate, ","")&amp;IF(S978="","MRP, ",""))-2),IF(COUNTIF(Vendors!$B$3:$B$202,C978)=0,"Add vendor "&amp;C978&amp;" on the Vendors sheet",IF(ISNA(MATCH(H978,Codes!$A$2:$A$13,0)),"Pick the HSN Code from the list",IF(AND(E978&lt;&gt;"",COUNTIFS($C$3:$C$1002,C978,$E$3:$E$1002,E978,$F$3:$F$1002,"&lt;&gt;"&amp;F978)+COUNTIFS($C$3:$C$1002,C978,$E$3:$E$1002,E978,$G$3:$G$1002,"&lt;&gt;"&amp;G978)&gt;0),"Design "&amp;E978&amp;" has another Product Type or Category on another row",IF(COUNTIFS($F$3:$F$1002,F978,$G$3:$G$1002,G978,$H$3:$H$1002,"&lt;&gt;"&amp;H978)&gt;0,F978&amp;" + "&amp;G978&amp;" has another HSN Code on another row",IF(AND(V978&lt;&gt;"",U978=""),"Received Qty needs the Vendor Invoice No",IF(AND(U978&lt;&gt;"",COUNTIFS(Bills!$B$3:$B$302,U978,Bills!$C$3:$C$302,C978)=0),"Add bill "&amp;U978&amp;" of "&amp;C978&amp;" on the Bills sheet",IF(S978&lt;R978,"MRP is below the Purchase Rate","OK")))))))))</f>
        <v/>
      </c>
      <c r="B978" s="29"/>
      <c r="C978" s="22"/>
      <c r="D978" s="22"/>
      <c r="E978" s="24"/>
      <c r="F978" s="22"/>
      <c r="G978" s="22"/>
      <c r="H978" s="22"/>
      <c r="I978" s="30" t="str">
        <f>IF(H978="","",IFERROR(INDEX(Codes!$B$2:$B$13,MATCH(H978,Codes!$A$2:$A$13,0)),""))</f>
        <v/>
      </c>
      <c r="J978" s="23"/>
      <c r="K978" s="23"/>
      <c r="L978" s="23"/>
      <c r="M978" s="23"/>
      <c r="N978" s="23"/>
      <c r="O978" s="23"/>
      <c r="P978" s="23"/>
      <c r="Q978" s="31"/>
      <c r="R978" s="32"/>
      <c r="S978" s="32"/>
      <c r="T978" s="33" t="str">
        <f t="shared" si="30"/>
        <v/>
      </c>
      <c r="U978" s="34"/>
      <c r="V978" s="35"/>
      <c r="W978" s="33" t="str">
        <f t="shared" si="31"/>
        <v/>
      </c>
    </row>
    <row r="979" spans="1:23" x14ac:dyDescent="0.35">
      <c r="A979" s="21" t="str">
        <f>IF(COUNTA(B979:H979,J979:S979,U979:V979)=0,"",IF((IF(B979="","PO Ref, ","")&amp;IF(C979="","Vendor, ","")&amp;IF(D979="","Store, ","")&amp;IF(F979="","Product Type, ","")&amp;IF(G979="","Category, ","")&amp;IF(H979="","HSN Code, ","")&amp;IF(Q979="","Qty, ","")&amp;IF(R979="","Purchase Rate, ","")&amp;IF(S979="","MRP, ",""))&lt;&gt;"","Missing: "&amp;LEFT(IF(B979="","PO Ref, ","")&amp;IF(C979="","Vendor, ","")&amp;IF(D979="","Store, ","")&amp;IF(F979="","Product Type, ","")&amp;IF(G979="","Category, ","")&amp;IF(H979="","HSN Code, ","")&amp;IF(Q979="","Qty, ","")&amp;IF(R979="","Purchase Rate, ","")&amp;IF(S979="","MRP, ",""),LEN(IF(B979="","PO Ref, ","")&amp;IF(C979="","Vendor, ","")&amp;IF(D979="","Store, ","")&amp;IF(F979="","Product Type, ","")&amp;IF(G979="","Category, ","")&amp;IF(H979="","HSN Code, ","")&amp;IF(Q979="","Qty, ","")&amp;IF(R979="","Purchase Rate, ","")&amp;IF(S979="","MRP, ",""))-2),IF(COUNTIF(Vendors!$B$3:$B$202,C979)=0,"Add vendor "&amp;C979&amp;" on the Vendors sheet",IF(ISNA(MATCH(H979,Codes!$A$2:$A$13,0)),"Pick the HSN Code from the list",IF(AND(E979&lt;&gt;"",COUNTIFS($C$3:$C$1002,C979,$E$3:$E$1002,E979,$F$3:$F$1002,"&lt;&gt;"&amp;F979)+COUNTIFS($C$3:$C$1002,C979,$E$3:$E$1002,E979,$G$3:$G$1002,"&lt;&gt;"&amp;G979)&gt;0),"Design "&amp;E979&amp;" has another Product Type or Category on another row",IF(COUNTIFS($F$3:$F$1002,F979,$G$3:$G$1002,G979,$H$3:$H$1002,"&lt;&gt;"&amp;H979)&gt;0,F979&amp;" + "&amp;G979&amp;" has another HSN Code on another row",IF(AND(V979&lt;&gt;"",U979=""),"Received Qty needs the Vendor Invoice No",IF(AND(U979&lt;&gt;"",COUNTIFS(Bills!$B$3:$B$302,U979,Bills!$C$3:$C$302,C979)=0),"Add bill "&amp;U979&amp;" of "&amp;C979&amp;" on the Bills sheet",IF(S979&lt;R979,"MRP is below the Purchase Rate","OK")))))))))</f>
        <v/>
      </c>
      <c r="B979" s="29"/>
      <c r="C979" s="22"/>
      <c r="D979" s="22"/>
      <c r="E979" s="24"/>
      <c r="F979" s="22"/>
      <c r="G979" s="22"/>
      <c r="H979" s="22"/>
      <c r="I979" s="30" t="str">
        <f>IF(H979="","",IFERROR(INDEX(Codes!$B$2:$B$13,MATCH(H979,Codes!$A$2:$A$13,0)),""))</f>
        <v/>
      </c>
      <c r="J979" s="23"/>
      <c r="K979" s="23"/>
      <c r="L979" s="23"/>
      <c r="M979" s="23"/>
      <c r="N979" s="23"/>
      <c r="O979" s="23"/>
      <c r="P979" s="23"/>
      <c r="Q979" s="31"/>
      <c r="R979" s="32"/>
      <c r="S979" s="32"/>
      <c r="T979" s="33" t="str">
        <f t="shared" si="30"/>
        <v/>
      </c>
      <c r="U979" s="34"/>
      <c r="V979" s="35"/>
      <c r="W979" s="33" t="str">
        <f t="shared" si="31"/>
        <v/>
      </c>
    </row>
    <row r="980" spans="1:23" x14ac:dyDescent="0.35">
      <c r="A980" s="21" t="str">
        <f>IF(COUNTA(B980:H980,J980:S980,U980:V980)=0,"",IF((IF(B980="","PO Ref, ","")&amp;IF(C980="","Vendor, ","")&amp;IF(D980="","Store, ","")&amp;IF(F980="","Product Type, ","")&amp;IF(G980="","Category, ","")&amp;IF(H980="","HSN Code, ","")&amp;IF(Q980="","Qty, ","")&amp;IF(R980="","Purchase Rate, ","")&amp;IF(S980="","MRP, ",""))&lt;&gt;"","Missing: "&amp;LEFT(IF(B980="","PO Ref, ","")&amp;IF(C980="","Vendor, ","")&amp;IF(D980="","Store, ","")&amp;IF(F980="","Product Type, ","")&amp;IF(G980="","Category, ","")&amp;IF(H980="","HSN Code, ","")&amp;IF(Q980="","Qty, ","")&amp;IF(R980="","Purchase Rate, ","")&amp;IF(S980="","MRP, ",""),LEN(IF(B980="","PO Ref, ","")&amp;IF(C980="","Vendor, ","")&amp;IF(D980="","Store, ","")&amp;IF(F980="","Product Type, ","")&amp;IF(G980="","Category, ","")&amp;IF(H980="","HSN Code, ","")&amp;IF(Q980="","Qty, ","")&amp;IF(R980="","Purchase Rate, ","")&amp;IF(S980="","MRP, ",""))-2),IF(COUNTIF(Vendors!$B$3:$B$202,C980)=0,"Add vendor "&amp;C980&amp;" on the Vendors sheet",IF(ISNA(MATCH(H980,Codes!$A$2:$A$13,0)),"Pick the HSN Code from the list",IF(AND(E980&lt;&gt;"",COUNTIFS($C$3:$C$1002,C980,$E$3:$E$1002,E980,$F$3:$F$1002,"&lt;&gt;"&amp;F980)+COUNTIFS($C$3:$C$1002,C980,$E$3:$E$1002,E980,$G$3:$G$1002,"&lt;&gt;"&amp;G980)&gt;0),"Design "&amp;E980&amp;" has another Product Type or Category on another row",IF(COUNTIFS($F$3:$F$1002,F980,$G$3:$G$1002,G980,$H$3:$H$1002,"&lt;&gt;"&amp;H980)&gt;0,F980&amp;" + "&amp;G980&amp;" has another HSN Code on another row",IF(AND(V980&lt;&gt;"",U980=""),"Received Qty needs the Vendor Invoice No",IF(AND(U980&lt;&gt;"",COUNTIFS(Bills!$B$3:$B$302,U980,Bills!$C$3:$C$302,C980)=0),"Add bill "&amp;U980&amp;" of "&amp;C980&amp;" on the Bills sheet",IF(S980&lt;R980,"MRP is below the Purchase Rate","OK")))))))))</f>
        <v/>
      </c>
      <c r="B980" s="29"/>
      <c r="C980" s="22"/>
      <c r="D980" s="22"/>
      <c r="E980" s="24"/>
      <c r="F980" s="22"/>
      <c r="G980" s="22"/>
      <c r="H980" s="22"/>
      <c r="I980" s="30" t="str">
        <f>IF(H980="","",IFERROR(INDEX(Codes!$B$2:$B$13,MATCH(H980,Codes!$A$2:$A$13,0)),""))</f>
        <v/>
      </c>
      <c r="J980" s="23"/>
      <c r="K980" s="23"/>
      <c r="L980" s="23"/>
      <c r="M980" s="23"/>
      <c r="N980" s="23"/>
      <c r="O980" s="23"/>
      <c r="P980" s="23"/>
      <c r="Q980" s="31"/>
      <c r="R980" s="32"/>
      <c r="S980" s="32"/>
      <c r="T980" s="33" t="str">
        <f t="shared" si="30"/>
        <v/>
      </c>
      <c r="U980" s="34"/>
      <c r="V980" s="35"/>
      <c r="W980" s="33" t="str">
        <f t="shared" si="31"/>
        <v/>
      </c>
    </row>
    <row r="981" spans="1:23" x14ac:dyDescent="0.35">
      <c r="A981" s="21" t="str">
        <f>IF(COUNTA(B981:H981,J981:S981,U981:V981)=0,"",IF((IF(B981="","PO Ref, ","")&amp;IF(C981="","Vendor, ","")&amp;IF(D981="","Store, ","")&amp;IF(F981="","Product Type, ","")&amp;IF(G981="","Category, ","")&amp;IF(H981="","HSN Code, ","")&amp;IF(Q981="","Qty, ","")&amp;IF(R981="","Purchase Rate, ","")&amp;IF(S981="","MRP, ",""))&lt;&gt;"","Missing: "&amp;LEFT(IF(B981="","PO Ref, ","")&amp;IF(C981="","Vendor, ","")&amp;IF(D981="","Store, ","")&amp;IF(F981="","Product Type, ","")&amp;IF(G981="","Category, ","")&amp;IF(H981="","HSN Code, ","")&amp;IF(Q981="","Qty, ","")&amp;IF(R981="","Purchase Rate, ","")&amp;IF(S981="","MRP, ",""),LEN(IF(B981="","PO Ref, ","")&amp;IF(C981="","Vendor, ","")&amp;IF(D981="","Store, ","")&amp;IF(F981="","Product Type, ","")&amp;IF(G981="","Category, ","")&amp;IF(H981="","HSN Code, ","")&amp;IF(Q981="","Qty, ","")&amp;IF(R981="","Purchase Rate, ","")&amp;IF(S981="","MRP, ",""))-2),IF(COUNTIF(Vendors!$B$3:$B$202,C981)=0,"Add vendor "&amp;C981&amp;" on the Vendors sheet",IF(ISNA(MATCH(H981,Codes!$A$2:$A$13,0)),"Pick the HSN Code from the list",IF(AND(E981&lt;&gt;"",COUNTIFS($C$3:$C$1002,C981,$E$3:$E$1002,E981,$F$3:$F$1002,"&lt;&gt;"&amp;F981)+COUNTIFS($C$3:$C$1002,C981,$E$3:$E$1002,E981,$G$3:$G$1002,"&lt;&gt;"&amp;G981)&gt;0),"Design "&amp;E981&amp;" has another Product Type or Category on another row",IF(COUNTIFS($F$3:$F$1002,F981,$G$3:$G$1002,G981,$H$3:$H$1002,"&lt;&gt;"&amp;H981)&gt;0,F981&amp;" + "&amp;G981&amp;" has another HSN Code on another row",IF(AND(V981&lt;&gt;"",U981=""),"Received Qty needs the Vendor Invoice No",IF(AND(U981&lt;&gt;"",COUNTIFS(Bills!$B$3:$B$302,U981,Bills!$C$3:$C$302,C981)=0),"Add bill "&amp;U981&amp;" of "&amp;C981&amp;" on the Bills sheet",IF(S981&lt;R981,"MRP is below the Purchase Rate","OK")))))))))</f>
        <v/>
      </c>
      <c r="B981" s="29"/>
      <c r="C981" s="22"/>
      <c r="D981" s="22"/>
      <c r="E981" s="24"/>
      <c r="F981" s="22"/>
      <c r="G981" s="22"/>
      <c r="H981" s="22"/>
      <c r="I981" s="30" t="str">
        <f>IF(H981="","",IFERROR(INDEX(Codes!$B$2:$B$13,MATCH(H981,Codes!$A$2:$A$13,0)),""))</f>
        <v/>
      </c>
      <c r="J981" s="23"/>
      <c r="K981" s="23"/>
      <c r="L981" s="23"/>
      <c r="M981" s="23"/>
      <c r="N981" s="23"/>
      <c r="O981" s="23"/>
      <c r="P981" s="23"/>
      <c r="Q981" s="31"/>
      <c r="R981" s="32"/>
      <c r="S981" s="32"/>
      <c r="T981" s="33" t="str">
        <f t="shared" si="30"/>
        <v/>
      </c>
      <c r="U981" s="34"/>
      <c r="V981" s="35"/>
      <c r="W981" s="33" t="str">
        <f t="shared" si="31"/>
        <v/>
      </c>
    </row>
    <row r="982" spans="1:23" x14ac:dyDescent="0.35">
      <c r="A982" s="21" t="str">
        <f>IF(COUNTA(B982:H982,J982:S982,U982:V982)=0,"",IF((IF(B982="","PO Ref, ","")&amp;IF(C982="","Vendor, ","")&amp;IF(D982="","Store, ","")&amp;IF(F982="","Product Type, ","")&amp;IF(G982="","Category, ","")&amp;IF(H982="","HSN Code, ","")&amp;IF(Q982="","Qty, ","")&amp;IF(R982="","Purchase Rate, ","")&amp;IF(S982="","MRP, ",""))&lt;&gt;"","Missing: "&amp;LEFT(IF(B982="","PO Ref, ","")&amp;IF(C982="","Vendor, ","")&amp;IF(D982="","Store, ","")&amp;IF(F982="","Product Type, ","")&amp;IF(G982="","Category, ","")&amp;IF(H982="","HSN Code, ","")&amp;IF(Q982="","Qty, ","")&amp;IF(R982="","Purchase Rate, ","")&amp;IF(S982="","MRP, ",""),LEN(IF(B982="","PO Ref, ","")&amp;IF(C982="","Vendor, ","")&amp;IF(D982="","Store, ","")&amp;IF(F982="","Product Type, ","")&amp;IF(G982="","Category, ","")&amp;IF(H982="","HSN Code, ","")&amp;IF(Q982="","Qty, ","")&amp;IF(R982="","Purchase Rate, ","")&amp;IF(S982="","MRP, ",""))-2),IF(COUNTIF(Vendors!$B$3:$B$202,C982)=0,"Add vendor "&amp;C982&amp;" on the Vendors sheet",IF(ISNA(MATCH(H982,Codes!$A$2:$A$13,0)),"Pick the HSN Code from the list",IF(AND(E982&lt;&gt;"",COUNTIFS($C$3:$C$1002,C982,$E$3:$E$1002,E982,$F$3:$F$1002,"&lt;&gt;"&amp;F982)+COUNTIFS($C$3:$C$1002,C982,$E$3:$E$1002,E982,$G$3:$G$1002,"&lt;&gt;"&amp;G982)&gt;0),"Design "&amp;E982&amp;" has another Product Type or Category on another row",IF(COUNTIFS($F$3:$F$1002,F982,$G$3:$G$1002,G982,$H$3:$H$1002,"&lt;&gt;"&amp;H982)&gt;0,F982&amp;" + "&amp;G982&amp;" has another HSN Code on another row",IF(AND(V982&lt;&gt;"",U982=""),"Received Qty needs the Vendor Invoice No",IF(AND(U982&lt;&gt;"",COUNTIFS(Bills!$B$3:$B$302,U982,Bills!$C$3:$C$302,C982)=0),"Add bill "&amp;U982&amp;" of "&amp;C982&amp;" on the Bills sheet",IF(S982&lt;R982,"MRP is below the Purchase Rate","OK")))))))))</f>
        <v/>
      </c>
      <c r="B982" s="29"/>
      <c r="C982" s="22"/>
      <c r="D982" s="22"/>
      <c r="E982" s="24"/>
      <c r="F982" s="22"/>
      <c r="G982" s="22"/>
      <c r="H982" s="22"/>
      <c r="I982" s="30" t="str">
        <f>IF(H982="","",IFERROR(INDEX(Codes!$B$2:$B$13,MATCH(H982,Codes!$A$2:$A$13,0)),""))</f>
        <v/>
      </c>
      <c r="J982" s="23"/>
      <c r="K982" s="23"/>
      <c r="L982" s="23"/>
      <c r="M982" s="23"/>
      <c r="N982" s="23"/>
      <c r="O982" s="23"/>
      <c r="P982" s="23"/>
      <c r="Q982" s="31"/>
      <c r="R982" s="32"/>
      <c r="S982" s="32"/>
      <c r="T982" s="33" t="str">
        <f t="shared" si="30"/>
        <v/>
      </c>
      <c r="U982" s="34"/>
      <c r="V982" s="35"/>
      <c r="W982" s="33" t="str">
        <f t="shared" si="31"/>
        <v/>
      </c>
    </row>
    <row r="983" spans="1:23" x14ac:dyDescent="0.35">
      <c r="A983" s="21" t="str">
        <f>IF(COUNTA(B983:H983,J983:S983,U983:V983)=0,"",IF((IF(B983="","PO Ref, ","")&amp;IF(C983="","Vendor, ","")&amp;IF(D983="","Store, ","")&amp;IF(F983="","Product Type, ","")&amp;IF(G983="","Category, ","")&amp;IF(H983="","HSN Code, ","")&amp;IF(Q983="","Qty, ","")&amp;IF(R983="","Purchase Rate, ","")&amp;IF(S983="","MRP, ",""))&lt;&gt;"","Missing: "&amp;LEFT(IF(B983="","PO Ref, ","")&amp;IF(C983="","Vendor, ","")&amp;IF(D983="","Store, ","")&amp;IF(F983="","Product Type, ","")&amp;IF(G983="","Category, ","")&amp;IF(H983="","HSN Code, ","")&amp;IF(Q983="","Qty, ","")&amp;IF(R983="","Purchase Rate, ","")&amp;IF(S983="","MRP, ",""),LEN(IF(B983="","PO Ref, ","")&amp;IF(C983="","Vendor, ","")&amp;IF(D983="","Store, ","")&amp;IF(F983="","Product Type, ","")&amp;IF(G983="","Category, ","")&amp;IF(H983="","HSN Code, ","")&amp;IF(Q983="","Qty, ","")&amp;IF(R983="","Purchase Rate, ","")&amp;IF(S983="","MRP, ",""))-2),IF(COUNTIF(Vendors!$B$3:$B$202,C983)=0,"Add vendor "&amp;C983&amp;" on the Vendors sheet",IF(ISNA(MATCH(H983,Codes!$A$2:$A$13,0)),"Pick the HSN Code from the list",IF(AND(E983&lt;&gt;"",COUNTIFS($C$3:$C$1002,C983,$E$3:$E$1002,E983,$F$3:$F$1002,"&lt;&gt;"&amp;F983)+COUNTIFS($C$3:$C$1002,C983,$E$3:$E$1002,E983,$G$3:$G$1002,"&lt;&gt;"&amp;G983)&gt;0),"Design "&amp;E983&amp;" has another Product Type or Category on another row",IF(COUNTIFS($F$3:$F$1002,F983,$G$3:$G$1002,G983,$H$3:$H$1002,"&lt;&gt;"&amp;H983)&gt;0,F983&amp;" + "&amp;G983&amp;" has another HSN Code on another row",IF(AND(V983&lt;&gt;"",U983=""),"Received Qty needs the Vendor Invoice No",IF(AND(U983&lt;&gt;"",COUNTIFS(Bills!$B$3:$B$302,U983,Bills!$C$3:$C$302,C983)=0),"Add bill "&amp;U983&amp;" of "&amp;C983&amp;" on the Bills sheet",IF(S983&lt;R983,"MRP is below the Purchase Rate","OK")))))))))</f>
        <v/>
      </c>
      <c r="B983" s="29"/>
      <c r="C983" s="22"/>
      <c r="D983" s="22"/>
      <c r="E983" s="24"/>
      <c r="F983" s="22"/>
      <c r="G983" s="22"/>
      <c r="H983" s="22"/>
      <c r="I983" s="30" t="str">
        <f>IF(H983="","",IFERROR(INDEX(Codes!$B$2:$B$13,MATCH(H983,Codes!$A$2:$A$13,0)),""))</f>
        <v/>
      </c>
      <c r="J983" s="23"/>
      <c r="K983" s="23"/>
      <c r="L983" s="23"/>
      <c r="M983" s="23"/>
      <c r="N983" s="23"/>
      <c r="O983" s="23"/>
      <c r="P983" s="23"/>
      <c r="Q983" s="31"/>
      <c r="R983" s="32"/>
      <c r="S983" s="32"/>
      <c r="T983" s="33" t="str">
        <f t="shared" si="30"/>
        <v/>
      </c>
      <c r="U983" s="34"/>
      <c r="V983" s="35"/>
      <c r="W983" s="33" t="str">
        <f t="shared" si="31"/>
        <v/>
      </c>
    </row>
    <row r="984" spans="1:23" x14ac:dyDescent="0.35">
      <c r="A984" s="21" t="str">
        <f>IF(COUNTA(B984:H984,J984:S984,U984:V984)=0,"",IF((IF(B984="","PO Ref, ","")&amp;IF(C984="","Vendor, ","")&amp;IF(D984="","Store, ","")&amp;IF(F984="","Product Type, ","")&amp;IF(G984="","Category, ","")&amp;IF(H984="","HSN Code, ","")&amp;IF(Q984="","Qty, ","")&amp;IF(R984="","Purchase Rate, ","")&amp;IF(S984="","MRP, ",""))&lt;&gt;"","Missing: "&amp;LEFT(IF(B984="","PO Ref, ","")&amp;IF(C984="","Vendor, ","")&amp;IF(D984="","Store, ","")&amp;IF(F984="","Product Type, ","")&amp;IF(G984="","Category, ","")&amp;IF(H984="","HSN Code, ","")&amp;IF(Q984="","Qty, ","")&amp;IF(R984="","Purchase Rate, ","")&amp;IF(S984="","MRP, ",""),LEN(IF(B984="","PO Ref, ","")&amp;IF(C984="","Vendor, ","")&amp;IF(D984="","Store, ","")&amp;IF(F984="","Product Type, ","")&amp;IF(G984="","Category, ","")&amp;IF(H984="","HSN Code, ","")&amp;IF(Q984="","Qty, ","")&amp;IF(R984="","Purchase Rate, ","")&amp;IF(S984="","MRP, ",""))-2),IF(COUNTIF(Vendors!$B$3:$B$202,C984)=0,"Add vendor "&amp;C984&amp;" on the Vendors sheet",IF(ISNA(MATCH(H984,Codes!$A$2:$A$13,0)),"Pick the HSN Code from the list",IF(AND(E984&lt;&gt;"",COUNTIFS($C$3:$C$1002,C984,$E$3:$E$1002,E984,$F$3:$F$1002,"&lt;&gt;"&amp;F984)+COUNTIFS($C$3:$C$1002,C984,$E$3:$E$1002,E984,$G$3:$G$1002,"&lt;&gt;"&amp;G984)&gt;0),"Design "&amp;E984&amp;" has another Product Type or Category on another row",IF(COUNTIFS($F$3:$F$1002,F984,$G$3:$G$1002,G984,$H$3:$H$1002,"&lt;&gt;"&amp;H984)&gt;0,F984&amp;" + "&amp;G984&amp;" has another HSN Code on another row",IF(AND(V984&lt;&gt;"",U984=""),"Received Qty needs the Vendor Invoice No",IF(AND(U984&lt;&gt;"",COUNTIFS(Bills!$B$3:$B$302,U984,Bills!$C$3:$C$302,C984)=0),"Add bill "&amp;U984&amp;" of "&amp;C984&amp;" on the Bills sheet",IF(S984&lt;R984,"MRP is below the Purchase Rate","OK")))))))))</f>
        <v/>
      </c>
      <c r="B984" s="29"/>
      <c r="C984" s="22"/>
      <c r="D984" s="22"/>
      <c r="E984" s="24"/>
      <c r="F984" s="22"/>
      <c r="G984" s="22"/>
      <c r="H984" s="22"/>
      <c r="I984" s="30" t="str">
        <f>IF(H984="","",IFERROR(INDEX(Codes!$B$2:$B$13,MATCH(H984,Codes!$A$2:$A$13,0)),""))</f>
        <v/>
      </c>
      <c r="J984" s="23"/>
      <c r="K984" s="23"/>
      <c r="L984" s="23"/>
      <c r="M984" s="23"/>
      <c r="N984" s="23"/>
      <c r="O984" s="23"/>
      <c r="P984" s="23"/>
      <c r="Q984" s="31"/>
      <c r="R984" s="32"/>
      <c r="S984" s="32"/>
      <c r="T984" s="33" t="str">
        <f t="shared" si="30"/>
        <v/>
      </c>
      <c r="U984" s="34"/>
      <c r="V984" s="35"/>
      <c r="W984" s="33" t="str">
        <f t="shared" si="31"/>
        <v/>
      </c>
    </row>
    <row r="985" spans="1:23" x14ac:dyDescent="0.35">
      <c r="A985" s="21" t="str">
        <f>IF(COUNTA(B985:H985,J985:S985,U985:V985)=0,"",IF((IF(B985="","PO Ref, ","")&amp;IF(C985="","Vendor, ","")&amp;IF(D985="","Store, ","")&amp;IF(F985="","Product Type, ","")&amp;IF(G985="","Category, ","")&amp;IF(H985="","HSN Code, ","")&amp;IF(Q985="","Qty, ","")&amp;IF(R985="","Purchase Rate, ","")&amp;IF(S985="","MRP, ",""))&lt;&gt;"","Missing: "&amp;LEFT(IF(B985="","PO Ref, ","")&amp;IF(C985="","Vendor, ","")&amp;IF(D985="","Store, ","")&amp;IF(F985="","Product Type, ","")&amp;IF(G985="","Category, ","")&amp;IF(H985="","HSN Code, ","")&amp;IF(Q985="","Qty, ","")&amp;IF(R985="","Purchase Rate, ","")&amp;IF(S985="","MRP, ",""),LEN(IF(B985="","PO Ref, ","")&amp;IF(C985="","Vendor, ","")&amp;IF(D985="","Store, ","")&amp;IF(F985="","Product Type, ","")&amp;IF(G985="","Category, ","")&amp;IF(H985="","HSN Code, ","")&amp;IF(Q985="","Qty, ","")&amp;IF(R985="","Purchase Rate, ","")&amp;IF(S985="","MRP, ",""))-2),IF(COUNTIF(Vendors!$B$3:$B$202,C985)=0,"Add vendor "&amp;C985&amp;" on the Vendors sheet",IF(ISNA(MATCH(H985,Codes!$A$2:$A$13,0)),"Pick the HSN Code from the list",IF(AND(E985&lt;&gt;"",COUNTIFS($C$3:$C$1002,C985,$E$3:$E$1002,E985,$F$3:$F$1002,"&lt;&gt;"&amp;F985)+COUNTIFS($C$3:$C$1002,C985,$E$3:$E$1002,E985,$G$3:$G$1002,"&lt;&gt;"&amp;G985)&gt;0),"Design "&amp;E985&amp;" has another Product Type or Category on another row",IF(COUNTIFS($F$3:$F$1002,F985,$G$3:$G$1002,G985,$H$3:$H$1002,"&lt;&gt;"&amp;H985)&gt;0,F985&amp;" + "&amp;G985&amp;" has another HSN Code on another row",IF(AND(V985&lt;&gt;"",U985=""),"Received Qty needs the Vendor Invoice No",IF(AND(U985&lt;&gt;"",COUNTIFS(Bills!$B$3:$B$302,U985,Bills!$C$3:$C$302,C985)=0),"Add bill "&amp;U985&amp;" of "&amp;C985&amp;" on the Bills sheet",IF(S985&lt;R985,"MRP is below the Purchase Rate","OK")))))))))</f>
        <v/>
      </c>
      <c r="B985" s="29"/>
      <c r="C985" s="22"/>
      <c r="D985" s="22"/>
      <c r="E985" s="24"/>
      <c r="F985" s="22"/>
      <c r="G985" s="22"/>
      <c r="H985" s="22"/>
      <c r="I985" s="30" t="str">
        <f>IF(H985="","",IFERROR(INDEX(Codes!$B$2:$B$13,MATCH(H985,Codes!$A$2:$A$13,0)),""))</f>
        <v/>
      </c>
      <c r="J985" s="23"/>
      <c r="K985" s="23"/>
      <c r="L985" s="23"/>
      <c r="M985" s="23"/>
      <c r="N985" s="23"/>
      <c r="O985" s="23"/>
      <c r="P985" s="23"/>
      <c r="Q985" s="31"/>
      <c r="R985" s="32"/>
      <c r="S985" s="32"/>
      <c r="T985" s="33" t="str">
        <f t="shared" si="30"/>
        <v/>
      </c>
      <c r="U985" s="34"/>
      <c r="V985" s="35"/>
      <c r="W985" s="33" t="str">
        <f t="shared" si="31"/>
        <v/>
      </c>
    </row>
    <row r="986" spans="1:23" x14ac:dyDescent="0.35">
      <c r="A986" s="21" t="str">
        <f>IF(COUNTA(B986:H986,J986:S986,U986:V986)=0,"",IF((IF(B986="","PO Ref, ","")&amp;IF(C986="","Vendor, ","")&amp;IF(D986="","Store, ","")&amp;IF(F986="","Product Type, ","")&amp;IF(G986="","Category, ","")&amp;IF(H986="","HSN Code, ","")&amp;IF(Q986="","Qty, ","")&amp;IF(R986="","Purchase Rate, ","")&amp;IF(S986="","MRP, ",""))&lt;&gt;"","Missing: "&amp;LEFT(IF(B986="","PO Ref, ","")&amp;IF(C986="","Vendor, ","")&amp;IF(D986="","Store, ","")&amp;IF(F986="","Product Type, ","")&amp;IF(G986="","Category, ","")&amp;IF(H986="","HSN Code, ","")&amp;IF(Q986="","Qty, ","")&amp;IF(R986="","Purchase Rate, ","")&amp;IF(S986="","MRP, ",""),LEN(IF(B986="","PO Ref, ","")&amp;IF(C986="","Vendor, ","")&amp;IF(D986="","Store, ","")&amp;IF(F986="","Product Type, ","")&amp;IF(G986="","Category, ","")&amp;IF(H986="","HSN Code, ","")&amp;IF(Q986="","Qty, ","")&amp;IF(R986="","Purchase Rate, ","")&amp;IF(S986="","MRP, ",""))-2),IF(COUNTIF(Vendors!$B$3:$B$202,C986)=0,"Add vendor "&amp;C986&amp;" on the Vendors sheet",IF(ISNA(MATCH(H986,Codes!$A$2:$A$13,0)),"Pick the HSN Code from the list",IF(AND(E986&lt;&gt;"",COUNTIFS($C$3:$C$1002,C986,$E$3:$E$1002,E986,$F$3:$F$1002,"&lt;&gt;"&amp;F986)+COUNTIFS($C$3:$C$1002,C986,$E$3:$E$1002,E986,$G$3:$G$1002,"&lt;&gt;"&amp;G986)&gt;0),"Design "&amp;E986&amp;" has another Product Type or Category on another row",IF(COUNTIFS($F$3:$F$1002,F986,$G$3:$G$1002,G986,$H$3:$H$1002,"&lt;&gt;"&amp;H986)&gt;0,F986&amp;" + "&amp;G986&amp;" has another HSN Code on another row",IF(AND(V986&lt;&gt;"",U986=""),"Received Qty needs the Vendor Invoice No",IF(AND(U986&lt;&gt;"",COUNTIFS(Bills!$B$3:$B$302,U986,Bills!$C$3:$C$302,C986)=0),"Add bill "&amp;U986&amp;" of "&amp;C986&amp;" on the Bills sheet",IF(S986&lt;R986,"MRP is below the Purchase Rate","OK")))))))))</f>
        <v/>
      </c>
      <c r="B986" s="29"/>
      <c r="C986" s="22"/>
      <c r="D986" s="22"/>
      <c r="E986" s="24"/>
      <c r="F986" s="22"/>
      <c r="G986" s="22"/>
      <c r="H986" s="22"/>
      <c r="I986" s="30" t="str">
        <f>IF(H986="","",IFERROR(INDEX(Codes!$B$2:$B$13,MATCH(H986,Codes!$A$2:$A$13,0)),""))</f>
        <v/>
      </c>
      <c r="J986" s="23"/>
      <c r="K986" s="23"/>
      <c r="L986" s="23"/>
      <c r="M986" s="23"/>
      <c r="N986" s="23"/>
      <c r="O986" s="23"/>
      <c r="P986" s="23"/>
      <c r="Q986" s="31"/>
      <c r="R986" s="32"/>
      <c r="S986" s="32"/>
      <c r="T986" s="33" t="str">
        <f t="shared" si="30"/>
        <v/>
      </c>
      <c r="U986" s="34"/>
      <c r="V986" s="35"/>
      <c r="W986" s="33" t="str">
        <f t="shared" si="31"/>
        <v/>
      </c>
    </row>
    <row r="987" spans="1:23" x14ac:dyDescent="0.35">
      <c r="A987" s="21" t="str">
        <f>IF(COUNTA(B987:H987,J987:S987,U987:V987)=0,"",IF((IF(B987="","PO Ref, ","")&amp;IF(C987="","Vendor, ","")&amp;IF(D987="","Store, ","")&amp;IF(F987="","Product Type, ","")&amp;IF(G987="","Category, ","")&amp;IF(H987="","HSN Code, ","")&amp;IF(Q987="","Qty, ","")&amp;IF(R987="","Purchase Rate, ","")&amp;IF(S987="","MRP, ",""))&lt;&gt;"","Missing: "&amp;LEFT(IF(B987="","PO Ref, ","")&amp;IF(C987="","Vendor, ","")&amp;IF(D987="","Store, ","")&amp;IF(F987="","Product Type, ","")&amp;IF(G987="","Category, ","")&amp;IF(H987="","HSN Code, ","")&amp;IF(Q987="","Qty, ","")&amp;IF(R987="","Purchase Rate, ","")&amp;IF(S987="","MRP, ",""),LEN(IF(B987="","PO Ref, ","")&amp;IF(C987="","Vendor, ","")&amp;IF(D987="","Store, ","")&amp;IF(F987="","Product Type, ","")&amp;IF(G987="","Category, ","")&amp;IF(H987="","HSN Code, ","")&amp;IF(Q987="","Qty, ","")&amp;IF(R987="","Purchase Rate, ","")&amp;IF(S987="","MRP, ",""))-2),IF(COUNTIF(Vendors!$B$3:$B$202,C987)=0,"Add vendor "&amp;C987&amp;" on the Vendors sheet",IF(ISNA(MATCH(H987,Codes!$A$2:$A$13,0)),"Pick the HSN Code from the list",IF(AND(E987&lt;&gt;"",COUNTIFS($C$3:$C$1002,C987,$E$3:$E$1002,E987,$F$3:$F$1002,"&lt;&gt;"&amp;F987)+COUNTIFS($C$3:$C$1002,C987,$E$3:$E$1002,E987,$G$3:$G$1002,"&lt;&gt;"&amp;G987)&gt;0),"Design "&amp;E987&amp;" has another Product Type or Category on another row",IF(COUNTIFS($F$3:$F$1002,F987,$G$3:$G$1002,G987,$H$3:$H$1002,"&lt;&gt;"&amp;H987)&gt;0,F987&amp;" + "&amp;G987&amp;" has another HSN Code on another row",IF(AND(V987&lt;&gt;"",U987=""),"Received Qty needs the Vendor Invoice No",IF(AND(U987&lt;&gt;"",COUNTIFS(Bills!$B$3:$B$302,U987,Bills!$C$3:$C$302,C987)=0),"Add bill "&amp;U987&amp;" of "&amp;C987&amp;" on the Bills sheet",IF(S987&lt;R987,"MRP is below the Purchase Rate","OK")))))))))</f>
        <v/>
      </c>
      <c r="B987" s="29"/>
      <c r="C987" s="22"/>
      <c r="D987" s="22"/>
      <c r="E987" s="24"/>
      <c r="F987" s="22"/>
      <c r="G987" s="22"/>
      <c r="H987" s="22"/>
      <c r="I987" s="30" t="str">
        <f>IF(H987="","",IFERROR(INDEX(Codes!$B$2:$B$13,MATCH(H987,Codes!$A$2:$A$13,0)),""))</f>
        <v/>
      </c>
      <c r="J987" s="23"/>
      <c r="K987" s="23"/>
      <c r="L987" s="23"/>
      <c r="M987" s="23"/>
      <c r="N987" s="23"/>
      <c r="O987" s="23"/>
      <c r="P987" s="23"/>
      <c r="Q987" s="31"/>
      <c r="R987" s="32"/>
      <c r="S987" s="32"/>
      <c r="T987" s="33" t="str">
        <f t="shared" si="30"/>
        <v/>
      </c>
      <c r="U987" s="34"/>
      <c r="V987" s="35"/>
      <c r="W987" s="33" t="str">
        <f t="shared" si="31"/>
        <v/>
      </c>
    </row>
    <row r="988" spans="1:23" x14ac:dyDescent="0.35">
      <c r="A988" s="21" t="str">
        <f>IF(COUNTA(B988:H988,J988:S988,U988:V988)=0,"",IF((IF(B988="","PO Ref, ","")&amp;IF(C988="","Vendor, ","")&amp;IF(D988="","Store, ","")&amp;IF(F988="","Product Type, ","")&amp;IF(G988="","Category, ","")&amp;IF(H988="","HSN Code, ","")&amp;IF(Q988="","Qty, ","")&amp;IF(R988="","Purchase Rate, ","")&amp;IF(S988="","MRP, ",""))&lt;&gt;"","Missing: "&amp;LEFT(IF(B988="","PO Ref, ","")&amp;IF(C988="","Vendor, ","")&amp;IF(D988="","Store, ","")&amp;IF(F988="","Product Type, ","")&amp;IF(G988="","Category, ","")&amp;IF(H988="","HSN Code, ","")&amp;IF(Q988="","Qty, ","")&amp;IF(R988="","Purchase Rate, ","")&amp;IF(S988="","MRP, ",""),LEN(IF(B988="","PO Ref, ","")&amp;IF(C988="","Vendor, ","")&amp;IF(D988="","Store, ","")&amp;IF(F988="","Product Type, ","")&amp;IF(G988="","Category, ","")&amp;IF(H988="","HSN Code, ","")&amp;IF(Q988="","Qty, ","")&amp;IF(R988="","Purchase Rate, ","")&amp;IF(S988="","MRP, ",""))-2),IF(COUNTIF(Vendors!$B$3:$B$202,C988)=0,"Add vendor "&amp;C988&amp;" on the Vendors sheet",IF(ISNA(MATCH(H988,Codes!$A$2:$A$13,0)),"Pick the HSN Code from the list",IF(AND(E988&lt;&gt;"",COUNTIFS($C$3:$C$1002,C988,$E$3:$E$1002,E988,$F$3:$F$1002,"&lt;&gt;"&amp;F988)+COUNTIFS($C$3:$C$1002,C988,$E$3:$E$1002,E988,$G$3:$G$1002,"&lt;&gt;"&amp;G988)&gt;0),"Design "&amp;E988&amp;" has another Product Type or Category on another row",IF(COUNTIFS($F$3:$F$1002,F988,$G$3:$G$1002,G988,$H$3:$H$1002,"&lt;&gt;"&amp;H988)&gt;0,F988&amp;" + "&amp;G988&amp;" has another HSN Code on another row",IF(AND(V988&lt;&gt;"",U988=""),"Received Qty needs the Vendor Invoice No",IF(AND(U988&lt;&gt;"",COUNTIFS(Bills!$B$3:$B$302,U988,Bills!$C$3:$C$302,C988)=0),"Add bill "&amp;U988&amp;" of "&amp;C988&amp;" on the Bills sheet",IF(S988&lt;R988,"MRP is below the Purchase Rate","OK")))))))))</f>
        <v/>
      </c>
      <c r="B988" s="29"/>
      <c r="C988" s="22"/>
      <c r="D988" s="22"/>
      <c r="E988" s="24"/>
      <c r="F988" s="22"/>
      <c r="G988" s="22"/>
      <c r="H988" s="22"/>
      <c r="I988" s="30" t="str">
        <f>IF(H988="","",IFERROR(INDEX(Codes!$B$2:$B$13,MATCH(H988,Codes!$A$2:$A$13,0)),""))</f>
        <v/>
      </c>
      <c r="J988" s="23"/>
      <c r="K988" s="23"/>
      <c r="L988" s="23"/>
      <c r="M988" s="23"/>
      <c r="N988" s="23"/>
      <c r="O988" s="23"/>
      <c r="P988" s="23"/>
      <c r="Q988" s="31"/>
      <c r="R988" s="32"/>
      <c r="S988" s="32"/>
      <c r="T988" s="33" t="str">
        <f t="shared" si="30"/>
        <v/>
      </c>
      <c r="U988" s="34"/>
      <c r="V988" s="35"/>
      <c r="W988" s="33" t="str">
        <f t="shared" si="31"/>
        <v/>
      </c>
    </row>
    <row r="989" spans="1:23" x14ac:dyDescent="0.35">
      <c r="A989" s="21" t="str">
        <f>IF(COUNTA(B989:H989,J989:S989,U989:V989)=0,"",IF((IF(B989="","PO Ref, ","")&amp;IF(C989="","Vendor, ","")&amp;IF(D989="","Store, ","")&amp;IF(F989="","Product Type, ","")&amp;IF(G989="","Category, ","")&amp;IF(H989="","HSN Code, ","")&amp;IF(Q989="","Qty, ","")&amp;IF(R989="","Purchase Rate, ","")&amp;IF(S989="","MRP, ",""))&lt;&gt;"","Missing: "&amp;LEFT(IF(B989="","PO Ref, ","")&amp;IF(C989="","Vendor, ","")&amp;IF(D989="","Store, ","")&amp;IF(F989="","Product Type, ","")&amp;IF(G989="","Category, ","")&amp;IF(H989="","HSN Code, ","")&amp;IF(Q989="","Qty, ","")&amp;IF(R989="","Purchase Rate, ","")&amp;IF(S989="","MRP, ",""),LEN(IF(B989="","PO Ref, ","")&amp;IF(C989="","Vendor, ","")&amp;IF(D989="","Store, ","")&amp;IF(F989="","Product Type, ","")&amp;IF(G989="","Category, ","")&amp;IF(H989="","HSN Code, ","")&amp;IF(Q989="","Qty, ","")&amp;IF(R989="","Purchase Rate, ","")&amp;IF(S989="","MRP, ",""))-2),IF(COUNTIF(Vendors!$B$3:$B$202,C989)=0,"Add vendor "&amp;C989&amp;" on the Vendors sheet",IF(ISNA(MATCH(H989,Codes!$A$2:$A$13,0)),"Pick the HSN Code from the list",IF(AND(E989&lt;&gt;"",COUNTIFS($C$3:$C$1002,C989,$E$3:$E$1002,E989,$F$3:$F$1002,"&lt;&gt;"&amp;F989)+COUNTIFS($C$3:$C$1002,C989,$E$3:$E$1002,E989,$G$3:$G$1002,"&lt;&gt;"&amp;G989)&gt;0),"Design "&amp;E989&amp;" has another Product Type or Category on another row",IF(COUNTIFS($F$3:$F$1002,F989,$G$3:$G$1002,G989,$H$3:$H$1002,"&lt;&gt;"&amp;H989)&gt;0,F989&amp;" + "&amp;G989&amp;" has another HSN Code on another row",IF(AND(V989&lt;&gt;"",U989=""),"Received Qty needs the Vendor Invoice No",IF(AND(U989&lt;&gt;"",COUNTIFS(Bills!$B$3:$B$302,U989,Bills!$C$3:$C$302,C989)=0),"Add bill "&amp;U989&amp;" of "&amp;C989&amp;" on the Bills sheet",IF(S989&lt;R989,"MRP is below the Purchase Rate","OK")))))))))</f>
        <v/>
      </c>
      <c r="B989" s="29"/>
      <c r="C989" s="22"/>
      <c r="D989" s="22"/>
      <c r="E989" s="24"/>
      <c r="F989" s="22"/>
      <c r="G989" s="22"/>
      <c r="H989" s="22"/>
      <c r="I989" s="30" t="str">
        <f>IF(H989="","",IFERROR(INDEX(Codes!$B$2:$B$13,MATCH(H989,Codes!$A$2:$A$13,0)),""))</f>
        <v/>
      </c>
      <c r="J989" s="23"/>
      <c r="K989" s="23"/>
      <c r="L989" s="23"/>
      <c r="M989" s="23"/>
      <c r="N989" s="23"/>
      <c r="O989" s="23"/>
      <c r="P989" s="23"/>
      <c r="Q989" s="31"/>
      <c r="R989" s="32"/>
      <c r="S989" s="32"/>
      <c r="T989" s="33" t="str">
        <f t="shared" si="30"/>
        <v/>
      </c>
      <c r="U989" s="34"/>
      <c r="V989" s="35"/>
      <c r="W989" s="33" t="str">
        <f t="shared" si="31"/>
        <v/>
      </c>
    </row>
    <row r="990" spans="1:23" x14ac:dyDescent="0.35">
      <c r="A990" s="21" t="str">
        <f>IF(COUNTA(B990:H990,J990:S990,U990:V990)=0,"",IF((IF(B990="","PO Ref, ","")&amp;IF(C990="","Vendor, ","")&amp;IF(D990="","Store, ","")&amp;IF(F990="","Product Type, ","")&amp;IF(G990="","Category, ","")&amp;IF(H990="","HSN Code, ","")&amp;IF(Q990="","Qty, ","")&amp;IF(R990="","Purchase Rate, ","")&amp;IF(S990="","MRP, ",""))&lt;&gt;"","Missing: "&amp;LEFT(IF(B990="","PO Ref, ","")&amp;IF(C990="","Vendor, ","")&amp;IF(D990="","Store, ","")&amp;IF(F990="","Product Type, ","")&amp;IF(G990="","Category, ","")&amp;IF(H990="","HSN Code, ","")&amp;IF(Q990="","Qty, ","")&amp;IF(R990="","Purchase Rate, ","")&amp;IF(S990="","MRP, ",""),LEN(IF(B990="","PO Ref, ","")&amp;IF(C990="","Vendor, ","")&amp;IF(D990="","Store, ","")&amp;IF(F990="","Product Type, ","")&amp;IF(G990="","Category, ","")&amp;IF(H990="","HSN Code, ","")&amp;IF(Q990="","Qty, ","")&amp;IF(R990="","Purchase Rate, ","")&amp;IF(S990="","MRP, ",""))-2),IF(COUNTIF(Vendors!$B$3:$B$202,C990)=0,"Add vendor "&amp;C990&amp;" on the Vendors sheet",IF(ISNA(MATCH(H990,Codes!$A$2:$A$13,0)),"Pick the HSN Code from the list",IF(AND(E990&lt;&gt;"",COUNTIFS($C$3:$C$1002,C990,$E$3:$E$1002,E990,$F$3:$F$1002,"&lt;&gt;"&amp;F990)+COUNTIFS($C$3:$C$1002,C990,$E$3:$E$1002,E990,$G$3:$G$1002,"&lt;&gt;"&amp;G990)&gt;0),"Design "&amp;E990&amp;" has another Product Type or Category on another row",IF(COUNTIFS($F$3:$F$1002,F990,$G$3:$G$1002,G990,$H$3:$H$1002,"&lt;&gt;"&amp;H990)&gt;0,F990&amp;" + "&amp;G990&amp;" has another HSN Code on another row",IF(AND(V990&lt;&gt;"",U990=""),"Received Qty needs the Vendor Invoice No",IF(AND(U990&lt;&gt;"",COUNTIFS(Bills!$B$3:$B$302,U990,Bills!$C$3:$C$302,C990)=0),"Add bill "&amp;U990&amp;" of "&amp;C990&amp;" on the Bills sheet",IF(S990&lt;R990,"MRP is below the Purchase Rate","OK")))))))))</f>
        <v/>
      </c>
      <c r="B990" s="29"/>
      <c r="C990" s="22"/>
      <c r="D990" s="22"/>
      <c r="E990" s="24"/>
      <c r="F990" s="22"/>
      <c r="G990" s="22"/>
      <c r="H990" s="22"/>
      <c r="I990" s="30" t="str">
        <f>IF(H990="","",IFERROR(INDEX(Codes!$B$2:$B$13,MATCH(H990,Codes!$A$2:$A$13,0)),""))</f>
        <v/>
      </c>
      <c r="J990" s="23"/>
      <c r="K990" s="23"/>
      <c r="L990" s="23"/>
      <c r="M990" s="23"/>
      <c r="N990" s="23"/>
      <c r="O990" s="23"/>
      <c r="P990" s="23"/>
      <c r="Q990" s="31"/>
      <c r="R990" s="32"/>
      <c r="S990" s="32"/>
      <c r="T990" s="33" t="str">
        <f t="shared" si="30"/>
        <v/>
      </c>
      <c r="U990" s="34"/>
      <c r="V990" s="35"/>
      <c r="W990" s="33" t="str">
        <f t="shared" si="31"/>
        <v/>
      </c>
    </row>
    <row r="991" spans="1:23" x14ac:dyDescent="0.35">
      <c r="A991" s="21" t="str">
        <f>IF(COUNTA(B991:H991,J991:S991,U991:V991)=0,"",IF((IF(B991="","PO Ref, ","")&amp;IF(C991="","Vendor, ","")&amp;IF(D991="","Store, ","")&amp;IF(F991="","Product Type, ","")&amp;IF(G991="","Category, ","")&amp;IF(H991="","HSN Code, ","")&amp;IF(Q991="","Qty, ","")&amp;IF(R991="","Purchase Rate, ","")&amp;IF(S991="","MRP, ",""))&lt;&gt;"","Missing: "&amp;LEFT(IF(B991="","PO Ref, ","")&amp;IF(C991="","Vendor, ","")&amp;IF(D991="","Store, ","")&amp;IF(F991="","Product Type, ","")&amp;IF(G991="","Category, ","")&amp;IF(H991="","HSN Code, ","")&amp;IF(Q991="","Qty, ","")&amp;IF(R991="","Purchase Rate, ","")&amp;IF(S991="","MRP, ",""),LEN(IF(B991="","PO Ref, ","")&amp;IF(C991="","Vendor, ","")&amp;IF(D991="","Store, ","")&amp;IF(F991="","Product Type, ","")&amp;IF(G991="","Category, ","")&amp;IF(H991="","HSN Code, ","")&amp;IF(Q991="","Qty, ","")&amp;IF(R991="","Purchase Rate, ","")&amp;IF(S991="","MRP, ",""))-2),IF(COUNTIF(Vendors!$B$3:$B$202,C991)=0,"Add vendor "&amp;C991&amp;" on the Vendors sheet",IF(ISNA(MATCH(H991,Codes!$A$2:$A$13,0)),"Pick the HSN Code from the list",IF(AND(E991&lt;&gt;"",COUNTIFS($C$3:$C$1002,C991,$E$3:$E$1002,E991,$F$3:$F$1002,"&lt;&gt;"&amp;F991)+COUNTIFS($C$3:$C$1002,C991,$E$3:$E$1002,E991,$G$3:$G$1002,"&lt;&gt;"&amp;G991)&gt;0),"Design "&amp;E991&amp;" has another Product Type or Category on another row",IF(COUNTIFS($F$3:$F$1002,F991,$G$3:$G$1002,G991,$H$3:$H$1002,"&lt;&gt;"&amp;H991)&gt;0,F991&amp;" + "&amp;G991&amp;" has another HSN Code on another row",IF(AND(V991&lt;&gt;"",U991=""),"Received Qty needs the Vendor Invoice No",IF(AND(U991&lt;&gt;"",COUNTIFS(Bills!$B$3:$B$302,U991,Bills!$C$3:$C$302,C991)=0),"Add bill "&amp;U991&amp;" of "&amp;C991&amp;" on the Bills sheet",IF(S991&lt;R991,"MRP is below the Purchase Rate","OK")))))))))</f>
        <v/>
      </c>
      <c r="B991" s="29"/>
      <c r="C991" s="22"/>
      <c r="D991" s="22"/>
      <c r="E991" s="24"/>
      <c r="F991" s="22"/>
      <c r="G991" s="22"/>
      <c r="H991" s="22"/>
      <c r="I991" s="30" t="str">
        <f>IF(H991="","",IFERROR(INDEX(Codes!$B$2:$B$13,MATCH(H991,Codes!$A$2:$A$13,0)),""))</f>
        <v/>
      </c>
      <c r="J991" s="23"/>
      <c r="K991" s="23"/>
      <c r="L991" s="23"/>
      <c r="M991" s="23"/>
      <c r="N991" s="23"/>
      <c r="O991" s="23"/>
      <c r="P991" s="23"/>
      <c r="Q991" s="31"/>
      <c r="R991" s="32"/>
      <c r="S991" s="32"/>
      <c r="T991" s="33" t="str">
        <f t="shared" si="30"/>
        <v/>
      </c>
      <c r="U991" s="34"/>
      <c r="V991" s="35"/>
      <c r="W991" s="33" t="str">
        <f t="shared" si="31"/>
        <v/>
      </c>
    </row>
    <row r="992" spans="1:23" x14ac:dyDescent="0.35">
      <c r="A992" s="21" t="str">
        <f>IF(COUNTA(B992:H992,J992:S992,U992:V992)=0,"",IF((IF(B992="","PO Ref, ","")&amp;IF(C992="","Vendor, ","")&amp;IF(D992="","Store, ","")&amp;IF(F992="","Product Type, ","")&amp;IF(G992="","Category, ","")&amp;IF(H992="","HSN Code, ","")&amp;IF(Q992="","Qty, ","")&amp;IF(R992="","Purchase Rate, ","")&amp;IF(S992="","MRP, ",""))&lt;&gt;"","Missing: "&amp;LEFT(IF(B992="","PO Ref, ","")&amp;IF(C992="","Vendor, ","")&amp;IF(D992="","Store, ","")&amp;IF(F992="","Product Type, ","")&amp;IF(G992="","Category, ","")&amp;IF(H992="","HSN Code, ","")&amp;IF(Q992="","Qty, ","")&amp;IF(R992="","Purchase Rate, ","")&amp;IF(S992="","MRP, ",""),LEN(IF(B992="","PO Ref, ","")&amp;IF(C992="","Vendor, ","")&amp;IF(D992="","Store, ","")&amp;IF(F992="","Product Type, ","")&amp;IF(G992="","Category, ","")&amp;IF(H992="","HSN Code, ","")&amp;IF(Q992="","Qty, ","")&amp;IF(R992="","Purchase Rate, ","")&amp;IF(S992="","MRP, ",""))-2),IF(COUNTIF(Vendors!$B$3:$B$202,C992)=0,"Add vendor "&amp;C992&amp;" on the Vendors sheet",IF(ISNA(MATCH(H992,Codes!$A$2:$A$13,0)),"Pick the HSN Code from the list",IF(AND(E992&lt;&gt;"",COUNTIFS($C$3:$C$1002,C992,$E$3:$E$1002,E992,$F$3:$F$1002,"&lt;&gt;"&amp;F992)+COUNTIFS($C$3:$C$1002,C992,$E$3:$E$1002,E992,$G$3:$G$1002,"&lt;&gt;"&amp;G992)&gt;0),"Design "&amp;E992&amp;" has another Product Type or Category on another row",IF(COUNTIFS($F$3:$F$1002,F992,$G$3:$G$1002,G992,$H$3:$H$1002,"&lt;&gt;"&amp;H992)&gt;0,F992&amp;" + "&amp;G992&amp;" has another HSN Code on another row",IF(AND(V992&lt;&gt;"",U992=""),"Received Qty needs the Vendor Invoice No",IF(AND(U992&lt;&gt;"",COUNTIFS(Bills!$B$3:$B$302,U992,Bills!$C$3:$C$302,C992)=0),"Add bill "&amp;U992&amp;" of "&amp;C992&amp;" on the Bills sheet",IF(S992&lt;R992,"MRP is below the Purchase Rate","OK")))))))))</f>
        <v/>
      </c>
      <c r="B992" s="29"/>
      <c r="C992" s="22"/>
      <c r="D992" s="22"/>
      <c r="E992" s="24"/>
      <c r="F992" s="22"/>
      <c r="G992" s="22"/>
      <c r="H992" s="22"/>
      <c r="I992" s="30" t="str">
        <f>IF(H992="","",IFERROR(INDEX(Codes!$B$2:$B$13,MATCH(H992,Codes!$A$2:$A$13,0)),""))</f>
        <v/>
      </c>
      <c r="J992" s="23"/>
      <c r="K992" s="23"/>
      <c r="L992" s="23"/>
      <c r="M992" s="23"/>
      <c r="N992" s="23"/>
      <c r="O992" s="23"/>
      <c r="P992" s="23"/>
      <c r="Q992" s="31"/>
      <c r="R992" s="32"/>
      <c r="S992" s="32"/>
      <c r="T992" s="33" t="str">
        <f t="shared" si="30"/>
        <v/>
      </c>
      <c r="U992" s="34"/>
      <c r="V992" s="35"/>
      <c r="W992" s="33" t="str">
        <f t="shared" si="31"/>
        <v/>
      </c>
    </row>
    <row r="993" spans="1:23" x14ac:dyDescent="0.35">
      <c r="A993" s="21" t="str">
        <f>IF(COUNTA(B993:H993,J993:S993,U993:V993)=0,"",IF((IF(B993="","PO Ref, ","")&amp;IF(C993="","Vendor, ","")&amp;IF(D993="","Store, ","")&amp;IF(F993="","Product Type, ","")&amp;IF(G993="","Category, ","")&amp;IF(H993="","HSN Code, ","")&amp;IF(Q993="","Qty, ","")&amp;IF(R993="","Purchase Rate, ","")&amp;IF(S993="","MRP, ",""))&lt;&gt;"","Missing: "&amp;LEFT(IF(B993="","PO Ref, ","")&amp;IF(C993="","Vendor, ","")&amp;IF(D993="","Store, ","")&amp;IF(F993="","Product Type, ","")&amp;IF(G993="","Category, ","")&amp;IF(H993="","HSN Code, ","")&amp;IF(Q993="","Qty, ","")&amp;IF(R993="","Purchase Rate, ","")&amp;IF(S993="","MRP, ",""),LEN(IF(B993="","PO Ref, ","")&amp;IF(C993="","Vendor, ","")&amp;IF(D993="","Store, ","")&amp;IF(F993="","Product Type, ","")&amp;IF(G993="","Category, ","")&amp;IF(H993="","HSN Code, ","")&amp;IF(Q993="","Qty, ","")&amp;IF(R993="","Purchase Rate, ","")&amp;IF(S993="","MRP, ",""))-2),IF(COUNTIF(Vendors!$B$3:$B$202,C993)=0,"Add vendor "&amp;C993&amp;" on the Vendors sheet",IF(ISNA(MATCH(H993,Codes!$A$2:$A$13,0)),"Pick the HSN Code from the list",IF(AND(E993&lt;&gt;"",COUNTIFS($C$3:$C$1002,C993,$E$3:$E$1002,E993,$F$3:$F$1002,"&lt;&gt;"&amp;F993)+COUNTIFS($C$3:$C$1002,C993,$E$3:$E$1002,E993,$G$3:$G$1002,"&lt;&gt;"&amp;G993)&gt;0),"Design "&amp;E993&amp;" has another Product Type or Category on another row",IF(COUNTIFS($F$3:$F$1002,F993,$G$3:$G$1002,G993,$H$3:$H$1002,"&lt;&gt;"&amp;H993)&gt;0,F993&amp;" + "&amp;G993&amp;" has another HSN Code on another row",IF(AND(V993&lt;&gt;"",U993=""),"Received Qty needs the Vendor Invoice No",IF(AND(U993&lt;&gt;"",COUNTIFS(Bills!$B$3:$B$302,U993,Bills!$C$3:$C$302,C993)=0),"Add bill "&amp;U993&amp;" of "&amp;C993&amp;" on the Bills sheet",IF(S993&lt;R993,"MRP is below the Purchase Rate","OK")))))))))</f>
        <v/>
      </c>
      <c r="B993" s="29"/>
      <c r="C993" s="22"/>
      <c r="D993" s="22"/>
      <c r="E993" s="24"/>
      <c r="F993" s="22"/>
      <c r="G993" s="22"/>
      <c r="H993" s="22"/>
      <c r="I993" s="30" t="str">
        <f>IF(H993="","",IFERROR(INDEX(Codes!$B$2:$B$13,MATCH(H993,Codes!$A$2:$A$13,0)),""))</f>
        <v/>
      </c>
      <c r="J993" s="23"/>
      <c r="K993" s="23"/>
      <c r="L993" s="23"/>
      <c r="M993" s="23"/>
      <c r="N993" s="23"/>
      <c r="O993" s="23"/>
      <c r="P993" s="23"/>
      <c r="Q993" s="31"/>
      <c r="R993" s="32"/>
      <c r="S993" s="32"/>
      <c r="T993" s="33" t="str">
        <f t="shared" si="30"/>
        <v/>
      </c>
      <c r="U993" s="34"/>
      <c r="V993" s="35"/>
      <c r="W993" s="33" t="str">
        <f t="shared" si="31"/>
        <v/>
      </c>
    </row>
    <row r="994" spans="1:23" x14ac:dyDescent="0.35">
      <c r="A994" s="21" t="str">
        <f>IF(COUNTA(B994:H994,J994:S994,U994:V994)=0,"",IF((IF(B994="","PO Ref, ","")&amp;IF(C994="","Vendor, ","")&amp;IF(D994="","Store, ","")&amp;IF(F994="","Product Type, ","")&amp;IF(G994="","Category, ","")&amp;IF(H994="","HSN Code, ","")&amp;IF(Q994="","Qty, ","")&amp;IF(R994="","Purchase Rate, ","")&amp;IF(S994="","MRP, ",""))&lt;&gt;"","Missing: "&amp;LEFT(IF(B994="","PO Ref, ","")&amp;IF(C994="","Vendor, ","")&amp;IF(D994="","Store, ","")&amp;IF(F994="","Product Type, ","")&amp;IF(G994="","Category, ","")&amp;IF(H994="","HSN Code, ","")&amp;IF(Q994="","Qty, ","")&amp;IF(R994="","Purchase Rate, ","")&amp;IF(S994="","MRP, ",""),LEN(IF(B994="","PO Ref, ","")&amp;IF(C994="","Vendor, ","")&amp;IF(D994="","Store, ","")&amp;IF(F994="","Product Type, ","")&amp;IF(G994="","Category, ","")&amp;IF(H994="","HSN Code, ","")&amp;IF(Q994="","Qty, ","")&amp;IF(R994="","Purchase Rate, ","")&amp;IF(S994="","MRP, ",""))-2),IF(COUNTIF(Vendors!$B$3:$B$202,C994)=0,"Add vendor "&amp;C994&amp;" on the Vendors sheet",IF(ISNA(MATCH(H994,Codes!$A$2:$A$13,0)),"Pick the HSN Code from the list",IF(AND(E994&lt;&gt;"",COUNTIFS($C$3:$C$1002,C994,$E$3:$E$1002,E994,$F$3:$F$1002,"&lt;&gt;"&amp;F994)+COUNTIFS($C$3:$C$1002,C994,$E$3:$E$1002,E994,$G$3:$G$1002,"&lt;&gt;"&amp;G994)&gt;0),"Design "&amp;E994&amp;" has another Product Type or Category on another row",IF(COUNTIFS($F$3:$F$1002,F994,$G$3:$G$1002,G994,$H$3:$H$1002,"&lt;&gt;"&amp;H994)&gt;0,F994&amp;" + "&amp;G994&amp;" has another HSN Code on another row",IF(AND(V994&lt;&gt;"",U994=""),"Received Qty needs the Vendor Invoice No",IF(AND(U994&lt;&gt;"",COUNTIFS(Bills!$B$3:$B$302,U994,Bills!$C$3:$C$302,C994)=0),"Add bill "&amp;U994&amp;" of "&amp;C994&amp;" on the Bills sheet",IF(S994&lt;R994,"MRP is below the Purchase Rate","OK")))))))))</f>
        <v/>
      </c>
      <c r="B994" s="29"/>
      <c r="C994" s="22"/>
      <c r="D994" s="22"/>
      <c r="E994" s="24"/>
      <c r="F994" s="22"/>
      <c r="G994" s="22"/>
      <c r="H994" s="22"/>
      <c r="I994" s="30" t="str">
        <f>IF(H994="","",IFERROR(INDEX(Codes!$B$2:$B$13,MATCH(H994,Codes!$A$2:$A$13,0)),""))</f>
        <v/>
      </c>
      <c r="J994" s="23"/>
      <c r="K994" s="23"/>
      <c r="L994" s="23"/>
      <c r="M994" s="23"/>
      <c r="N994" s="23"/>
      <c r="O994" s="23"/>
      <c r="P994" s="23"/>
      <c r="Q994" s="31"/>
      <c r="R994" s="32"/>
      <c r="S994" s="32"/>
      <c r="T994" s="33" t="str">
        <f t="shared" si="30"/>
        <v/>
      </c>
      <c r="U994" s="34"/>
      <c r="V994" s="35"/>
      <c r="W994" s="33" t="str">
        <f t="shared" si="31"/>
        <v/>
      </c>
    </row>
    <row r="995" spans="1:23" x14ac:dyDescent="0.35">
      <c r="A995" s="21" t="str">
        <f>IF(COUNTA(B995:H995,J995:S995,U995:V995)=0,"",IF((IF(B995="","PO Ref, ","")&amp;IF(C995="","Vendor, ","")&amp;IF(D995="","Store, ","")&amp;IF(F995="","Product Type, ","")&amp;IF(G995="","Category, ","")&amp;IF(H995="","HSN Code, ","")&amp;IF(Q995="","Qty, ","")&amp;IF(R995="","Purchase Rate, ","")&amp;IF(S995="","MRP, ",""))&lt;&gt;"","Missing: "&amp;LEFT(IF(B995="","PO Ref, ","")&amp;IF(C995="","Vendor, ","")&amp;IF(D995="","Store, ","")&amp;IF(F995="","Product Type, ","")&amp;IF(G995="","Category, ","")&amp;IF(H995="","HSN Code, ","")&amp;IF(Q995="","Qty, ","")&amp;IF(R995="","Purchase Rate, ","")&amp;IF(S995="","MRP, ",""),LEN(IF(B995="","PO Ref, ","")&amp;IF(C995="","Vendor, ","")&amp;IF(D995="","Store, ","")&amp;IF(F995="","Product Type, ","")&amp;IF(G995="","Category, ","")&amp;IF(H995="","HSN Code, ","")&amp;IF(Q995="","Qty, ","")&amp;IF(R995="","Purchase Rate, ","")&amp;IF(S995="","MRP, ",""))-2),IF(COUNTIF(Vendors!$B$3:$B$202,C995)=0,"Add vendor "&amp;C995&amp;" on the Vendors sheet",IF(ISNA(MATCH(H995,Codes!$A$2:$A$13,0)),"Pick the HSN Code from the list",IF(AND(E995&lt;&gt;"",COUNTIFS($C$3:$C$1002,C995,$E$3:$E$1002,E995,$F$3:$F$1002,"&lt;&gt;"&amp;F995)+COUNTIFS($C$3:$C$1002,C995,$E$3:$E$1002,E995,$G$3:$G$1002,"&lt;&gt;"&amp;G995)&gt;0),"Design "&amp;E995&amp;" has another Product Type or Category on another row",IF(COUNTIFS($F$3:$F$1002,F995,$G$3:$G$1002,G995,$H$3:$H$1002,"&lt;&gt;"&amp;H995)&gt;0,F995&amp;" + "&amp;G995&amp;" has another HSN Code on another row",IF(AND(V995&lt;&gt;"",U995=""),"Received Qty needs the Vendor Invoice No",IF(AND(U995&lt;&gt;"",COUNTIFS(Bills!$B$3:$B$302,U995,Bills!$C$3:$C$302,C995)=0),"Add bill "&amp;U995&amp;" of "&amp;C995&amp;" on the Bills sheet",IF(S995&lt;R995,"MRP is below the Purchase Rate","OK")))))))))</f>
        <v/>
      </c>
      <c r="B995" s="29"/>
      <c r="C995" s="22"/>
      <c r="D995" s="22"/>
      <c r="E995" s="24"/>
      <c r="F995" s="22"/>
      <c r="G995" s="22"/>
      <c r="H995" s="22"/>
      <c r="I995" s="30" t="str">
        <f>IF(H995="","",IFERROR(INDEX(Codes!$B$2:$B$13,MATCH(H995,Codes!$A$2:$A$13,0)),""))</f>
        <v/>
      </c>
      <c r="J995" s="23"/>
      <c r="K995" s="23"/>
      <c r="L995" s="23"/>
      <c r="M995" s="23"/>
      <c r="N995" s="23"/>
      <c r="O995" s="23"/>
      <c r="P995" s="23"/>
      <c r="Q995" s="31"/>
      <c r="R995" s="32"/>
      <c r="S995" s="32"/>
      <c r="T995" s="33" t="str">
        <f t="shared" si="30"/>
        <v/>
      </c>
      <c r="U995" s="34"/>
      <c r="V995" s="35"/>
      <c r="W995" s="33" t="str">
        <f t="shared" si="31"/>
        <v/>
      </c>
    </row>
    <row r="996" spans="1:23" x14ac:dyDescent="0.35">
      <c r="A996" s="21" t="str">
        <f>IF(COUNTA(B996:H996,J996:S996,U996:V996)=0,"",IF((IF(B996="","PO Ref, ","")&amp;IF(C996="","Vendor, ","")&amp;IF(D996="","Store, ","")&amp;IF(F996="","Product Type, ","")&amp;IF(G996="","Category, ","")&amp;IF(H996="","HSN Code, ","")&amp;IF(Q996="","Qty, ","")&amp;IF(R996="","Purchase Rate, ","")&amp;IF(S996="","MRP, ",""))&lt;&gt;"","Missing: "&amp;LEFT(IF(B996="","PO Ref, ","")&amp;IF(C996="","Vendor, ","")&amp;IF(D996="","Store, ","")&amp;IF(F996="","Product Type, ","")&amp;IF(G996="","Category, ","")&amp;IF(H996="","HSN Code, ","")&amp;IF(Q996="","Qty, ","")&amp;IF(R996="","Purchase Rate, ","")&amp;IF(S996="","MRP, ",""),LEN(IF(B996="","PO Ref, ","")&amp;IF(C996="","Vendor, ","")&amp;IF(D996="","Store, ","")&amp;IF(F996="","Product Type, ","")&amp;IF(G996="","Category, ","")&amp;IF(H996="","HSN Code, ","")&amp;IF(Q996="","Qty, ","")&amp;IF(R996="","Purchase Rate, ","")&amp;IF(S996="","MRP, ",""))-2),IF(COUNTIF(Vendors!$B$3:$B$202,C996)=0,"Add vendor "&amp;C996&amp;" on the Vendors sheet",IF(ISNA(MATCH(H996,Codes!$A$2:$A$13,0)),"Pick the HSN Code from the list",IF(AND(E996&lt;&gt;"",COUNTIFS($C$3:$C$1002,C996,$E$3:$E$1002,E996,$F$3:$F$1002,"&lt;&gt;"&amp;F996)+COUNTIFS($C$3:$C$1002,C996,$E$3:$E$1002,E996,$G$3:$G$1002,"&lt;&gt;"&amp;G996)&gt;0),"Design "&amp;E996&amp;" has another Product Type or Category on another row",IF(COUNTIFS($F$3:$F$1002,F996,$G$3:$G$1002,G996,$H$3:$H$1002,"&lt;&gt;"&amp;H996)&gt;0,F996&amp;" + "&amp;G996&amp;" has another HSN Code on another row",IF(AND(V996&lt;&gt;"",U996=""),"Received Qty needs the Vendor Invoice No",IF(AND(U996&lt;&gt;"",COUNTIFS(Bills!$B$3:$B$302,U996,Bills!$C$3:$C$302,C996)=0),"Add bill "&amp;U996&amp;" of "&amp;C996&amp;" on the Bills sheet",IF(S996&lt;R996,"MRP is below the Purchase Rate","OK")))))))))</f>
        <v/>
      </c>
      <c r="B996" s="29"/>
      <c r="C996" s="22"/>
      <c r="D996" s="22"/>
      <c r="E996" s="24"/>
      <c r="F996" s="22"/>
      <c r="G996" s="22"/>
      <c r="H996" s="22"/>
      <c r="I996" s="30" t="str">
        <f>IF(H996="","",IFERROR(INDEX(Codes!$B$2:$B$13,MATCH(H996,Codes!$A$2:$A$13,0)),""))</f>
        <v/>
      </c>
      <c r="J996" s="23"/>
      <c r="K996" s="23"/>
      <c r="L996" s="23"/>
      <c r="M996" s="23"/>
      <c r="N996" s="23"/>
      <c r="O996" s="23"/>
      <c r="P996" s="23"/>
      <c r="Q996" s="31"/>
      <c r="R996" s="32"/>
      <c r="S996" s="32"/>
      <c r="T996" s="33" t="str">
        <f t="shared" si="30"/>
        <v/>
      </c>
      <c r="U996" s="34"/>
      <c r="V996" s="35"/>
      <c r="W996" s="33" t="str">
        <f t="shared" si="31"/>
        <v/>
      </c>
    </row>
    <row r="997" spans="1:23" x14ac:dyDescent="0.35">
      <c r="A997" s="21" t="str">
        <f>IF(COUNTA(B997:H997,J997:S997,U997:V997)=0,"",IF((IF(B997="","PO Ref, ","")&amp;IF(C997="","Vendor, ","")&amp;IF(D997="","Store, ","")&amp;IF(F997="","Product Type, ","")&amp;IF(G997="","Category, ","")&amp;IF(H997="","HSN Code, ","")&amp;IF(Q997="","Qty, ","")&amp;IF(R997="","Purchase Rate, ","")&amp;IF(S997="","MRP, ",""))&lt;&gt;"","Missing: "&amp;LEFT(IF(B997="","PO Ref, ","")&amp;IF(C997="","Vendor, ","")&amp;IF(D997="","Store, ","")&amp;IF(F997="","Product Type, ","")&amp;IF(G997="","Category, ","")&amp;IF(H997="","HSN Code, ","")&amp;IF(Q997="","Qty, ","")&amp;IF(R997="","Purchase Rate, ","")&amp;IF(S997="","MRP, ",""),LEN(IF(B997="","PO Ref, ","")&amp;IF(C997="","Vendor, ","")&amp;IF(D997="","Store, ","")&amp;IF(F997="","Product Type, ","")&amp;IF(G997="","Category, ","")&amp;IF(H997="","HSN Code, ","")&amp;IF(Q997="","Qty, ","")&amp;IF(R997="","Purchase Rate, ","")&amp;IF(S997="","MRP, ",""))-2),IF(COUNTIF(Vendors!$B$3:$B$202,C997)=0,"Add vendor "&amp;C997&amp;" on the Vendors sheet",IF(ISNA(MATCH(H997,Codes!$A$2:$A$13,0)),"Pick the HSN Code from the list",IF(AND(E997&lt;&gt;"",COUNTIFS($C$3:$C$1002,C997,$E$3:$E$1002,E997,$F$3:$F$1002,"&lt;&gt;"&amp;F997)+COUNTIFS($C$3:$C$1002,C997,$E$3:$E$1002,E997,$G$3:$G$1002,"&lt;&gt;"&amp;G997)&gt;0),"Design "&amp;E997&amp;" has another Product Type or Category on another row",IF(COUNTIFS($F$3:$F$1002,F997,$G$3:$G$1002,G997,$H$3:$H$1002,"&lt;&gt;"&amp;H997)&gt;0,F997&amp;" + "&amp;G997&amp;" has another HSN Code on another row",IF(AND(V997&lt;&gt;"",U997=""),"Received Qty needs the Vendor Invoice No",IF(AND(U997&lt;&gt;"",COUNTIFS(Bills!$B$3:$B$302,U997,Bills!$C$3:$C$302,C997)=0),"Add bill "&amp;U997&amp;" of "&amp;C997&amp;" on the Bills sheet",IF(S997&lt;R997,"MRP is below the Purchase Rate","OK")))))))))</f>
        <v/>
      </c>
      <c r="B997" s="29"/>
      <c r="C997" s="22"/>
      <c r="D997" s="22"/>
      <c r="E997" s="24"/>
      <c r="F997" s="22"/>
      <c r="G997" s="22"/>
      <c r="H997" s="22"/>
      <c r="I997" s="30" t="str">
        <f>IF(H997="","",IFERROR(INDEX(Codes!$B$2:$B$13,MATCH(H997,Codes!$A$2:$A$13,0)),""))</f>
        <v/>
      </c>
      <c r="J997" s="23"/>
      <c r="K997" s="23"/>
      <c r="L997" s="23"/>
      <c r="M997" s="23"/>
      <c r="N997" s="23"/>
      <c r="O997" s="23"/>
      <c r="P997" s="23"/>
      <c r="Q997" s="31"/>
      <c r="R997" s="32"/>
      <c r="S997" s="32"/>
      <c r="T997" s="33" t="str">
        <f t="shared" si="30"/>
        <v/>
      </c>
      <c r="U997" s="34"/>
      <c r="V997" s="35"/>
      <c r="W997" s="33" t="str">
        <f t="shared" si="31"/>
        <v/>
      </c>
    </row>
    <row r="998" spans="1:23" x14ac:dyDescent="0.35">
      <c r="A998" s="21" t="str">
        <f>IF(COUNTA(B998:H998,J998:S998,U998:V998)=0,"",IF((IF(B998="","PO Ref, ","")&amp;IF(C998="","Vendor, ","")&amp;IF(D998="","Store, ","")&amp;IF(F998="","Product Type, ","")&amp;IF(G998="","Category, ","")&amp;IF(H998="","HSN Code, ","")&amp;IF(Q998="","Qty, ","")&amp;IF(R998="","Purchase Rate, ","")&amp;IF(S998="","MRP, ",""))&lt;&gt;"","Missing: "&amp;LEFT(IF(B998="","PO Ref, ","")&amp;IF(C998="","Vendor, ","")&amp;IF(D998="","Store, ","")&amp;IF(F998="","Product Type, ","")&amp;IF(G998="","Category, ","")&amp;IF(H998="","HSN Code, ","")&amp;IF(Q998="","Qty, ","")&amp;IF(R998="","Purchase Rate, ","")&amp;IF(S998="","MRP, ",""),LEN(IF(B998="","PO Ref, ","")&amp;IF(C998="","Vendor, ","")&amp;IF(D998="","Store, ","")&amp;IF(F998="","Product Type, ","")&amp;IF(G998="","Category, ","")&amp;IF(H998="","HSN Code, ","")&amp;IF(Q998="","Qty, ","")&amp;IF(R998="","Purchase Rate, ","")&amp;IF(S998="","MRP, ",""))-2),IF(COUNTIF(Vendors!$B$3:$B$202,C998)=0,"Add vendor "&amp;C998&amp;" on the Vendors sheet",IF(ISNA(MATCH(H998,Codes!$A$2:$A$13,0)),"Pick the HSN Code from the list",IF(AND(E998&lt;&gt;"",COUNTIFS($C$3:$C$1002,C998,$E$3:$E$1002,E998,$F$3:$F$1002,"&lt;&gt;"&amp;F998)+COUNTIFS($C$3:$C$1002,C998,$E$3:$E$1002,E998,$G$3:$G$1002,"&lt;&gt;"&amp;G998)&gt;0),"Design "&amp;E998&amp;" has another Product Type or Category on another row",IF(COUNTIFS($F$3:$F$1002,F998,$G$3:$G$1002,G998,$H$3:$H$1002,"&lt;&gt;"&amp;H998)&gt;0,F998&amp;" + "&amp;G998&amp;" has another HSN Code on another row",IF(AND(V998&lt;&gt;"",U998=""),"Received Qty needs the Vendor Invoice No",IF(AND(U998&lt;&gt;"",COUNTIFS(Bills!$B$3:$B$302,U998,Bills!$C$3:$C$302,C998)=0),"Add bill "&amp;U998&amp;" of "&amp;C998&amp;" on the Bills sheet",IF(S998&lt;R998,"MRP is below the Purchase Rate","OK")))))))))</f>
        <v/>
      </c>
      <c r="B998" s="29"/>
      <c r="C998" s="22"/>
      <c r="D998" s="22"/>
      <c r="E998" s="24"/>
      <c r="F998" s="22"/>
      <c r="G998" s="22"/>
      <c r="H998" s="22"/>
      <c r="I998" s="30" t="str">
        <f>IF(H998="","",IFERROR(INDEX(Codes!$B$2:$B$13,MATCH(H998,Codes!$A$2:$A$13,0)),""))</f>
        <v/>
      </c>
      <c r="J998" s="23"/>
      <c r="K998" s="23"/>
      <c r="L998" s="23"/>
      <c r="M998" s="23"/>
      <c r="N998" s="23"/>
      <c r="O998" s="23"/>
      <c r="P998" s="23"/>
      <c r="Q998" s="31"/>
      <c r="R998" s="32"/>
      <c r="S998" s="32"/>
      <c r="T998" s="33" t="str">
        <f t="shared" si="30"/>
        <v/>
      </c>
      <c r="U998" s="34"/>
      <c r="V998" s="35"/>
      <c r="W998" s="33" t="str">
        <f t="shared" si="31"/>
        <v/>
      </c>
    </row>
    <row r="999" spans="1:23" x14ac:dyDescent="0.35">
      <c r="A999" s="21" t="str">
        <f>IF(COUNTA(B999:H999,J999:S999,U999:V999)=0,"",IF((IF(B999="","PO Ref, ","")&amp;IF(C999="","Vendor, ","")&amp;IF(D999="","Store, ","")&amp;IF(F999="","Product Type, ","")&amp;IF(G999="","Category, ","")&amp;IF(H999="","HSN Code, ","")&amp;IF(Q999="","Qty, ","")&amp;IF(R999="","Purchase Rate, ","")&amp;IF(S999="","MRP, ",""))&lt;&gt;"","Missing: "&amp;LEFT(IF(B999="","PO Ref, ","")&amp;IF(C999="","Vendor, ","")&amp;IF(D999="","Store, ","")&amp;IF(F999="","Product Type, ","")&amp;IF(G999="","Category, ","")&amp;IF(H999="","HSN Code, ","")&amp;IF(Q999="","Qty, ","")&amp;IF(R999="","Purchase Rate, ","")&amp;IF(S999="","MRP, ",""),LEN(IF(B999="","PO Ref, ","")&amp;IF(C999="","Vendor, ","")&amp;IF(D999="","Store, ","")&amp;IF(F999="","Product Type, ","")&amp;IF(G999="","Category, ","")&amp;IF(H999="","HSN Code, ","")&amp;IF(Q999="","Qty, ","")&amp;IF(R999="","Purchase Rate, ","")&amp;IF(S999="","MRP, ",""))-2),IF(COUNTIF(Vendors!$B$3:$B$202,C999)=0,"Add vendor "&amp;C999&amp;" on the Vendors sheet",IF(ISNA(MATCH(H999,Codes!$A$2:$A$13,0)),"Pick the HSN Code from the list",IF(AND(E999&lt;&gt;"",COUNTIFS($C$3:$C$1002,C999,$E$3:$E$1002,E999,$F$3:$F$1002,"&lt;&gt;"&amp;F999)+COUNTIFS($C$3:$C$1002,C999,$E$3:$E$1002,E999,$G$3:$G$1002,"&lt;&gt;"&amp;G999)&gt;0),"Design "&amp;E999&amp;" has another Product Type or Category on another row",IF(COUNTIFS($F$3:$F$1002,F999,$G$3:$G$1002,G999,$H$3:$H$1002,"&lt;&gt;"&amp;H999)&gt;0,F999&amp;" + "&amp;G999&amp;" has another HSN Code on another row",IF(AND(V999&lt;&gt;"",U999=""),"Received Qty needs the Vendor Invoice No",IF(AND(U999&lt;&gt;"",COUNTIFS(Bills!$B$3:$B$302,U999,Bills!$C$3:$C$302,C999)=0),"Add bill "&amp;U999&amp;" of "&amp;C999&amp;" on the Bills sheet",IF(S999&lt;R999,"MRP is below the Purchase Rate","OK")))))))))</f>
        <v/>
      </c>
      <c r="B999" s="29"/>
      <c r="C999" s="22"/>
      <c r="D999" s="22"/>
      <c r="E999" s="24"/>
      <c r="F999" s="22"/>
      <c r="G999" s="22"/>
      <c r="H999" s="22"/>
      <c r="I999" s="30" t="str">
        <f>IF(H999="","",IFERROR(INDEX(Codes!$B$2:$B$13,MATCH(H999,Codes!$A$2:$A$13,0)),""))</f>
        <v/>
      </c>
      <c r="J999" s="23"/>
      <c r="K999" s="23"/>
      <c r="L999" s="23"/>
      <c r="M999" s="23"/>
      <c r="N999" s="23"/>
      <c r="O999" s="23"/>
      <c r="P999" s="23"/>
      <c r="Q999" s="31"/>
      <c r="R999" s="32"/>
      <c r="S999" s="32"/>
      <c r="T999" s="33" t="str">
        <f t="shared" si="30"/>
        <v/>
      </c>
      <c r="U999" s="34"/>
      <c r="V999" s="35"/>
      <c r="W999" s="33" t="str">
        <f t="shared" si="31"/>
        <v/>
      </c>
    </row>
    <row r="1000" spans="1:23" x14ac:dyDescent="0.35">
      <c r="A1000" s="21" t="str">
        <f>IF(COUNTA(B1000:H1000,J1000:S1000,U1000:V1000)=0,"",IF((IF(B1000="","PO Ref, ","")&amp;IF(C1000="","Vendor, ","")&amp;IF(D1000="","Store, ","")&amp;IF(F1000="","Product Type, ","")&amp;IF(G1000="","Category, ","")&amp;IF(H1000="","HSN Code, ","")&amp;IF(Q1000="","Qty, ","")&amp;IF(R1000="","Purchase Rate, ","")&amp;IF(S1000="","MRP, ",""))&lt;&gt;"","Missing: "&amp;LEFT(IF(B1000="","PO Ref, ","")&amp;IF(C1000="","Vendor, ","")&amp;IF(D1000="","Store, ","")&amp;IF(F1000="","Product Type, ","")&amp;IF(G1000="","Category, ","")&amp;IF(H1000="","HSN Code, ","")&amp;IF(Q1000="","Qty, ","")&amp;IF(R1000="","Purchase Rate, ","")&amp;IF(S1000="","MRP, ",""),LEN(IF(B1000="","PO Ref, ","")&amp;IF(C1000="","Vendor, ","")&amp;IF(D1000="","Store, ","")&amp;IF(F1000="","Product Type, ","")&amp;IF(G1000="","Category, ","")&amp;IF(H1000="","HSN Code, ","")&amp;IF(Q1000="","Qty, ","")&amp;IF(R1000="","Purchase Rate, ","")&amp;IF(S1000="","MRP, ",""))-2),IF(COUNTIF(Vendors!$B$3:$B$202,C1000)=0,"Add vendor "&amp;C1000&amp;" on the Vendors sheet",IF(ISNA(MATCH(H1000,Codes!$A$2:$A$13,0)),"Pick the HSN Code from the list",IF(AND(E1000&lt;&gt;"",COUNTIFS($C$3:$C$1002,C1000,$E$3:$E$1002,E1000,$F$3:$F$1002,"&lt;&gt;"&amp;F1000)+COUNTIFS($C$3:$C$1002,C1000,$E$3:$E$1002,E1000,$G$3:$G$1002,"&lt;&gt;"&amp;G1000)&gt;0),"Design "&amp;E1000&amp;" has another Product Type or Category on another row",IF(COUNTIFS($F$3:$F$1002,F1000,$G$3:$G$1002,G1000,$H$3:$H$1002,"&lt;&gt;"&amp;H1000)&gt;0,F1000&amp;" + "&amp;G1000&amp;" has another HSN Code on another row",IF(AND(V1000&lt;&gt;"",U1000=""),"Received Qty needs the Vendor Invoice No",IF(AND(U1000&lt;&gt;"",COUNTIFS(Bills!$B$3:$B$302,U1000,Bills!$C$3:$C$302,C1000)=0),"Add bill "&amp;U1000&amp;" of "&amp;C1000&amp;" on the Bills sheet",IF(S1000&lt;R1000,"MRP is below the Purchase Rate","OK")))))))))</f>
        <v/>
      </c>
      <c r="B1000" s="29"/>
      <c r="C1000" s="22"/>
      <c r="D1000" s="22"/>
      <c r="E1000" s="24"/>
      <c r="F1000" s="22"/>
      <c r="G1000" s="22"/>
      <c r="H1000" s="22"/>
      <c r="I1000" s="30" t="str">
        <f>IF(H1000="","",IFERROR(INDEX(Codes!$B$2:$B$13,MATCH(H1000,Codes!$A$2:$A$13,0)),""))</f>
        <v/>
      </c>
      <c r="J1000" s="23"/>
      <c r="K1000" s="23"/>
      <c r="L1000" s="23"/>
      <c r="M1000" s="23"/>
      <c r="N1000" s="23"/>
      <c r="O1000" s="23"/>
      <c r="P1000" s="23"/>
      <c r="Q1000" s="31"/>
      <c r="R1000" s="32"/>
      <c r="S1000" s="32"/>
      <c r="T1000" s="33" t="str">
        <f t="shared" si="30"/>
        <v/>
      </c>
      <c r="U1000" s="34"/>
      <c r="V1000" s="35"/>
      <c r="W1000" s="33" t="str">
        <f t="shared" si="31"/>
        <v/>
      </c>
    </row>
    <row r="1001" spans="1:23" x14ac:dyDescent="0.35">
      <c r="A1001" s="21" t="str">
        <f>IF(COUNTA(B1001:H1001,J1001:S1001,U1001:V1001)=0,"",IF((IF(B1001="","PO Ref, ","")&amp;IF(C1001="","Vendor, ","")&amp;IF(D1001="","Store, ","")&amp;IF(F1001="","Product Type, ","")&amp;IF(G1001="","Category, ","")&amp;IF(H1001="","HSN Code, ","")&amp;IF(Q1001="","Qty, ","")&amp;IF(R1001="","Purchase Rate, ","")&amp;IF(S1001="","MRP, ",""))&lt;&gt;"","Missing: "&amp;LEFT(IF(B1001="","PO Ref, ","")&amp;IF(C1001="","Vendor, ","")&amp;IF(D1001="","Store, ","")&amp;IF(F1001="","Product Type, ","")&amp;IF(G1001="","Category, ","")&amp;IF(H1001="","HSN Code, ","")&amp;IF(Q1001="","Qty, ","")&amp;IF(R1001="","Purchase Rate, ","")&amp;IF(S1001="","MRP, ",""),LEN(IF(B1001="","PO Ref, ","")&amp;IF(C1001="","Vendor, ","")&amp;IF(D1001="","Store, ","")&amp;IF(F1001="","Product Type, ","")&amp;IF(G1001="","Category, ","")&amp;IF(H1001="","HSN Code, ","")&amp;IF(Q1001="","Qty, ","")&amp;IF(R1001="","Purchase Rate, ","")&amp;IF(S1001="","MRP, ",""))-2),IF(COUNTIF(Vendors!$B$3:$B$202,C1001)=0,"Add vendor "&amp;C1001&amp;" on the Vendors sheet",IF(ISNA(MATCH(H1001,Codes!$A$2:$A$13,0)),"Pick the HSN Code from the list",IF(AND(E1001&lt;&gt;"",COUNTIFS($C$3:$C$1002,C1001,$E$3:$E$1002,E1001,$F$3:$F$1002,"&lt;&gt;"&amp;F1001)+COUNTIFS($C$3:$C$1002,C1001,$E$3:$E$1002,E1001,$G$3:$G$1002,"&lt;&gt;"&amp;G1001)&gt;0),"Design "&amp;E1001&amp;" has another Product Type or Category on another row",IF(COUNTIFS($F$3:$F$1002,F1001,$G$3:$G$1002,G1001,$H$3:$H$1002,"&lt;&gt;"&amp;H1001)&gt;0,F1001&amp;" + "&amp;G1001&amp;" has another HSN Code on another row",IF(AND(V1001&lt;&gt;"",U1001=""),"Received Qty needs the Vendor Invoice No",IF(AND(U1001&lt;&gt;"",COUNTIFS(Bills!$B$3:$B$302,U1001,Bills!$C$3:$C$302,C1001)=0),"Add bill "&amp;U1001&amp;" of "&amp;C1001&amp;" on the Bills sheet",IF(S1001&lt;R1001,"MRP is below the Purchase Rate","OK")))))))))</f>
        <v/>
      </c>
      <c r="B1001" s="29"/>
      <c r="C1001" s="22"/>
      <c r="D1001" s="22"/>
      <c r="E1001" s="24"/>
      <c r="F1001" s="22"/>
      <c r="G1001" s="22"/>
      <c r="H1001" s="22"/>
      <c r="I1001" s="30" t="str">
        <f>IF(H1001="","",IFERROR(INDEX(Codes!$B$2:$B$13,MATCH(H1001,Codes!$A$2:$A$13,0)),""))</f>
        <v/>
      </c>
      <c r="J1001" s="23"/>
      <c r="K1001" s="23"/>
      <c r="L1001" s="23"/>
      <c r="M1001" s="23"/>
      <c r="N1001" s="23"/>
      <c r="O1001" s="23"/>
      <c r="P1001" s="23"/>
      <c r="Q1001" s="31"/>
      <c r="R1001" s="32"/>
      <c r="S1001" s="32"/>
      <c r="T1001" s="33" t="str">
        <f t="shared" si="30"/>
        <v/>
      </c>
      <c r="U1001" s="34"/>
      <c r="V1001" s="35"/>
      <c r="W1001" s="33" t="str">
        <f t="shared" si="31"/>
        <v/>
      </c>
    </row>
    <row r="1002" spans="1:23" x14ac:dyDescent="0.35">
      <c r="A1002" s="21" t="str">
        <f>IF(COUNTA(B1002:H1002,J1002:S1002,U1002:V1002)=0,"",IF((IF(B1002="","PO Ref, ","")&amp;IF(C1002="","Vendor, ","")&amp;IF(D1002="","Store, ","")&amp;IF(F1002="","Product Type, ","")&amp;IF(G1002="","Category, ","")&amp;IF(H1002="","HSN Code, ","")&amp;IF(Q1002="","Qty, ","")&amp;IF(R1002="","Purchase Rate, ","")&amp;IF(S1002="","MRP, ",""))&lt;&gt;"","Missing: "&amp;LEFT(IF(B1002="","PO Ref, ","")&amp;IF(C1002="","Vendor, ","")&amp;IF(D1002="","Store, ","")&amp;IF(F1002="","Product Type, ","")&amp;IF(G1002="","Category, ","")&amp;IF(H1002="","HSN Code, ","")&amp;IF(Q1002="","Qty, ","")&amp;IF(R1002="","Purchase Rate, ","")&amp;IF(S1002="","MRP, ",""),LEN(IF(B1002="","PO Ref, ","")&amp;IF(C1002="","Vendor, ","")&amp;IF(D1002="","Store, ","")&amp;IF(F1002="","Product Type, ","")&amp;IF(G1002="","Category, ","")&amp;IF(H1002="","HSN Code, ","")&amp;IF(Q1002="","Qty, ","")&amp;IF(R1002="","Purchase Rate, ","")&amp;IF(S1002="","MRP, ",""))-2),IF(COUNTIF(Vendors!$B$3:$B$202,C1002)=0,"Add vendor "&amp;C1002&amp;" on the Vendors sheet",IF(ISNA(MATCH(H1002,Codes!$A$2:$A$13,0)),"Pick the HSN Code from the list",IF(AND(E1002&lt;&gt;"",COUNTIFS($C$3:$C$1002,C1002,$E$3:$E$1002,E1002,$F$3:$F$1002,"&lt;&gt;"&amp;F1002)+COUNTIFS($C$3:$C$1002,C1002,$E$3:$E$1002,E1002,$G$3:$G$1002,"&lt;&gt;"&amp;G1002)&gt;0),"Design "&amp;E1002&amp;" has another Product Type or Category on another row",IF(COUNTIFS($F$3:$F$1002,F1002,$G$3:$G$1002,G1002,$H$3:$H$1002,"&lt;&gt;"&amp;H1002)&gt;0,F1002&amp;" + "&amp;G1002&amp;" has another HSN Code on another row",IF(AND(V1002&lt;&gt;"",U1002=""),"Received Qty needs the Vendor Invoice No",IF(AND(U1002&lt;&gt;"",COUNTIFS(Bills!$B$3:$B$302,U1002,Bills!$C$3:$C$302,C1002)=0),"Add bill "&amp;U1002&amp;" of "&amp;C1002&amp;" on the Bills sheet",IF(S1002&lt;R1002,"MRP is below the Purchase Rate","OK")))))))))</f>
        <v/>
      </c>
      <c r="B1002" s="29"/>
      <c r="C1002" s="22"/>
      <c r="D1002" s="22"/>
      <c r="E1002" s="24"/>
      <c r="F1002" s="22"/>
      <c r="G1002" s="22"/>
      <c r="H1002" s="22"/>
      <c r="I1002" s="30" t="str">
        <f>IF(H1002="","",IFERROR(INDEX(Codes!$B$2:$B$13,MATCH(H1002,Codes!$A$2:$A$13,0)),""))</f>
        <v/>
      </c>
      <c r="J1002" s="23"/>
      <c r="K1002" s="23"/>
      <c r="L1002" s="23"/>
      <c r="M1002" s="23"/>
      <c r="N1002" s="23"/>
      <c r="O1002" s="23"/>
      <c r="P1002" s="23"/>
      <c r="Q1002" s="31"/>
      <c r="R1002" s="32"/>
      <c r="S1002" s="32"/>
      <c r="T1002" s="33" t="str">
        <f t="shared" si="30"/>
        <v/>
      </c>
      <c r="U1002" s="34"/>
      <c r="V1002" s="35"/>
      <c r="W1002" s="33" t="str">
        <f t="shared" si="31"/>
        <v/>
      </c>
    </row>
  </sheetData>
  <conditionalFormatting sqref="A3:A1002">
    <cfRule type="expression" dxfId="17" priority="1">
      <formula>A3="OK"</formula>
    </cfRule>
    <cfRule type="expression" dxfId="16" priority="2">
      <formula>AND(LEN(A3)&gt;0,A3&lt;&gt;"OK")</formula>
    </cfRule>
  </conditionalFormatting>
  <conditionalFormatting sqref="B3:D1002">
    <cfRule type="expression" dxfId="15" priority="3" stopIfTrue="1">
      <formula>AND(COUNTA($B3:$H3,$J3:$S3,$U3:$V3)&gt;0,LEN(TRIM(B3))=0)</formula>
    </cfRule>
  </conditionalFormatting>
  <conditionalFormatting sqref="F3:H1002">
    <cfRule type="expression" dxfId="14" priority="6" stopIfTrue="1">
      <formula>AND(COUNTA($B3:$H3,$J3:$S3,$U3:$V3)&gt;0,LEN(TRIM(F3))=0)</formula>
    </cfRule>
  </conditionalFormatting>
  <conditionalFormatting sqref="Q3:S1002">
    <cfRule type="expression" dxfId="13" priority="9" stopIfTrue="1">
      <formula>AND(COUNTA($B3:$H3,$J3:$S3,$U3:$V3)&gt;0,LEN(TRIM(Q3))=0)</formula>
    </cfRule>
  </conditionalFormatting>
  <conditionalFormatting sqref="U3:U1002">
    <cfRule type="expression" dxfId="12" priority="12" stopIfTrue="1">
      <formula>AND(LEN(V3)&gt;0,LEN(TRIM(U3))=0)</formula>
    </cfRule>
  </conditionalFormatting>
  <dataValidations count="2">
    <dataValidation type="whole" allowBlank="1" showErrorMessage="1" errorTitle="Whole number" error="Type a whole number of pieces, e.g. 3" sqref="Q3:Q1002 V3:V1002" xr:uid="{00000000-0002-0000-0200-00000B000000}">
      <formula1>0</formula1>
      <formula2>1000000</formula2>
    </dataValidation>
    <dataValidation type="decimal" allowBlank="1" showErrorMessage="1" errorTitle="Amount" error="Type an amount in rupees above 0, e.g. 90 or 349.50" sqref="R3:S1002" xr:uid="{00000000-0002-0000-0200-00000D000000}">
      <formula1>0.01</formula1>
      <formula2>100000000</formula2>
    </dataValidation>
  </dataValidations>
  <pageMargins left="0.75" right="0.75" top="1" bottom="1" header="0.5" footer="0.5"/>
  <extLst>
    <ext xmlns:x14="http://schemas.microsoft.com/office/spreadsheetml/2009/9/main" uri="{CCE6A557-97BC-4b89-ADB6-D9C93CAAB3DF}">
      <x14:dataValidations xmlns:xm="http://schemas.microsoft.com/office/excel/2006/main" count="11">
        <x14:dataValidation type="list" allowBlank="1" showErrorMessage="1" errorTitle="Not in the list" error="Pick a vendor from the list. A new vendor: add a row on the Vendors sheet first (name and state)." xr:uid="{00000000-0002-0000-0200-000000000000}">
          <x14:formula1>
            <xm:f>Vendors!$B$3:$B$202</xm:f>
          </x14:formula1>
          <xm:sqref>C3:C1002</xm:sqref>
        </x14:dataValidation>
        <x14:dataValidation type="list" allowBlank="1" showErrorMessage="1" errorTitle="Not in the list" error="Pick a store from the list. A new store must be set up in Wholeops first: tell us." xr:uid="{00000000-0002-0000-0200-000001000000}">
          <x14:formula1>
            <xm:f>Lists!$A$2:$A$300</xm:f>
          </x14:formula1>
          <xm:sqref>D3:D1002</xm:sqref>
        </x14:dataValidation>
        <x14:dataValidation type="list" errorStyle="warning" allowBlank="1" showErrorMessage="1" errorTitle="Not in the list" error="This value is not on the Lists sheet. Click Yes to keep it: Wholeops creates it on upload. Add it to the Lists sheet so the drop-down offers it next time." xr:uid="{00000000-0002-0000-0200-000002000000}">
          <x14:formula1>
            <xm:f>Lists!$B$2:$B$300</xm:f>
          </x14:formula1>
          <xm:sqref>F3:F1002</xm:sqref>
        </x14:dataValidation>
        <x14:dataValidation type="list" errorStyle="warning" allowBlank="1" showErrorMessage="1" errorTitle="Not in the list" error="This value is not on the Lists sheet. Click Yes to keep it: Wholeops creates it on upload. Add it to the Lists sheet so the drop-down offers it next time." xr:uid="{00000000-0002-0000-0200-000003000000}">
          <x14:formula1>
            <xm:f>Lists!$C$2:$C$300</xm:f>
          </x14:formula1>
          <xm:sqref>G3:G1002</xm:sqref>
        </x14:dataValidation>
        <x14:dataValidation type="list" allowBlank="1" showErrorMessage="1" errorTitle="Not in the list" error="Pick the HSN Code from the list. The Codes sheet says which one fits." xr:uid="{00000000-0002-0000-0200-000004000000}">
          <x14:formula1>
            <xm:f>Codes!$A$2:$A$13</xm:f>
          </x14:formula1>
          <xm:sqref>H3:H1002</xm:sqref>
        </x14:dataValidation>
        <x14:dataValidation type="list" errorStyle="warning" allowBlank="1" showErrorMessage="1" errorTitle="Not in the list" error="This value is not on the Lists sheet. Click Yes to keep it: Wholeops creates it on upload. Add it to the Lists sheet so the drop-down offers it next time." xr:uid="{00000000-0002-0000-0200-000005000000}">
          <x14:formula1>
            <xm:f>Lists!$D$2:$D$300</xm:f>
          </x14:formula1>
          <xm:sqref>J3:J1002</xm:sqref>
        </x14:dataValidation>
        <x14:dataValidation type="list" errorStyle="warning" allowBlank="1" showErrorMessage="1" errorTitle="Not in the list" error="This value is not on the Lists sheet. Click Yes to keep it: Wholeops creates it on upload. Add it to the Lists sheet so the drop-down offers it next time." xr:uid="{00000000-0002-0000-0200-000006000000}">
          <x14:formula1>
            <xm:f>Lists!$E$2:$E$300</xm:f>
          </x14:formula1>
          <xm:sqref>K3:K1002</xm:sqref>
        </x14:dataValidation>
        <x14:dataValidation type="list" errorStyle="warning" allowBlank="1" showErrorMessage="1" errorTitle="Not in the list" error="This value is not on the Lists sheet. Click Yes to keep it: Wholeops creates it on upload. Add it to the Lists sheet so the drop-down offers it next time." xr:uid="{00000000-0002-0000-0200-000007000000}">
          <x14:formula1>
            <xm:f>Lists!$F$2:$F$300</xm:f>
          </x14:formula1>
          <xm:sqref>L3:L1002</xm:sqref>
        </x14:dataValidation>
        <x14:dataValidation type="list" errorStyle="warning" allowBlank="1" showErrorMessage="1" errorTitle="Not in the list" error="This value is not on the Lists sheet. Click Yes to keep it: Wholeops creates it on upload. Add it to the Lists sheet so the drop-down offers it next time." xr:uid="{00000000-0002-0000-0200-000008000000}">
          <x14:formula1>
            <xm:f>Lists!$G$2:$G$300</xm:f>
          </x14:formula1>
          <xm:sqref>M3:M1002</xm:sqref>
        </x14:dataValidation>
        <x14:dataValidation type="list" errorStyle="warning" allowBlank="1" showErrorMessage="1" errorTitle="Not in the list" error="This value is not on the Lists sheet. Click Yes to keep it: Wholeops creates it on upload. Add it to the Lists sheet so the drop-down offers it next time." xr:uid="{00000000-0002-0000-0200-000009000000}">
          <x14:formula1>
            <xm:f>Lists!$H$2:$H$300</xm:f>
          </x14:formula1>
          <xm:sqref>N3:N1002</xm:sqref>
        </x14:dataValidation>
        <x14:dataValidation type="list" errorStyle="warning" allowBlank="1" showErrorMessage="1" errorTitle="Not in the list" error="This value is not on the Lists sheet. Click Yes to keep it: Wholeops creates it on upload. Add it to the Lists sheet so the drop-down offers it next time." xr:uid="{00000000-0002-0000-0200-00000A000000}">
          <x14:formula1>
            <xm:f>Lists!$I$2:$I$300</xm:f>
          </x14:formula1>
          <xm:sqref>O3:O1002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75623"/>
  </sheetPr>
  <dimension ref="A1:G302"/>
  <sheetViews>
    <sheetView workbookViewId="0">
      <pane xSplit="2" ySplit="2" topLeftCell="C3" activePane="bottomRight" state="frozen"/>
      <selection pane="topRight"/>
      <selection pane="bottomLeft"/>
      <selection pane="bottomRight"/>
    </sheetView>
  </sheetViews>
  <sheetFormatPr defaultRowHeight="14.5" x14ac:dyDescent="0.35"/>
  <cols>
    <col min="1" max="1" width="40" customWidth="1"/>
    <col min="2" max="2" width="20" customWidth="1"/>
    <col min="3" max="3" width="16" customWidth="1"/>
    <col min="4" max="4" width="13" customWidth="1"/>
    <col min="5" max="5" width="15" customWidth="1"/>
    <col min="6" max="6" width="14" customWidth="1"/>
    <col min="7" max="7" width="13" customWidth="1"/>
  </cols>
  <sheetData>
    <row r="1" spans="1:7" ht="30" customHeight="1" x14ac:dyDescent="0.35">
      <c r="A1" s="18" t="s">
        <v>117</v>
      </c>
      <c r="B1" s="28" t="s">
        <v>167</v>
      </c>
      <c r="C1" s="28" t="s">
        <v>139</v>
      </c>
      <c r="D1" s="28" t="s">
        <v>168</v>
      </c>
      <c r="E1" s="28" t="s">
        <v>169</v>
      </c>
      <c r="F1" s="18" t="s">
        <v>170</v>
      </c>
      <c r="G1" s="18" t="s">
        <v>171</v>
      </c>
    </row>
    <row r="2" spans="1:7" ht="60" customHeight="1" x14ac:dyDescent="0.35">
      <c r="A2" s="20" t="s">
        <v>124</v>
      </c>
      <c r="B2" s="20" t="s">
        <v>172</v>
      </c>
      <c r="C2" s="20" t="s">
        <v>173</v>
      </c>
      <c r="D2" s="20" t="s">
        <v>174</v>
      </c>
      <c r="E2" s="20" t="s">
        <v>175</v>
      </c>
      <c r="F2" s="20" t="s">
        <v>176</v>
      </c>
      <c r="G2" s="20" t="s">
        <v>177</v>
      </c>
    </row>
    <row r="3" spans="1:7" x14ac:dyDescent="0.35">
      <c r="A3" s="21" t="str">
        <f t="shared" ref="A3:A66" si="0">IF(COUNTA(B3:E3)=0,"",IF((IF(B3="","Vendor Invoice No, ","")&amp;IF(C3="","Vendor, ","")&amp;IF(D3="","Invoice Date, ","")&amp;IF(E3="","Invoice Total, ",""))&lt;&gt;"","Missing: "&amp;LEFT(IF(B3="","Vendor Invoice No, ","")&amp;IF(C3="","Vendor, ","")&amp;IF(D3="","Invoice Date, ","")&amp;IF(E3="","Invoice Total, ",""),LEN(IF(B3="","Vendor Invoice No, ","")&amp;IF(C3="","Vendor, ","")&amp;IF(D3="","Invoice Date, ","")&amp;IF(E3="","Invoice Total, ",""))-2),IF(COUNTIFS($B$3:$B$302,B3,$C$3:$C$302,C3)&gt;1,"Bill "&amp;B3&amp;" is listed twice",IF(F3=0,"No Purchase row has this bill no for this vendor",IF(ABS(G3)&gt;1,"Bill and rows differ by ₹"&amp;TEXT(G3,"#,##0.00"),"OK")))))</f>
        <v/>
      </c>
      <c r="B3" s="29"/>
      <c r="C3" s="22"/>
      <c r="D3" s="36"/>
      <c r="E3" s="32"/>
      <c r="F3" s="33" t="str">
        <f>IF(B3="","",SUMIFS(Purchase!$W$3:$W$1002,Purchase!$U$3:$U$1002,B3,Purchase!$C$3:$C$1002,C3))</f>
        <v/>
      </c>
      <c r="G3" s="33" t="str">
        <f t="shared" ref="G3:G66" si="1">IF(OR(B3="",E3=""),"",E3-F3)</f>
        <v/>
      </c>
    </row>
    <row r="4" spans="1:7" x14ac:dyDescent="0.35">
      <c r="A4" s="21" t="str">
        <f t="shared" si="0"/>
        <v/>
      </c>
      <c r="B4" s="29"/>
      <c r="C4" s="22"/>
      <c r="D4" s="36"/>
      <c r="E4" s="32"/>
      <c r="F4" s="33" t="str">
        <f>IF(B4="","",SUMIFS(Purchase!$W$3:$W$1002,Purchase!$U$3:$U$1002,B4,Purchase!$C$3:$C$1002,C4))</f>
        <v/>
      </c>
      <c r="G4" s="33" t="str">
        <f t="shared" si="1"/>
        <v/>
      </c>
    </row>
    <row r="5" spans="1:7" x14ac:dyDescent="0.35">
      <c r="A5" s="21" t="str">
        <f t="shared" si="0"/>
        <v/>
      </c>
      <c r="B5" s="29"/>
      <c r="C5" s="22"/>
      <c r="D5" s="36"/>
      <c r="E5" s="32"/>
      <c r="F5" s="33" t="str">
        <f>IF(B5="","",SUMIFS(Purchase!$W$3:$W$1002,Purchase!$U$3:$U$1002,B5,Purchase!$C$3:$C$1002,C5))</f>
        <v/>
      </c>
      <c r="G5" s="33" t="str">
        <f t="shared" si="1"/>
        <v/>
      </c>
    </row>
    <row r="6" spans="1:7" x14ac:dyDescent="0.35">
      <c r="A6" s="21" t="str">
        <f t="shared" si="0"/>
        <v/>
      </c>
      <c r="B6" s="29"/>
      <c r="C6" s="22"/>
      <c r="D6" s="36"/>
      <c r="E6" s="32"/>
      <c r="F6" s="33" t="str">
        <f>IF(B6="","",SUMIFS(Purchase!$W$3:$W$1002,Purchase!$U$3:$U$1002,B6,Purchase!$C$3:$C$1002,C6))</f>
        <v/>
      </c>
      <c r="G6" s="33" t="str">
        <f t="shared" si="1"/>
        <v/>
      </c>
    </row>
    <row r="7" spans="1:7" x14ac:dyDescent="0.35">
      <c r="A7" s="21" t="str">
        <f t="shared" si="0"/>
        <v/>
      </c>
      <c r="B7" s="29"/>
      <c r="C7" s="22"/>
      <c r="D7" s="36"/>
      <c r="E7" s="32"/>
      <c r="F7" s="33" t="str">
        <f>IF(B7="","",SUMIFS(Purchase!$W$3:$W$1002,Purchase!$U$3:$U$1002,B7,Purchase!$C$3:$C$1002,C7))</f>
        <v/>
      </c>
      <c r="G7" s="33" t="str">
        <f t="shared" si="1"/>
        <v/>
      </c>
    </row>
    <row r="8" spans="1:7" x14ac:dyDescent="0.35">
      <c r="A8" s="21" t="str">
        <f t="shared" si="0"/>
        <v/>
      </c>
      <c r="B8" s="29"/>
      <c r="C8" s="22"/>
      <c r="D8" s="36"/>
      <c r="E8" s="32"/>
      <c r="F8" s="33" t="str">
        <f>IF(B8="","",SUMIFS(Purchase!$W$3:$W$1002,Purchase!$U$3:$U$1002,B8,Purchase!$C$3:$C$1002,C8))</f>
        <v/>
      </c>
      <c r="G8" s="33" t="str">
        <f t="shared" si="1"/>
        <v/>
      </c>
    </row>
    <row r="9" spans="1:7" x14ac:dyDescent="0.35">
      <c r="A9" s="21" t="str">
        <f t="shared" si="0"/>
        <v/>
      </c>
      <c r="B9" s="29"/>
      <c r="C9" s="22"/>
      <c r="D9" s="36"/>
      <c r="E9" s="32"/>
      <c r="F9" s="33" t="str">
        <f>IF(B9="","",SUMIFS(Purchase!$W$3:$W$1002,Purchase!$U$3:$U$1002,B9,Purchase!$C$3:$C$1002,C9))</f>
        <v/>
      </c>
      <c r="G9" s="33" t="str">
        <f t="shared" si="1"/>
        <v/>
      </c>
    </row>
    <row r="10" spans="1:7" x14ac:dyDescent="0.35">
      <c r="A10" s="21" t="str">
        <f t="shared" si="0"/>
        <v/>
      </c>
      <c r="B10" s="29"/>
      <c r="C10" s="22"/>
      <c r="D10" s="36"/>
      <c r="E10" s="32"/>
      <c r="F10" s="33" t="str">
        <f>IF(B10="","",SUMIFS(Purchase!$W$3:$W$1002,Purchase!$U$3:$U$1002,B10,Purchase!$C$3:$C$1002,C10))</f>
        <v/>
      </c>
      <c r="G10" s="33" t="str">
        <f t="shared" si="1"/>
        <v/>
      </c>
    </row>
    <row r="11" spans="1:7" x14ac:dyDescent="0.35">
      <c r="A11" s="21" t="str">
        <f t="shared" si="0"/>
        <v/>
      </c>
      <c r="B11" s="29"/>
      <c r="C11" s="22"/>
      <c r="D11" s="36"/>
      <c r="E11" s="32"/>
      <c r="F11" s="33" t="str">
        <f>IF(B11="","",SUMIFS(Purchase!$W$3:$W$1002,Purchase!$U$3:$U$1002,B11,Purchase!$C$3:$C$1002,C11))</f>
        <v/>
      </c>
      <c r="G11" s="33" t="str">
        <f t="shared" si="1"/>
        <v/>
      </c>
    </row>
    <row r="12" spans="1:7" x14ac:dyDescent="0.35">
      <c r="A12" s="21" t="str">
        <f t="shared" si="0"/>
        <v/>
      </c>
      <c r="B12" s="29"/>
      <c r="C12" s="22"/>
      <c r="D12" s="36"/>
      <c r="E12" s="32"/>
      <c r="F12" s="33" t="str">
        <f>IF(B12="","",SUMIFS(Purchase!$W$3:$W$1002,Purchase!$U$3:$U$1002,B12,Purchase!$C$3:$C$1002,C12))</f>
        <v/>
      </c>
      <c r="G12" s="33" t="str">
        <f t="shared" si="1"/>
        <v/>
      </c>
    </row>
    <row r="13" spans="1:7" x14ac:dyDescent="0.35">
      <c r="A13" s="21" t="str">
        <f t="shared" si="0"/>
        <v/>
      </c>
      <c r="B13" s="29"/>
      <c r="C13" s="22"/>
      <c r="D13" s="36"/>
      <c r="E13" s="32"/>
      <c r="F13" s="33" t="str">
        <f>IF(B13="","",SUMIFS(Purchase!$W$3:$W$1002,Purchase!$U$3:$U$1002,B13,Purchase!$C$3:$C$1002,C13))</f>
        <v/>
      </c>
      <c r="G13" s="33" t="str">
        <f t="shared" si="1"/>
        <v/>
      </c>
    </row>
    <row r="14" spans="1:7" x14ac:dyDescent="0.35">
      <c r="A14" s="21" t="str">
        <f t="shared" si="0"/>
        <v/>
      </c>
      <c r="B14" s="29"/>
      <c r="C14" s="22"/>
      <c r="D14" s="36"/>
      <c r="E14" s="32"/>
      <c r="F14" s="33" t="str">
        <f>IF(B14="","",SUMIFS(Purchase!$W$3:$W$1002,Purchase!$U$3:$U$1002,B14,Purchase!$C$3:$C$1002,C14))</f>
        <v/>
      </c>
      <c r="G14" s="33" t="str">
        <f t="shared" si="1"/>
        <v/>
      </c>
    </row>
    <row r="15" spans="1:7" x14ac:dyDescent="0.35">
      <c r="A15" s="21" t="str">
        <f t="shared" si="0"/>
        <v/>
      </c>
      <c r="B15" s="29"/>
      <c r="C15" s="22"/>
      <c r="D15" s="36"/>
      <c r="E15" s="32"/>
      <c r="F15" s="33" t="str">
        <f>IF(B15="","",SUMIFS(Purchase!$W$3:$W$1002,Purchase!$U$3:$U$1002,B15,Purchase!$C$3:$C$1002,C15))</f>
        <v/>
      </c>
      <c r="G15" s="33" t="str">
        <f t="shared" si="1"/>
        <v/>
      </c>
    </row>
    <row r="16" spans="1:7" x14ac:dyDescent="0.35">
      <c r="A16" s="21" t="str">
        <f t="shared" si="0"/>
        <v/>
      </c>
      <c r="B16" s="29"/>
      <c r="C16" s="22"/>
      <c r="D16" s="36"/>
      <c r="E16" s="32"/>
      <c r="F16" s="33" t="str">
        <f>IF(B16="","",SUMIFS(Purchase!$W$3:$W$1002,Purchase!$U$3:$U$1002,B16,Purchase!$C$3:$C$1002,C16))</f>
        <v/>
      </c>
      <c r="G16" s="33" t="str">
        <f t="shared" si="1"/>
        <v/>
      </c>
    </row>
    <row r="17" spans="1:7" x14ac:dyDescent="0.35">
      <c r="A17" s="21" t="str">
        <f t="shared" si="0"/>
        <v/>
      </c>
      <c r="B17" s="29"/>
      <c r="C17" s="22"/>
      <c r="D17" s="36"/>
      <c r="E17" s="32"/>
      <c r="F17" s="33" t="str">
        <f>IF(B17="","",SUMIFS(Purchase!$W$3:$W$1002,Purchase!$U$3:$U$1002,B17,Purchase!$C$3:$C$1002,C17))</f>
        <v/>
      </c>
      <c r="G17" s="33" t="str">
        <f t="shared" si="1"/>
        <v/>
      </c>
    </row>
    <row r="18" spans="1:7" x14ac:dyDescent="0.35">
      <c r="A18" s="21" t="str">
        <f t="shared" si="0"/>
        <v/>
      </c>
      <c r="B18" s="29"/>
      <c r="C18" s="22"/>
      <c r="D18" s="36"/>
      <c r="E18" s="32"/>
      <c r="F18" s="33" t="str">
        <f>IF(B18="","",SUMIFS(Purchase!$W$3:$W$1002,Purchase!$U$3:$U$1002,B18,Purchase!$C$3:$C$1002,C18))</f>
        <v/>
      </c>
      <c r="G18" s="33" t="str">
        <f t="shared" si="1"/>
        <v/>
      </c>
    </row>
    <row r="19" spans="1:7" x14ac:dyDescent="0.35">
      <c r="A19" s="21" t="str">
        <f t="shared" si="0"/>
        <v/>
      </c>
      <c r="B19" s="29"/>
      <c r="C19" s="22"/>
      <c r="D19" s="36"/>
      <c r="E19" s="32"/>
      <c r="F19" s="33" t="str">
        <f>IF(B19="","",SUMIFS(Purchase!$W$3:$W$1002,Purchase!$U$3:$U$1002,B19,Purchase!$C$3:$C$1002,C19))</f>
        <v/>
      </c>
      <c r="G19" s="33" t="str">
        <f t="shared" si="1"/>
        <v/>
      </c>
    </row>
    <row r="20" spans="1:7" x14ac:dyDescent="0.35">
      <c r="A20" s="21" t="str">
        <f t="shared" si="0"/>
        <v/>
      </c>
      <c r="B20" s="29"/>
      <c r="C20" s="22"/>
      <c r="D20" s="36"/>
      <c r="E20" s="32"/>
      <c r="F20" s="33" t="str">
        <f>IF(B20="","",SUMIFS(Purchase!$W$3:$W$1002,Purchase!$U$3:$U$1002,B20,Purchase!$C$3:$C$1002,C20))</f>
        <v/>
      </c>
      <c r="G20" s="33" t="str">
        <f t="shared" si="1"/>
        <v/>
      </c>
    </row>
    <row r="21" spans="1:7" x14ac:dyDescent="0.35">
      <c r="A21" s="21" t="str">
        <f t="shared" si="0"/>
        <v/>
      </c>
      <c r="B21" s="29"/>
      <c r="C21" s="22"/>
      <c r="D21" s="36"/>
      <c r="E21" s="32"/>
      <c r="F21" s="33" t="str">
        <f>IF(B21="","",SUMIFS(Purchase!$W$3:$W$1002,Purchase!$U$3:$U$1002,B21,Purchase!$C$3:$C$1002,C21))</f>
        <v/>
      </c>
      <c r="G21" s="33" t="str">
        <f t="shared" si="1"/>
        <v/>
      </c>
    </row>
    <row r="22" spans="1:7" x14ac:dyDescent="0.35">
      <c r="A22" s="21" t="str">
        <f t="shared" si="0"/>
        <v/>
      </c>
      <c r="B22" s="29"/>
      <c r="C22" s="22"/>
      <c r="D22" s="36"/>
      <c r="E22" s="32"/>
      <c r="F22" s="33" t="str">
        <f>IF(B22="","",SUMIFS(Purchase!$W$3:$W$1002,Purchase!$U$3:$U$1002,B22,Purchase!$C$3:$C$1002,C22))</f>
        <v/>
      </c>
      <c r="G22" s="33" t="str">
        <f t="shared" si="1"/>
        <v/>
      </c>
    </row>
    <row r="23" spans="1:7" x14ac:dyDescent="0.35">
      <c r="A23" s="21" t="str">
        <f t="shared" si="0"/>
        <v/>
      </c>
      <c r="B23" s="29"/>
      <c r="C23" s="22"/>
      <c r="D23" s="36"/>
      <c r="E23" s="32"/>
      <c r="F23" s="33" t="str">
        <f>IF(B23="","",SUMIFS(Purchase!$W$3:$W$1002,Purchase!$U$3:$U$1002,B23,Purchase!$C$3:$C$1002,C23))</f>
        <v/>
      </c>
      <c r="G23" s="33" t="str">
        <f t="shared" si="1"/>
        <v/>
      </c>
    </row>
    <row r="24" spans="1:7" x14ac:dyDescent="0.35">
      <c r="A24" s="21" t="str">
        <f t="shared" si="0"/>
        <v/>
      </c>
      <c r="B24" s="29"/>
      <c r="C24" s="22"/>
      <c r="D24" s="36"/>
      <c r="E24" s="32"/>
      <c r="F24" s="33" t="str">
        <f>IF(B24="","",SUMIFS(Purchase!$W$3:$W$1002,Purchase!$U$3:$U$1002,B24,Purchase!$C$3:$C$1002,C24))</f>
        <v/>
      </c>
      <c r="G24" s="33" t="str">
        <f t="shared" si="1"/>
        <v/>
      </c>
    </row>
    <row r="25" spans="1:7" x14ac:dyDescent="0.35">
      <c r="A25" s="21" t="str">
        <f t="shared" si="0"/>
        <v/>
      </c>
      <c r="B25" s="29"/>
      <c r="C25" s="22"/>
      <c r="D25" s="36"/>
      <c r="E25" s="32"/>
      <c r="F25" s="33" t="str">
        <f>IF(B25="","",SUMIFS(Purchase!$W$3:$W$1002,Purchase!$U$3:$U$1002,B25,Purchase!$C$3:$C$1002,C25))</f>
        <v/>
      </c>
      <c r="G25" s="33" t="str">
        <f t="shared" si="1"/>
        <v/>
      </c>
    </row>
    <row r="26" spans="1:7" x14ac:dyDescent="0.35">
      <c r="A26" s="21" t="str">
        <f t="shared" si="0"/>
        <v/>
      </c>
      <c r="B26" s="29"/>
      <c r="C26" s="22"/>
      <c r="D26" s="36"/>
      <c r="E26" s="32"/>
      <c r="F26" s="33" t="str">
        <f>IF(B26="","",SUMIFS(Purchase!$W$3:$W$1002,Purchase!$U$3:$U$1002,B26,Purchase!$C$3:$C$1002,C26))</f>
        <v/>
      </c>
      <c r="G26" s="33" t="str">
        <f t="shared" si="1"/>
        <v/>
      </c>
    </row>
    <row r="27" spans="1:7" x14ac:dyDescent="0.35">
      <c r="A27" s="21" t="str">
        <f t="shared" si="0"/>
        <v/>
      </c>
      <c r="B27" s="29"/>
      <c r="C27" s="22"/>
      <c r="D27" s="36"/>
      <c r="E27" s="32"/>
      <c r="F27" s="33" t="str">
        <f>IF(B27="","",SUMIFS(Purchase!$W$3:$W$1002,Purchase!$U$3:$U$1002,B27,Purchase!$C$3:$C$1002,C27))</f>
        <v/>
      </c>
      <c r="G27" s="33" t="str">
        <f t="shared" si="1"/>
        <v/>
      </c>
    </row>
    <row r="28" spans="1:7" x14ac:dyDescent="0.35">
      <c r="A28" s="21" t="str">
        <f t="shared" si="0"/>
        <v/>
      </c>
      <c r="B28" s="29"/>
      <c r="C28" s="22"/>
      <c r="D28" s="36"/>
      <c r="E28" s="32"/>
      <c r="F28" s="33" t="str">
        <f>IF(B28="","",SUMIFS(Purchase!$W$3:$W$1002,Purchase!$U$3:$U$1002,B28,Purchase!$C$3:$C$1002,C28))</f>
        <v/>
      </c>
      <c r="G28" s="33" t="str">
        <f t="shared" si="1"/>
        <v/>
      </c>
    </row>
    <row r="29" spans="1:7" x14ac:dyDescent="0.35">
      <c r="A29" s="21" t="str">
        <f t="shared" si="0"/>
        <v/>
      </c>
      <c r="B29" s="29"/>
      <c r="C29" s="22"/>
      <c r="D29" s="36"/>
      <c r="E29" s="32"/>
      <c r="F29" s="33" t="str">
        <f>IF(B29="","",SUMIFS(Purchase!$W$3:$W$1002,Purchase!$U$3:$U$1002,B29,Purchase!$C$3:$C$1002,C29))</f>
        <v/>
      </c>
      <c r="G29" s="33" t="str">
        <f t="shared" si="1"/>
        <v/>
      </c>
    </row>
    <row r="30" spans="1:7" x14ac:dyDescent="0.35">
      <c r="A30" s="21" t="str">
        <f t="shared" si="0"/>
        <v/>
      </c>
      <c r="B30" s="29"/>
      <c r="C30" s="22"/>
      <c r="D30" s="36"/>
      <c r="E30" s="32"/>
      <c r="F30" s="33" t="str">
        <f>IF(B30="","",SUMIFS(Purchase!$W$3:$W$1002,Purchase!$U$3:$U$1002,B30,Purchase!$C$3:$C$1002,C30))</f>
        <v/>
      </c>
      <c r="G30" s="33" t="str">
        <f t="shared" si="1"/>
        <v/>
      </c>
    </row>
    <row r="31" spans="1:7" x14ac:dyDescent="0.35">
      <c r="A31" s="21" t="str">
        <f t="shared" si="0"/>
        <v/>
      </c>
      <c r="B31" s="29"/>
      <c r="C31" s="22"/>
      <c r="D31" s="36"/>
      <c r="E31" s="32"/>
      <c r="F31" s="33" t="str">
        <f>IF(B31="","",SUMIFS(Purchase!$W$3:$W$1002,Purchase!$U$3:$U$1002,B31,Purchase!$C$3:$C$1002,C31))</f>
        <v/>
      </c>
      <c r="G31" s="33" t="str">
        <f t="shared" si="1"/>
        <v/>
      </c>
    </row>
    <row r="32" spans="1:7" x14ac:dyDescent="0.35">
      <c r="A32" s="21" t="str">
        <f t="shared" si="0"/>
        <v/>
      </c>
      <c r="B32" s="29"/>
      <c r="C32" s="22"/>
      <c r="D32" s="36"/>
      <c r="E32" s="32"/>
      <c r="F32" s="33" t="str">
        <f>IF(B32="","",SUMIFS(Purchase!$W$3:$W$1002,Purchase!$U$3:$U$1002,B32,Purchase!$C$3:$C$1002,C32))</f>
        <v/>
      </c>
      <c r="G32" s="33" t="str">
        <f t="shared" si="1"/>
        <v/>
      </c>
    </row>
    <row r="33" spans="1:7" x14ac:dyDescent="0.35">
      <c r="A33" s="21" t="str">
        <f t="shared" si="0"/>
        <v/>
      </c>
      <c r="B33" s="29"/>
      <c r="C33" s="22"/>
      <c r="D33" s="36"/>
      <c r="E33" s="32"/>
      <c r="F33" s="33" t="str">
        <f>IF(B33="","",SUMIFS(Purchase!$W$3:$W$1002,Purchase!$U$3:$U$1002,B33,Purchase!$C$3:$C$1002,C33))</f>
        <v/>
      </c>
      <c r="G33" s="33" t="str">
        <f t="shared" si="1"/>
        <v/>
      </c>
    </row>
    <row r="34" spans="1:7" x14ac:dyDescent="0.35">
      <c r="A34" s="21" t="str">
        <f t="shared" si="0"/>
        <v/>
      </c>
      <c r="B34" s="29"/>
      <c r="C34" s="22"/>
      <c r="D34" s="36"/>
      <c r="E34" s="32"/>
      <c r="F34" s="33" t="str">
        <f>IF(B34="","",SUMIFS(Purchase!$W$3:$W$1002,Purchase!$U$3:$U$1002,B34,Purchase!$C$3:$C$1002,C34))</f>
        <v/>
      </c>
      <c r="G34" s="33" t="str">
        <f t="shared" si="1"/>
        <v/>
      </c>
    </row>
    <row r="35" spans="1:7" x14ac:dyDescent="0.35">
      <c r="A35" s="21" t="str">
        <f t="shared" si="0"/>
        <v/>
      </c>
      <c r="B35" s="29"/>
      <c r="C35" s="22"/>
      <c r="D35" s="36"/>
      <c r="E35" s="32"/>
      <c r="F35" s="33" t="str">
        <f>IF(B35="","",SUMIFS(Purchase!$W$3:$W$1002,Purchase!$U$3:$U$1002,B35,Purchase!$C$3:$C$1002,C35))</f>
        <v/>
      </c>
      <c r="G35" s="33" t="str">
        <f t="shared" si="1"/>
        <v/>
      </c>
    </row>
    <row r="36" spans="1:7" x14ac:dyDescent="0.35">
      <c r="A36" s="21" t="str">
        <f t="shared" si="0"/>
        <v/>
      </c>
      <c r="B36" s="29"/>
      <c r="C36" s="22"/>
      <c r="D36" s="36"/>
      <c r="E36" s="32"/>
      <c r="F36" s="33" t="str">
        <f>IF(B36="","",SUMIFS(Purchase!$W$3:$W$1002,Purchase!$U$3:$U$1002,B36,Purchase!$C$3:$C$1002,C36))</f>
        <v/>
      </c>
      <c r="G36" s="33" t="str">
        <f t="shared" si="1"/>
        <v/>
      </c>
    </row>
    <row r="37" spans="1:7" x14ac:dyDescent="0.35">
      <c r="A37" s="21" t="str">
        <f t="shared" si="0"/>
        <v/>
      </c>
      <c r="B37" s="29"/>
      <c r="C37" s="22"/>
      <c r="D37" s="36"/>
      <c r="E37" s="32"/>
      <c r="F37" s="33" t="str">
        <f>IF(B37="","",SUMIFS(Purchase!$W$3:$W$1002,Purchase!$U$3:$U$1002,B37,Purchase!$C$3:$C$1002,C37))</f>
        <v/>
      </c>
      <c r="G37" s="33" t="str">
        <f t="shared" si="1"/>
        <v/>
      </c>
    </row>
    <row r="38" spans="1:7" x14ac:dyDescent="0.35">
      <c r="A38" s="21" t="str">
        <f t="shared" si="0"/>
        <v/>
      </c>
      <c r="B38" s="29"/>
      <c r="C38" s="22"/>
      <c r="D38" s="36"/>
      <c r="E38" s="32"/>
      <c r="F38" s="33" t="str">
        <f>IF(B38="","",SUMIFS(Purchase!$W$3:$W$1002,Purchase!$U$3:$U$1002,B38,Purchase!$C$3:$C$1002,C38))</f>
        <v/>
      </c>
      <c r="G38" s="33" t="str">
        <f t="shared" si="1"/>
        <v/>
      </c>
    </row>
    <row r="39" spans="1:7" x14ac:dyDescent="0.35">
      <c r="A39" s="21" t="str">
        <f t="shared" si="0"/>
        <v/>
      </c>
      <c r="B39" s="29"/>
      <c r="C39" s="22"/>
      <c r="D39" s="36"/>
      <c r="E39" s="32"/>
      <c r="F39" s="33" t="str">
        <f>IF(B39="","",SUMIFS(Purchase!$W$3:$W$1002,Purchase!$U$3:$U$1002,B39,Purchase!$C$3:$C$1002,C39))</f>
        <v/>
      </c>
      <c r="G39" s="33" t="str">
        <f t="shared" si="1"/>
        <v/>
      </c>
    </row>
    <row r="40" spans="1:7" x14ac:dyDescent="0.35">
      <c r="A40" s="21" t="str">
        <f t="shared" si="0"/>
        <v/>
      </c>
      <c r="B40" s="29"/>
      <c r="C40" s="22"/>
      <c r="D40" s="36"/>
      <c r="E40" s="32"/>
      <c r="F40" s="33" t="str">
        <f>IF(B40="","",SUMIFS(Purchase!$W$3:$W$1002,Purchase!$U$3:$U$1002,B40,Purchase!$C$3:$C$1002,C40))</f>
        <v/>
      </c>
      <c r="G40" s="33" t="str">
        <f t="shared" si="1"/>
        <v/>
      </c>
    </row>
    <row r="41" spans="1:7" x14ac:dyDescent="0.35">
      <c r="A41" s="21" t="str">
        <f t="shared" si="0"/>
        <v/>
      </c>
      <c r="B41" s="29"/>
      <c r="C41" s="22"/>
      <c r="D41" s="36"/>
      <c r="E41" s="32"/>
      <c r="F41" s="33" t="str">
        <f>IF(B41="","",SUMIFS(Purchase!$W$3:$W$1002,Purchase!$U$3:$U$1002,B41,Purchase!$C$3:$C$1002,C41))</f>
        <v/>
      </c>
      <c r="G41" s="33" t="str">
        <f t="shared" si="1"/>
        <v/>
      </c>
    </row>
    <row r="42" spans="1:7" x14ac:dyDescent="0.35">
      <c r="A42" s="21" t="str">
        <f t="shared" si="0"/>
        <v/>
      </c>
      <c r="B42" s="29"/>
      <c r="C42" s="22"/>
      <c r="D42" s="36"/>
      <c r="E42" s="32"/>
      <c r="F42" s="33" t="str">
        <f>IF(B42="","",SUMIFS(Purchase!$W$3:$W$1002,Purchase!$U$3:$U$1002,B42,Purchase!$C$3:$C$1002,C42))</f>
        <v/>
      </c>
      <c r="G42" s="33" t="str">
        <f t="shared" si="1"/>
        <v/>
      </c>
    </row>
    <row r="43" spans="1:7" x14ac:dyDescent="0.35">
      <c r="A43" s="21" t="str">
        <f t="shared" si="0"/>
        <v/>
      </c>
      <c r="B43" s="29"/>
      <c r="C43" s="22"/>
      <c r="D43" s="36"/>
      <c r="E43" s="32"/>
      <c r="F43" s="33" t="str">
        <f>IF(B43="","",SUMIFS(Purchase!$W$3:$W$1002,Purchase!$U$3:$U$1002,B43,Purchase!$C$3:$C$1002,C43))</f>
        <v/>
      </c>
      <c r="G43" s="33" t="str">
        <f t="shared" si="1"/>
        <v/>
      </c>
    </row>
    <row r="44" spans="1:7" x14ac:dyDescent="0.35">
      <c r="A44" s="21" t="str">
        <f t="shared" si="0"/>
        <v/>
      </c>
      <c r="B44" s="29"/>
      <c r="C44" s="22"/>
      <c r="D44" s="36"/>
      <c r="E44" s="32"/>
      <c r="F44" s="33" t="str">
        <f>IF(B44="","",SUMIFS(Purchase!$W$3:$W$1002,Purchase!$U$3:$U$1002,B44,Purchase!$C$3:$C$1002,C44))</f>
        <v/>
      </c>
      <c r="G44" s="33" t="str">
        <f t="shared" si="1"/>
        <v/>
      </c>
    </row>
    <row r="45" spans="1:7" x14ac:dyDescent="0.35">
      <c r="A45" s="21" t="str">
        <f t="shared" si="0"/>
        <v/>
      </c>
      <c r="B45" s="29"/>
      <c r="C45" s="22"/>
      <c r="D45" s="36"/>
      <c r="E45" s="32"/>
      <c r="F45" s="33" t="str">
        <f>IF(B45="","",SUMIFS(Purchase!$W$3:$W$1002,Purchase!$U$3:$U$1002,B45,Purchase!$C$3:$C$1002,C45))</f>
        <v/>
      </c>
      <c r="G45" s="33" t="str">
        <f t="shared" si="1"/>
        <v/>
      </c>
    </row>
    <row r="46" spans="1:7" x14ac:dyDescent="0.35">
      <c r="A46" s="21" t="str">
        <f t="shared" si="0"/>
        <v/>
      </c>
      <c r="B46" s="29"/>
      <c r="C46" s="22"/>
      <c r="D46" s="36"/>
      <c r="E46" s="32"/>
      <c r="F46" s="33" t="str">
        <f>IF(B46="","",SUMIFS(Purchase!$W$3:$W$1002,Purchase!$U$3:$U$1002,B46,Purchase!$C$3:$C$1002,C46))</f>
        <v/>
      </c>
      <c r="G46" s="33" t="str">
        <f t="shared" si="1"/>
        <v/>
      </c>
    </row>
    <row r="47" spans="1:7" x14ac:dyDescent="0.35">
      <c r="A47" s="21" t="str">
        <f t="shared" si="0"/>
        <v/>
      </c>
      <c r="B47" s="29"/>
      <c r="C47" s="22"/>
      <c r="D47" s="36"/>
      <c r="E47" s="32"/>
      <c r="F47" s="33" t="str">
        <f>IF(B47="","",SUMIFS(Purchase!$W$3:$W$1002,Purchase!$U$3:$U$1002,B47,Purchase!$C$3:$C$1002,C47))</f>
        <v/>
      </c>
      <c r="G47" s="33" t="str">
        <f t="shared" si="1"/>
        <v/>
      </c>
    </row>
    <row r="48" spans="1:7" x14ac:dyDescent="0.35">
      <c r="A48" s="21" t="str">
        <f t="shared" si="0"/>
        <v/>
      </c>
      <c r="B48" s="29"/>
      <c r="C48" s="22"/>
      <c r="D48" s="36"/>
      <c r="E48" s="32"/>
      <c r="F48" s="33" t="str">
        <f>IF(B48="","",SUMIFS(Purchase!$W$3:$W$1002,Purchase!$U$3:$U$1002,B48,Purchase!$C$3:$C$1002,C48))</f>
        <v/>
      </c>
      <c r="G48" s="33" t="str">
        <f t="shared" si="1"/>
        <v/>
      </c>
    </row>
    <row r="49" spans="1:7" x14ac:dyDescent="0.35">
      <c r="A49" s="21" t="str">
        <f t="shared" si="0"/>
        <v/>
      </c>
      <c r="B49" s="29"/>
      <c r="C49" s="22"/>
      <c r="D49" s="36"/>
      <c r="E49" s="32"/>
      <c r="F49" s="33" t="str">
        <f>IF(B49="","",SUMIFS(Purchase!$W$3:$W$1002,Purchase!$U$3:$U$1002,B49,Purchase!$C$3:$C$1002,C49))</f>
        <v/>
      </c>
      <c r="G49" s="33" t="str">
        <f t="shared" si="1"/>
        <v/>
      </c>
    </row>
    <row r="50" spans="1:7" x14ac:dyDescent="0.35">
      <c r="A50" s="21" t="str">
        <f t="shared" si="0"/>
        <v/>
      </c>
      <c r="B50" s="29"/>
      <c r="C50" s="22"/>
      <c r="D50" s="36"/>
      <c r="E50" s="32"/>
      <c r="F50" s="33" t="str">
        <f>IF(B50="","",SUMIFS(Purchase!$W$3:$W$1002,Purchase!$U$3:$U$1002,B50,Purchase!$C$3:$C$1002,C50))</f>
        <v/>
      </c>
      <c r="G50" s="33" t="str">
        <f t="shared" si="1"/>
        <v/>
      </c>
    </row>
    <row r="51" spans="1:7" x14ac:dyDescent="0.35">
      <c r="A51" s="21" t="str">
        <f t="shared" si="0"/>
        <v/>
      </c>
      <c r="B51" s="29"/>
      <c r="C51" s="22"/>
      <c r="D51" s="36"/>
      <c r="E51" s="32"/>
      <c r="F51" s="33" t="str">
        <f>IF(B51="","",SUMIFS(Purchase!$W$3:$W$1002,Purchase!$U$3:$U$1002,B51,Purchase!$C$3:$C$1002,C51))</f>
        <v/>
      </c>
      <c r="G51" s="33" t="str">
        <f t="shared" si="1"/>
        <v/>
      </c>
    </row>
    <row r="52" spans="1:7" x14ac:dyDescent="0.35">
      <c r="A52" s="21" t="str">
        <f t="shared" si="0"/>
        <v/>
      </c>
      <c r="B52" s="29"/>
      <c r="C52" s="22"/>
      <c r="D52" s="36"/>
      <c r="E52" s="32"/>
      <c r="F52" s="33" t="str">
        <f>IF(B52="","",SUMIFS(Purchase!$W$3:$W$1002,Purchase!$U$3:$U$1002,B52,Purchase!$C$3:$C$1002,C52))</f>
        <v/>
      </c>
      <c r="G52" s="33" t="str">
        <f t="shared" si="1"/>
        <v/>
      </c>
    </row>
    <row r="53" spans="1:7" x14ac:dyDescent="0.35">
      <c r="A53" s="21" t="str">
        <f t="shared" si="0"/>
        <v/>
      </c>
      <c r="B53" s="29"/>
      <c r="C53" s="22"/>
      <c r="D53" s="36"/>
      <c r="E53" s="32"/>
      <c r="F53" s="33" t="str">
        <f>IF(B53="","",SUMIFS(Purchase!$W$3:$W$1002,Purchase!$U$3:$U$1002,B53,Purchase!$C$3:$C$1002,C53))</f>
        <v/>
      </c>
      <c r="G53" s="33" t="str">
        <f t="shared" si="1"/>
        <v/>
      </c>
    </row>
    <row r="54" spans="1:7" x14ac:dyDescent="0.35">
      <c r="A54" s="21" t="str">
        <f t="shared" si="0"/>
        <v/>
      </c>
      <c r="B54" s="29"/>
      <c r="C54" s="22"/>
      <c r="D54" s="36"/>
      <c r="E54" s="32"/>
      <c r="F54" s="33" t="str">
        <f>IF(B54="","",SUMIFS(Purchase!$W$3:$W$1002,Purchase!$U$3:$U$1002,B54,Purchase!$C$3:$C$1002,C54))</f>
        <v/>
      </c>
      <c r="G54" s="33" t="str">
        <f t="shared" si="1"/>
        <v/>
      </c>
    </row>
    <row r="55" spans="1:7" x14ac:dyDescent="0.35">
      <c r="A55" s="21" t="str">
        <f t="shared" si="0"/>
        <v/>
      </c>
      <c r="B55" s="29"/>
      <c r="C55" s="22"/>
      <c r="D55" s="36"/>
      <c r="E55" s="32"/>
      <c r="F55" s="33" t="str">
        <f>IF(B55="","",SUMIFS(Purchase!$W$3:$W$1002,Purchase!$U$3:$U$1002,B55,Purchase!$C$3:$C$1002,C55))</f>
        <v/>
      </c>
      <c r="G55" s="33" t="str">
        <f t="shared" si="1"/>
        <v/>
      </c>
    </row>
    <row r="56" spans="1:7" x14ac:dyDescent="0.35">
      <c r="A56" s="21" t="str">
        <f t="shared" si="0"/>
        <v/>
      </c>
      <c r="B56" s="29"/>
      <c r="C56" s="22"/>
      <c r="D56" s="36"/>
      <c r="E56" s="32"/>
      <c r="F56" s="33" t="str">
        <f>IF(B56="","",SUMIFS(Purchase!$W$3:$W$1002,Purchase!$U$3:$U$1002,B56,Purchase!$C$3:$C$1002,C56))</f>
        <v/>
      </c>
      <c r="G56" s="33" t="str">
        <f t="shared" si="1"/>
        <v/>
      </c>
    </row>
    <row r="57" spans="1:7" x14ac:dyDescent="0.35">
      <c r="A57" s="21" t="str">
        <f t="shared" si="0"/>
        <v/>
      </c>
      <c r="B57" s="29"/>
      <c r="C57" s="22"/>
      <c r="D57" s="36"/>
      <c r="E57" s="32"/>
      <c r="F57" s="33" t="str">
        <f>IF(B57="","",SUMIFS(Purchase!$W$3:$W$1002,Purchase!$U$3:$U$1002,B57,Purchase!$C$3:$C$1002,C57))</f>
        <v/>
      </c>
      <c r="G57" s="33" t="str">
        <f t="shared" si="1"/>
        <v/>
      </c>
    </row>
    <row r="58" spans="1:7" x14ac:dyDescent="0.35">
      <c r="A58" s="21" t="str">
        <f t="shared" si="0"/>
        <v/>
      </c>
      <c r="B58" s="29"/>
      <c r="C58" s="22"/>
      <c r="D58" s="36"/>
      <c r="E58" s="32"/>
      <c r="F58" s="33" t="str">
        <f>IF(B58="","",SUMIFS(Purchase!$W$3:$W$1002,Purchase!$U$3:$U$1002,B58,Purchase!$C$3:$C$1002,C58))</f>
        <v/>
      </c>
      <c r="G58" s="33" t="str">
        <f t="shared" si="1"/>
        <v/>
      </c>
    </row>
    <row r="59" spans="1:7" x14ac:dyDescent="0.35">
      <c r="A59" s="21" t="str">
        <f t="shared" si="0"/>
        <v/>
      </c>
      <c r="B59" s="29"/>
      <c r="C59" s="22"/>
      <c r="D59" s="36"/>
      <c r="E59" s="32"/>
      <c r="F59" s="33" t="str">
        <f>IF(B59="","",SUMIFS(Purchase!$W$3:$W$1002,Purchase!$U$3:$U$1002,B59,Purchase!$C$3:$C$1002,C59))</f>
        <v/>
      </c>
      <c r="G59" s="33" t="str">
        <f t="shared" si="1"/>
        <v/>
      </c>
    </row>
    <row r="60" spans="1:7" x14ac:dyDescent="0.35">
      <c r="A60" s="21" t="str">
        <f t="shared" si="0"/>
        <v/>
      </c>
      <c r="B60" s="29"/>
      <c r="C60" s="22"/>
      <c r="D60" s="36"/>
      <c r="E60" s="32"/>
      <c r="F60" s="33" t="str">
        <f>IF(B60="","",SUMIFS(Purchase!$W$3:$W$1002,Purchase!$U$3:$U$1002,B60,Purchase!$C$3:$C$1002,C60))</f>
        <v/>
      </c>
      <c r="G60" s="33" t="str">
        <f t="shared" si="1"/>
        <v/>
      </c>
    </row>
    <row r="61" spans="1:7" x14ac:dyDescent="0.35">
      <c r="A61" s="21" t="str">
        <f t="shared" si="0"/>
        <v/>
      </c>
      <c r="B61" s="29"/>
      <c r="C61" s="22"/>
      <c r="D61" s="36"/>
      <c r="E61" s="32"/>
      <c r="F61" s="33" t="str">
        <f>IF(B61="","",SUMIFS(Purchase!$W$3:$W$1002,Purchase!$U$3:$U$1002,B61,Purchase!$C$3:$C$1002,C61))</f>
        <v/>
      </c>
      <c r="G61" s="33" t="str">
        <f t="shared" si="1"/>
        <v/>
      </c>
    </row>
    <row r="62" spans="1:7" x14ac:dyDescent="0.35">
      <c r="A62" s="21" t="str">
        <f t="shared" si="0"/>
        <v/>
      </c>
      <c r="B62" s="29"/>
      <c r="C62" s="22"/>
      <c r="D62" s="36"/>
      <c r="E62" s="32"/>
      <c r="F62" s="33" t="str">
        <f>IF(B62="","",SUMIFS(Purchase!$W$3:$W$1002,Purchase!$U$3:$U$1002,B62,Purchase!$C$3:$C$1002,C62))</f>
        <v/>
      </c>
      <c r="G62" s="33" t="str">
        <f t="shared" si="1"/>
        <v/>
      </c>
    </row>
    <row r="63" spans="1:7" x14ac:dyDescent="0.35">
      <c r="A63" s="21" t="str">
        <f t="shared" si="0"/>
        <v/>
      </c>
      <c r="B63" s="29"/>
      <c r="C63" s="22"/>
      <c r="D63" s="36"/>
      <c r="E63" s="32"/>
      <c r="F63" s="33" t="str">
        <f>IF(B63="","",SUMIFS(Purchase!$W$3:$W$1002,Purchase!$U$3:$U$1002,B63,Purchase!$C$3:$C$1002,C63))</f>
        <v/>
      </c>
      <c r="G63" s="33" t="str">
        <f t="shared" si="1"/>
        <v/>
      </c>
    </row>
    <row r="64" spans="1:7" x14ac:dyDescent="0.35">
      <c r="A64" s="21" t="str">
        <f t="shared" si="0"/>
        <v/>
      </c>
      <c r="B64" s="29"/>
      <c r="C64" s="22"/>
      <c r="D64" s="36"/>
      <c r="E64" s="32"/>
      <c r="F64" s="33" t="str">
        <f>IF(B64="","",SUMIFS(Purchase!$W$3:$W$1002,Purchase!$U$3:$U$1002,B64,Purchase!$C$3:$C$1002,C64))</f>
        <v/>
      </c>
      <c r="G64" s="33" t="str">
        <f t="shared" si="1"/>
        <v/>
      </c>
    </row>
    <row r="65" spans="1:7" x14ac:dyDescent="0.35">
      <c r="A65" s="21" t="str">
        <f t="shared" si="0"/>
        <v/>
      </c>
      <c r="B65" s="29"/>
      <c r="C65" s="22"/>
      <c r="D65" s="36"/>
      <c r="E65" s="32"/>
      <c r="F65" s="33" t="str">
        <f>IF(B65="","",SUMIFS(Purchase!$W$3:$W$1002,Purchase!$U$3:$U$1002,B65,Purchase!$C$3:$C$1002,C65))</f>
        <v/>
      </c>
      <c r="G65" s="33" t="str">
        <f t="shared" si="1"/>
        <v/>
      </c>
    </row>
    <row r="66" spans="1:7" x14ac:dyDescent="0.35">
      <c r="A66" s="21" t="str">
        <f t="shared" si="0"/>
        <v/>
      </c>
      <c r="B66" s="29"/>
      <c r="C66" s="22"/>
      <c r="D66" s="36"/>
      <c r="E66" s="32"/>
      <c r="F66" s="33" t="str">
        <f>IF(B66="","",SUMIFS(Purchase!$W$3:$W$1002,Purchase!$U$3:$U$1002,B66,Purchase!$C$3:$C$1002,C66))</f>
        <v/>
      </c>
      <c r="G66" s="33" t="str">
        <f t="shared" si="1"/>
        <v/>
      </c>
    </row>
    <row r="67" spans="1:7" x14ac:dyDescent="0.35">
      <c r="A67" s="21" t="str">
        <f t="shared" ref="A67:A130" si="2">IF(COUNTA(B67:E67)=0,"",IF((IF(B67="","Vendor Invoice No, ","")&amp;IF(C67="","Vendor, ","")&amp;IF(D67="","Invoice Date, ","")&amp;IF(E67="","Invoice Total, ",""))&lt;&gt;"","Missing: "&amp;LEFT(IF(B67="","Vendor Invoice No, ","")&amp;IF(C67="","Vendor, ","")&amp;IF(D67="","Invoice Date, ","")&amp;IF(E67="","Invoice Total, ",""),LEN(IF(B67="","Vendor Invoice No, ","")&amp;IF(C67="","Vendor, ","")&amp;IF(D67="","Invoice Date, ","")&amp;IF(E67="","Invoice Total, ",""))-2),IF(COUNTIFS($B$3:$B$302,B67,$C$3:$C$302,C67)&gt;1,"Bill "&amp;B67&amp;" is listed twice",IF(F67=0,"No Purchase row has this bill no for this vendor",IF(ABS(G67)&gt;1,"Bill and rows differ by ₹"&amp;TEXT(G67,"#,##0.00"),"OK")))))</f>
        <v/>
      </c>
      <c r="B67" s="29"/>
      <c r="C67" s="22"/>
      <c r="D67" s="36"/>
      <c r="E67" s="32"/>
      <c r="F67" s="33" t="str">
        <f>IF(B67="","",SUMIFS(Purchase!$W$3:$W$1002,Purchase!$U$3:$U$1002,B67,Purchase!$C$3:$C$1002,C67))</f>
        <v/>
      </c>
      <c r="G67" s="33" t="str">
        <f t="shared" ref="G67:G130" si="3">IF(OR(B67="",E67=""),"",E67-F67)</f>
        <v/>
      </c>
    </row>
    <row r="68" spans="1:7" x14ac:dyDescent="0.35">
      <c r="A68" s="21" t="str">
        <f t="shared" si="2"/>
        <v/>
      </c>
      <c r="B68" s="29"/>
      <c r="C68" s="22"/>
      <c r="D68" s="36"/>
      <c r="E68" s="32"/>
      <c r="F68" s="33" t="str">
        <f>IF(B68="","",SUMIFS(Purchase!$W$3:$W$1002,Purchase!$U$3:$U$1002,B68,Purchase!$C$3:$C$1002,C68))</f>
        <v/>
      </c>
      <c r="G68" s="33" t="str">
        <f t="shared" si="3"/>
        <v/>
      </c>
    </row>
    <row r="69" spans="1:7" x14ac:dyDescent="0.35">
      <c r="A69" s="21" t="str">
        <f t="shared" si="2"/>
        <v/>
      </c>
      <c r="B69" s="29"/>
      <c r="C69" s="22"/>
      <c r="D69" s="36"/>
      <c r="E69" s="32"/>
      <c r="F69" s="33" t="str">
        <f>IF(B69="","",SUMIFS(Purchase!$W$3:$W$1002,Purchase!$U$3:$U$1002,B69,Purchase!$C$3:$C$1002,C69))</f>
        <v/>
      </c>
      <c r="G69" s="33" t="str">
        <f t="shared" si="3"/>
        <v/>
      </c>
    </row>
    <row r="70" spans="1:7" x14ac:dyDescent="0.35">
      <c r="A70" s="21" t="str">
        <f t="shared" si="2"/>
        <v/>
      </c>
      <c r="B70" s="29"/>
      <c r="C70" s="22"/>
      <c r="D70" s="36"/>
      <c r="E70" s="32"/>
      <c r="F70" s="33" t="str">
        <f>IF(B70="","",SUMIFS(Purchase!$W$3:$W$1002,Purchase!$U$3:$U$1002,B70,Purchase!$C$3:$C$1002,C70))</f>
        <v/>
      </c>
      <c r="G70" s="33" t="str">
        <f t="shared" si="3"/>
        <v/>
      </c>
    </row>
    <row r="71" spans="1:7" x14ac:dyDescent="0.35">
      <c r="A71" s="21" t="str">
        <f t="shared" si="2"/>
        <v/>
      </c>
      <c r="B71" s="29"/>
      <c r="C71" s="22"/>
      <c r="D71" s="36"/>
      <c r="E71" s="32"/>
      <c r="F71" s="33" t="str">
        <f>IF(B71="","",SUMIFS(Purchase!$W$3:$W$1002,Purchase!$U$3:$U$1002,B71,Purchase!$C$3:$C$1002,C71))</f>
        <v/>
      </c>
      <c r="G71" s="33" t="str">
        <f t="shared" si="3"/>
        <v/>
      </c>
    </row>
    <row r="72" spans="1:7" x14ac:dyDescent="0.35">
      <c r="A72" s="21" t="str">
        <f t="shared" si="2"/>
        <v/>
      </c>
      <c r="B72" s="29"/>
      <c r="C72" s="22"/>
      <c r="D72" s="36"/>
      <c r="E72" s="32"/>
      <c r="F72" s="33" t="str">
        <f>IF(B72="","",SUMIFS(Purchase!$W$3:$W$1002,Purchase!$U$3:$U$1002,B72,Purchase!$C$3:$C$1002,C72))</f>
        <v/>
      </c>
      <c r="G72" s="33" t="str">
        <f t="shared" si="3"/>
        <v/>
      </c>
    </row>
    <row r="73" spans="1:7" x14ac:dyDescent="0.35">
      <c r="A73" s="21" t="str">
        <f t="shared" si="2"/>
        <v/>
      </c>
      <c r="B73" s="29"/>
      <c r="C73" s="22"/>
      <c r="D73" s="36"/>
      <c r="E73" s="32"/>
      <c r="F73" s="33" t="str">
        <f>IF(B73="","",SUMIFS(Purchase!$W$3:$W$1002,Purchase!$U$3:$U$1002,B73,Purchase!$C$3:$C$1002,C73))</f>
        <v/>
      </c>
      <c r="G73" s="33" t="str">
        <f t="shared" si="3"/>
        <v/>
      </c>
    </row>
    <row r="74" spans="1:7" x14ac:dyDescent="0.35">
      <c r="A74" s="21" t="str">
        <f t="shared" si="2"/>
        <v/>
      </c>
      <c r="B74" s="29"/>
      <c r="C74" s="22"/>
      <c r="D74" s="36"/>
      <c r="E74" s="32"/>
      <c r="F74" s="33" t="str">
        <f>IF(B74="","",SUMIFS(Purchase!$W$3:$W$1002,Purchase!$U$3:$U$1002,B74,Purchase!$C$3:$C$1002,C74))</f>
        <v/>
      </c>
      <c r="G74" s="33" t="str">
        <f t="shared" si="3"/>
        <v/>
      </c>
    </row>
    <row r="75" spans="1:7" x14ac:dyDescent="0.35">
      <c r="A75" s="21" t="str">
        <f t="shared" si="2"/>
        <v/>
      </c>
      <c r="B75" s="29"/>
      <c r="C75" s="22"/>
      <c r="D75" s="36"/>
      <c r="E75" s="32"/>
      <c r="F75" s="33" t="str">
        <f>IF(B75="","",SUMIFS(Purchase!$W$3:$W$1002,Purchase!$U$3:$U$1002,B75,Purchase!$C$3:$C$1002,C75))</f>
        <v/>
      </c>
      <c r="G75" s="33" t="str">
        <f t="shared" si="3"/>
        <v/>
      </c>
    </row>
    <row r="76" spans="1:7" x14ac:dyDescent="0.35">
      <c r="A76" s="21" t="str">
        <f t="shared" si="2"/>
        <v/>
      </c>
      <c r="B76" s="29"/>
      <c r="C76" s="22"/>
      <c r="D76" s="36"/>
      <c r="E76" s="32"/>
      <c r="F76" s="33" t="str">
        <f>IF(B76="","",SUMIFS(Purchase!$W$3:$W$1002,Purchase!$U$3:$U$1002,B76,Purchase!$C$3:$C$1002,C76))</f>
        <v/>
      </c>
      <c r="G76" s="33" t="str">
        <f t="shared" si="3"/>
        <v/>
      </c>
    </row>
    <row r="77" spans="1:7" x14ac:dyDescent="0.35">
      <c r="A77" s="21" t="str">
        <f t="shared" si="2"/>
        <v/>
      </c>
      <c r="B77" s="29"/>
      <c r="C77" s="22"/>
      <c r="D77" s="36"/>
      <c r="E77" s="32"/>
      <c r="F77" s="33" t="str">
        <f>IF(B77="","",SUMIFS(Purchase!$W$3:$W$1002,Purchase!$U$3:$U$1002,B77,Purchase!$C$3:$C$1002,C77))</f>
        <v/>
      </c>
      <c r="G77" s="33" t="str">
        <f t="shared" si="3"/>
        <v/>
      </c>
    </row>
    <row r="78" spans="1:7" x14ac:dyDescent="0.35">
      <c r="A78" s="21" t="str">
        <f t="shared" si="2"/>
        <v/>
      </c>
      <c r="B78" s="29"/>
      <c r="C78" s="22"/>
      <c r="D78" s="36"/>
      <c r="E78" s="32"/>
      <c r="F78" s="33" t="str">
        <f>IF(B78="","",SUMIFS(Purchase!$W$3:$W$1002,Purchase!$U$3:$U$1002,B78,Purchase!$C$3:$C$1002,C78))</f>
        <v/>
      </c>
      <c r="G78" s="33" t="str">
        <f t="shared" si="3"/>
        <v/>
      </c>
    </row>
    <row r="79" spans="1:7" x14ac:dyDescent="0.35">
      <c r="A79" s="21" t="str">
        <f t="shared" si="2"/>
        <v/>
      </c>
      <c r="B79" s="29"/>
      <c r="C79" s="22"/>
      <c r="D79" s="36"/>
      <c r="E79" s="32"/>
      <c r="F79" s="33" t="str">
        <f>IF(B79="","",SUMIFS(Purchase!$W$3:$W$1002,Purchase!$U$3:$U$1002,B79,Purchase!$C$3:$C$1002,C79))</f>
        <v/>
      </c>
      <c r="G79" s="33" t="str">
        <f t="shared" si="3"/>
        <v/>
      </c>
    </row>
    <row r="80" spans="1:7" x14ac:dyDescent="0.35">
      <c r="A80" s="21" t="str">
        <f t="shared" si="2"/>
        <v/>
      </c>
      <c r="B80" s="29"/>
      <c r="C80" s="22"/>
      <c r="D80" s="36"/>
      <c r="E80" s="32"/>
      <c r="F80" s="33" t="str">
        <f>IF(B80="","",SUMIFS(Purchase!$W$3:$W$1002,Purchase!$U$3:$U$1002,B80,Purchase!$C$3:$C$1002,C80))</f>
        <v/>
      </c>
      <c r="G80" s="33" t="str">
        <f t="shared" si="3"/>
        <v/>
      </c>
    </row>
    <row r="81" spans="1:7" x14ac:dyDescent="0.35">
      <c r="A81" s="21" t="str">
        <f t="shared" si="2"/>
        <v/>
      </c>
      <c r="B81" s="29"/>
      <c r="C81" s="22"/>
      <c r="D81" s="36"/>
      <c r="E81" s="32"/>
      <c r="F81" s="33" t="str">
        <f>IF(B81="","",SUMIFS(Purchase!$W$3:$W$1002,Purchase!$U$3:$U$1002,B81,Purchase!$C$3:$C$1002,C81))</f>
        <v/>
      </c>
      <c r="G81" s="33" t="str">
        <f t="shared" si="3"/>
        <v/>
      </c>
    </row>
    <row r="82" spans="1:7" x14ac:dyDescent="0.35">
      <c r="A82" s="21" t="str">
        <f t="shared" si="2"/>
        <v/>
      </c>
      <c r="B82" s="29"/>
      <c r="C82" s="22"/>
      <c r="D82" s="36"/>
      <c r="E82" s="32"/>
      <c r="F82" s="33" t="str">
        <f>IF(B82="","",SUMIFS(Purchase!$W$3:$W$1002,Purchase!$U$3:$U$1002,B82,Purchase!$C$3:$C$1002,C82))</f>
        <v/>
      </c>
      <c r="G82" s="33" t="str">
        <f t="shared" si="3"/>
        <v/>
      </c>
    </row>
    <row r="83" spans="1:7" x14ac:dyDescent="0.35">
      <c r="A83" s="21" t="str">
        <f t="shared" si="2"/>
        <v/>
      </c>
      <c r="B83" s="29"/>
      <c r="C83" s="22"/>
      <c r="D83" s="36"/>
      <c r="E83" s="32"/>
      <c r="F83" s="33" t="str">
        <f>IF(B83="","",SUMIFS(Purchase!$W$3:$W$1002,Purchase!$U$3:$U$1002,B83,Purchase!$C$3:$C$1002,C83))</f>
        <v/>
      </c>
      <c r="G83" s="33" t="str">
        <f t="shared" si="3"/>
        <v/>
      </c>
    </row>
    <row r="84" spans="1:7" x14ac:dyDescent="0.35">
      <c r="A84" s="21" t="str">
        <f t="shared" si="2"/>
        <v/>
      </c>
      <c r="B84" s="29"/>
      <c r="C84" s="22"/>
      <c r="D84" s="36"/>
      <c r="E84" s="32"/>
      <c r="F84" s="33" t="str">
        <f>IF(B84="","",SUMIFS(Purchase!$W$3:$W$1002,Purchase!$U$3:$U$1002,B84,Purchase!$C$3:$C$1002,C84))</f>
        <v/>
      </c>
      <c r="G84" s="33" t="str">
        <f t="shared" si="3"/>
        <v/>
      </c>
    </row>
    <row r="85" spans="1:7" x14ac:dyDescent="0.35">
      <c r="A85" s="21" t="str">
        <f t="shared" si="2"/>
        <v/>
      </c>
      <c r="B85" s="29"/>
      <c r="C85" s="22"/>
      <c r="D85" s="36"/>
      <c r="E85" s="32"/>
      <c r="F85" s="33" t="str">
        <f>IF(B85="","",SUMIFS(Purchase!$W$3:$W$1002,Purchase!$U$3:$U$1002,B85,Purchase!$C$3:$C$1002,C85))</f>
        <v/>
      </c>
      <c r="G85" s="33" t="str">
        <f t="shared" si="3"/>
        <v/>
      </c>
    </row>
    <row r="86" spans="1:7" x14ac:dyDescent="0.35">
      <c r="A86" s="21" t="str">
        <f t="shared" si="2"/>
        <v/>
      </c>
      <c r="B86" s="29"/>
      <c r="C86" s="22"/>
      <c r="D86" s="36"/>
      <c r="E86" s="32"/>
      <c r="F86" s="33" t="str">
        <f>IF(B86="","",SUMIFS(Purchase!$W$3:$W$1002,Purchase!$U$3:$U$1002,B86,Purchase!$C$3:$C$1002,C86))</f>
        <v/>
      </c>
      <c r="G86" s="33" t="str">
        <f t="shared" si="3"/>
        <v/>
      </c>
    </row>
    <row r="87" spans="1:7" x14ac:dyDescent="0.35">
      <c r="A87" s="21" t="str">
        <f t="shared" si="2"/>
        <v/>
      </c>
      <c r="B87" s="29"/>
      <c r="C87" s="22"/>
      <c r="D87" s="36"/>
      <c r="E87" s="32"/>
      <c r="F87" s="33" t="str">
        <f>IF(B87="","",SUMIFS(Purchase!$W$3:$W$1002,Purchase!$U$3:$U$1002,B87,Purchase!$C$3:$C$1002,C87))</f>
        <v/>
      </c>
      <c r="G87" s="33" t="str">
        <f t="shared" si="3"/>
        <v/>
      </c>
    </row>
    <row r="88" spans="1:7" x14ac:dyDescent="0.35">
      <c r="A88" s="21" t="str">
        <f t="shared" si="2"/>
        <v/>
      </c>
      <c r="B88" s="29"/>
      <c r="C88" s="22"/>
      <c r="D88" s="36"/>
      <c r="E88" s="32"/>
      <c r="F88" s="33" t="str">
        <f>IF(B88="","",SUMIFS(Purchase!$W$3:$W$1002,Purchase!$U$3:$U$1002,B88,Purchase!$C$3:$C$1002,C88))</f>
        <v/>
      </c>
      <c r="G88" s="33" t="str">
        <f t="shared" si="3"/>
        <v/>
      </c>
    </row>
    <row r="89" spans="1:7" x14ac:dyDescent="0.35">
      <c r="A89" s="21" t="str">
        <f t="shared" si="2"/>
        <v/>
      </c>
      <c r="B89" s="29"/>
      <c r="C89" s="22"/>
      <c r="D89" s="36"/>
      <c r="E89" s="32"/>
      <c r="F89" s="33" t="str">
        <f>IF(B89="","",SUMIFS(Purchase!$W$3:$W$1002,Purchase!$U$3:$U$1002,B89,Purchase!$C$3:$C$1002,C89))</f>
        <v/>
      </c>
      <c r="G89" s="33" t="str">
        <f t="shared" si="3"/>
        <v/>
      </c>
    </row>
    <row r="90" spans="1:7" x14ac:dyDescent="0.35">
      <c r="A90" s="21" t="str">
        <f t="shared" si="2"/>
        <v/>
      </c>
      <c r="B90" s="29"/>
      <c r="C90" s="22"/>
      <c r="D90" s="36"/>
      <c r="E90" s="32"/>
      <c r="F90" s="33" t="str">
        <f>IF(B90="","",SUMIFS(Purchase!$W$3:$W$1002,Purchase!$U$3:$U$1002,B90,Purchase!$C$3:$C$1002,C90))</f>
        <v/>
      </c>
      <c r="G90" s="33" t="str">
        <f t="shared" si="3"/>
        <v/>
      </c>
    </row>
    <row r="91" spans="1:7" x14ac:dyDescent="0.35">
      <c r="A91" s="21" t="str">
        <f t="shared" si="2"/>
        <v/>
      </c>
      <c r="B91" s="29"/>
      <c r="C91" s="22"/>
      <c r="D91" s="36"/>
      <c r="E91" s="32"/>
      <c r="F91" s="33" t="str">
        <f>IF(B91="","",SUMIFS(Purchase!$W$3:$W$1002,Purchase!$U$3:$U$1002,B91,Purchase!$C$3:$C$1002,C91))</f>
        <v/>
      </c>
      <c r="G91" s="33" t="str">
        <f t="shared" si="3"/>
        <v/>
      </c>
    </row>
    <row r="92" spans="1:7" x14ac:dyDescent="0.35">
      <c r="A92" s="21" t="str">
        <f t="shared" si="2"/>
        <v/>
      </c>
      <c r="B92" s="29"/>
      <c r="C92" s="22"/>
      <c r="D92" s="36"/>
      <c r="E92" s="32"/>
      <c r="F92" s="33" t="str">
        <f>IF(B92="","",SUMIFS(Purchase!$W$3:$W$1002,Purchase!$U$3:$U$1002,B92,Purchase!$C$3:$C$1002,C92))</f>
        <v/>
      </c>
      <c r="G92" s="33" t="str">
        <f t="shared" si="3"/>
        <v/>
      </c>
    </row>
    <row r="93" spans="1:7" x14ac:dyDescent="0.35">
      <c r="A93" s="21" t="str">
        <f t="shared" si="2"/>
        <v/>
      </c>
      <c r="B93" s="29"/>
      <c r="C93" s="22"/>
      <c r="D93" s="36"/>
      <c r="E93" s="32"/>
      <c r="F93" s="33" t="str">
        <f>IF(B93="","",SUMIFS(Purchase!$W$3:$W$1002,Purchase!$U$3:$U$1002,B93,Purchase!$C$3:$C$1002,C93))</f>
        <v/>
      </c>
      <c r="G93" s="33" t="str">
        <f t="shared" si="3"/>
        <v/>
      </c>
    </row>
    <row r="94" spans="1:7" x14ac:dyDescent="0.35">
      <c r="A94" s="21" t="str">
        <f t="shared" si="2"/>
        <v/>
      </c>
      <c r="B94" s="29"/>
      <c r="C94" s="22"/>
      <c r="D94" s="36"/>
      <c r="E94" s="32"/>
      <c r="F94" s="33" t="str">
        <f>IF(B94="","",SUMIFS(Purchase!$W$3:$W$1002,Purchase!$U$3:$U$1002,B94,Purchase!$C$3:$C$1002,C94))</f>
        <v/>
      </c>
      <c r="G94" s="33" t="str">
        <f t="shared" si="3"/>
        <v/>
      </c>
    </row>
    <row r="95" spans="1:7" x14ac:dyDescent="0.35">
      <c r="A95" s="21" t="str">
        <f t="shared" si="2"/>
        <v/>
      </c>
      <c r="B95" s="29"/>
      <c r="C95" s="22"/>
      <c r="D95" s="36"/>
      <c r="E95" s="32"/>
      <c r="F95" s="33" t="str">
        <f>IF(B95="","",SUMIFS(Purchase!$W$3:$W$1002,Purchase!$U$3:$U$1002,B95,Purchase!$C$3:$C$1002,C95))</f>
        <v/>
      </c>
      <c r="G95" s="33" t="str">
        <f t="shared" si="3"/>
        <v/>
      </c>
    </row>
    <row r="96" spans="1:7" x14ac:dyDescent="0.35">
      <c r="A96" s="21" t="str">
        <f t="shared" si="2"/>
        <v/>
      </c>
      <c r="B96" s="29"/>
      <c r="C96" s="22"/>
      <c r="D96" s="36"/>
      <c r="E96" s="32"/>
      <c r="F96" s="33" t="str">
        <f>IF(B96="","",SUMIFS(Purchase!$W$3:$W$1002,Purchase!$U$3:$U$1002,B96,Purchase!$C$3:$C$1002,C96))</f>
        <v/>
      </c>
      <c r="G96" s="33" t="str">
        <f t="shared" si="3"/>
        <v/>
      </c>
    </row>
    <row r="97" spans="1:7" x14ac:dyDescent="0.35">
      <c r="A97" s="21" t="str">
        <f t="shared" si="2"/>
        <v/>
      </c>
      <c r="B97" s="29"/>
      <c r="C97" s="22"/>
      <c r="D97" s="36"/>
      <c r="E97" s="32"/>
      <c r="F97" s="33" t="str">
        <f>IF(B97="","",SUMIFS(Purchase!$W$3:$W$1002,Purchase!$U$3:$U$1002,B97,Purchase!$C$3:$C$1002,C97))</f>
        <v/>
      </c>
      <c r="G97" s="33" t="str">
        <f t="shared" si="3"/>
        <v/>
      </c>
    </row>
    <row r="98" spans="1:7" x14ac:dyDescent="0.35">
      <c r="A98" s="21" t="str">
        <f t="shared" si="2"/>
        <v/>
      </c>
      <c r="B98" s="29"/>
      <c r="C98" s="22"/>
      <c r="D98" s="36"/>
      <c r="E98" s="32"/>
      <c r="F98" s="33" t="str">
        <f>IF(B98="","",SUMIFS(Purchase!$W$3:$W$1002,Purchase!$U$3:$U$1002,B98,Purchase!$C$3:$C$1002,C98))</f>
        <v/>
      </c>
      <c r="G98" s="33" t="str">
        <f t="shared" si="3"/>
        <v/>
      </c>
    </row>
    <row r="99" spans="1:7" x14ac:dyDescent="0.35">
      <c r="A99" s="21" t="str">
        <f t="shared" si="2"/>
        <v/>
      </c>
      <c r="B99" s="29"/>
      <c r="C99" s="22"/>
      <c r="D99" s="36"/>
      <c r="E99" s="32"/>
      <c r="F99" s="33" t="str">
        <f>IF(B99="","",SUMIFS(Purchase!$W$3:$W$1002,Purchase!$U$3:$U$1002,B99,Purchase!$C$3:$C$1002,C99))</f>
        <v/>
      </c>
      <c r="G99" s="33" t="str">
        <f t="shared" si="3"/>
        <v/>
      </c>
    </row>
    <row r="100" spans="1:7" x14ac:dyDescent="0.35">
      <c r="A100" s="21" t="str">
        <f t="shared" si="2"/>
        <v/>
      </c>
      <c r="B100" s="29"/>
      <c r="C100" s="22"/>
      <c r="D100" s="36"/>
      <c r="E100" s="32"/>
      <c r="F100" s="33" t="str">
        <f>IF(B100="","",SUMIFS(Purchase!$W$3:$W$1002,Purchase!$U$3:$U$1002,B100,Purchase!$C$3:$C$1002,C100))</f>
        <v/>
      </c>
      <c r="G100" s="33" t="str">
        <f t="shared" si="3"/>
        <v/>
      </c>
    </row>
    <row r="101" spans="1:7" x14ac:dyDescent="0.35">
      <c r="A101" s="21" t="str">
        <f t="shared" si="2"/>
        <v/>
      </c>
      <c r="B101" s="29"/>
      <c r="C101" s="22"/>
      <c r="D101" s="36"/>
      <c r="E101" s="32"/>
      <c r="F101" s="33" t="str">
        <f>IF(B101="","",SUMIFS(Purchase!$W$3:$W$1002,Purchase!$U$3:$U$1002,B101,Purchase!$C$3:$C$1002,C101))</f>
        <v/>
      </c>
      <c r="G101" s="33" t="str">
        <f t="shared" si="3"/>
        <v/>
      </c>
    </row>
    <row r="102" spans="1:7" x14ac:dyDescent="0.35">
      <c r="A102" s="21" t="str">
        <f t="shared" si="2"/>
        <v/>
      </c>
      <c r="B102" s="29"/>
      <c r="C102" s="22"/>
      <c r="D102" s="36"/>
      <c r="E102" s="32"/>
      <c r="F102" s="33" t="str">
        <f>IF(B102="","",SUMIFS(Purchase!$W$3:$W$1002,Purchase!$U$3:$U$1002,B102,Purchase!$C$3:$C$1002,C102))</f>
        <v/>
      </c>
      <c r="G102" s="33" t="str">
        <f t="shared" si="3"/>
        <v/>
      </c>
    </row>
    <row r="103" spans="1:7" x14ac:dyDescent="0.35">
      <c r="A103" s="21" t="str">
        <f t="shared" si="2"/>
        <v/>
      </c>
      <c r="B103" s="29"/>
      <c r="C103" s="22"/>
      <c r="D103" s="36"/>
      <c r="E103" s="32"/>
      <c r="F103" s="33" t="str">
        <f>IF(B103="","",SUMIFS(Purchase!$W$3:$W$1002,Purchase!$U$3:$U$1002,B103,Purchase!$C$3:$C$1002,C103))</f>
        <v/>
      </c>
      <c r="G103" s="33" t="str">
        <f t="shared" si="3"/>
        <v/>
      </c>
    </row>
    <row r="104" spans="1:7" x14ac:dyDescent="0.35">
      <c r="A104" s="21" t="str">
        <f t="shared" si="2"/>
        <v/>
      </c>
      <c r="B104" s="29"/>
      <c r="C104" s="22"/>
      <c r="D104" s="36"/>
      <c r="E104" s="32"/>
      <c r="F104" s="33" t="str">
        <f>IF(B104="","",SUMIFS(Purchase!$W$3:$W$1002,Purchase!$U$3:$U$1002,B104,Purchase!$C$3:$C$1002,C104))</f>
        <v/>
      </c>
      <c r="G104" s="33" t="str">
        <f t="shared" si="3"/>
        <v/>
      </c>
    </row>
    <row r="105" spans="1:7" x14ac:dyDescent="0.35">
      <c r="A105" s="21" t="str">
        <f t="shared" si="2"/>
        <v/>
      </c>
      <c r="B105" s="29"/>
      <c r="C105" s="22"/>
      <c r="D105" s="36"/>
      <c r="E105" s="32"/>
      <c r="F105" s="33" t="str">
        <f>IF(B105="","",SUMIFS(Purchase!$W$3:$W$1002,Purchase!$U$3:$U$1002,B105,Purchase!$C$3:$C$1002,C105))</f>
        <v/>
      </c>
      <c r="G105" s="33" t="str">
        <f t="shared" si="3"/>
        <v/>
      </c>
    </row>
    <row r="106" spans="1:7" x14ac:dyDescent="0.35">
      <c r="A106" s="21" t="str">
        <f t="shared" si="2"/>
        <v/>
      </c>
      <c r="B106" s="29"/>
      <c r="C106" s="22"/>
      <c r="D106" s="36"/>
      <c r="E106" s="32"/>
      <c r="F106" s="33" t="str">
        <f>IF(B106="","",SUMIFS(Purchase!$W$3:$W$1002,Purchase!$U$3:$U$1002,B106,Purchase!$C$3:$C$1002,C106))</f>
        <v/>
      </c>
      <c r="G106" s="33" t="str">
        <f t="shared" si="3"/>
        <v/>
      </c>
    </row>
    <row r="107" spans="1:7" x14ac:dyDescent="0.35">
      <c r="A107" s="21" t="str">
        <f t="shared" si="2"/>
        <v/>
      </c>
      <c r="B107" s="29"/>
      <c r="C107" s="22"/>
      <c r="D107" s="36"/>
      <c r="E107" s="32"/>
      <c r="F107" s="33" t="str">
        <f>IF(B107="","",SUMIFS(Purchase!$W$3:$W$1002,Purchase!$U$3:$U$1002,B107,Purchase!$C$3:$C$1002,C107))</f>
        <v/>
      </c>
      <c r="G107" s="33" t="str">
        <f t="shared" si="3"/>
        <v/>
      </c>
    </row>
    <row r="108" spans="1:7" x14ac:dyDescent="0.35">
      <c r="A108" s="21" t="str">
        <f t="shared" si="2"/>
        <v/>
      </c>
      <c r="B108" s="29"/>
      <c r="C108" s="22"/>
      <c r="D108" s="36"/>
      <c r="E108" s="32"/>
      <c r="F108" s="33" t="str">
        <f>IF(B108="","",SUMIFS(Purchase!$W$3:$W$1002,Purchase!$U$3:$U$1002,B108,Purchase!$C$3:$C$1002,C108))</f>
        <v/>
      </c>
      <c r="G108" s="33" t="str">
        <f t="shared" si="3"/>
        <v/>
      </c>
    </row>
    <row r="109" spans="1:7" x14ac:dyDescent="0.35">
      <c r="A109" s="21" t="str">
        <f t="shared" si="2"/>
        <v/>
      </c>
      <c r="B109" s="29"/>
      <c r="C109" s="22"/>
      <c r="D109" s="36"/>
      <c r="E109" s="32"/>
      <c r="F109" s="33" t="str">
        <f>IF(B109="","",SUMIFS(Purchase!$W$3:$W$1002,Purchase!$U$3:$U$1002,B109,Purchase!$C$3:$C$1002,C109))</f>
        <v/>
      </c>
      <c r="G109" s="33" t="str">
        <f t="shared" si="3"/>
        <v/>
      </c>
    </row>
    <row r="110" spans="1:7" x14ac:dyDescent="0.35">
      <c r="A110" s="21" t="str">
        <f t="shared" si="2"/>
        <v/>
      </c>
      <c r="B110" s="29"/>
      <c r="C110" s="22"/>
      <c r="D110" s="36"/>
      <c r="E110" s="32"/>
      <c r="F110" s="33" t="str">
        <f>IF(B110="","",SUMIFS(Purchase!$W$3:$W$1002,Purchase!$U$3:$U$1002,B110,Purchase!$C$3:$C$1002,C110))</f>
        <v/>
      </c>
      <c r="G110" s="33" t="str">
        <f t="shared" si="3"/>
        <v/>
      </c>
    </row>
    <row r="111" spans="1:7" x14ac:dyDescent="0.35">
      <c r="A111" s="21" t="str">
        <f t="shared" si="2"/>
        <v/>
      </c>
      <c r="B111" s="29"/>
      <c r="C111" s="22"/>
      <c r="D111" s="36"/>
      <c r="E111" s="32"/>
      <c r="F111" s="33" t="str">
        <f>IF(B111="","",SUMIFS(Purchase!$W$3:$W$1002,Purchase!$U$3:$U$1002,B111,Purchase!$C$3:$C$1002,C111))</f>
        <v/>
      </c>
      <c r="G111" s="33" t="str">
        <f t="shared" si="3"/>
        <v/>
      </c>
    </row>
    <row r="112" spans="1:7" x14ac:dyDescent="0.35">
      <c r="A112" s="21" t="str">
        <f t="shared" si="2"/>
        <v/>
      </c>
      <c r="B112" s="29"/>
      <c r="C112" s="22"/>
      <c r="D112" s="36"/>
      <c r="E112" s="32"/>
      <c r="F112" s="33" t="str">
        <f>IF(B112="","",SUMIFS(Purchase!$W$3:$W$1002,Purchase!$U$3:$U$1002,B112,Purchase!$C$3:$C$1002,C112))</f>
        <v/>
      </c>
      <c r="G112" s="33" t="str">
        <f t="shared" si="3"/>
        <v/>
      </c>
    </row>
    <row r="113" spans="1:7" x14ac:dyDescent="0.35">
      <c r="A113" s="21" t="str">
        <f t="shared" si="2"/>
        <v/>
      </c>
      <c r="B113" s="29"/>
      <c r="C113" s="22"/>
      <c r="D113" s="36"/>
      <c r="E113" s="32"/>
      <c r="F113" s="33" t="str">
        <f>IF(B113="","",SUMIFS(Purchase!$W$3:$W$1002,Purchase!$U$3:$U$1002,B113,Purchase!$C$3:$C$1002,C113))</f>
        <v/>
      </c>
      <c r="G113" s="33" t="str">
        <f t="shared" si="3"/>
        <v/>
      </c>
    </row>
    <row r="114" spans="1:7" x14ac:dyDescent="0.35">
      <c r="A114" s="21" t="str">
        <f t="shared" si="2"/>
        <v/>
      </c>
      <c r="B114" s="29"/>
      <c r="C114" s="22"/>
      <c r="D114" s="36"/>
      <c r="E114" s="32"/>
      <c r="F114" s="33" t="str">
        <f>IF(B114="","",SUMIFS(Purchase!$W$3:$W$1002,Purchase!$U$3:$U$1002,B114,Purchase!$C$3:$C$1002,C114))</f>
        <v/>
      </c>
      <c r="G114" s="33" t="str">
        <f t="shared" si="3"/>
        <v/>
      </c>
    </row>
    <row r="115" spans="1:7" x14ac:dyDescent="0.35">
      <c r="A115" s="21" t="str">
        <f t="shared" si="2"/>
        <v/>
      </c>
      <c r="B115" s="29"/>
      <c r="C115" s="22"/>
      <c r="D115" s="36"/>
      <c r="E115" s="32"/>
      <c r="F115" s="33" t="str">
        <f>IF(B115="","",SUMIFS(Purchase!$W$3:$W$1002,Purchase!$U$3:$U$1002,B115,Purchase!$C$3:$C$1002,C115))</f>
        <v/>
      </c>
      <c r="G115" s="33" t="str">
        <f t="shared" si="3"/>
        <v/>
      </c>
    </row>
    <row r="116" spans="1:7" x14ac:dyDescent="0.35">
      <c r="A116" s="21" t="str">
        <f t="shared" si="2"/>
        <v/>
      </c>
      <c r="B116" s="29"/>
      <c r="C116" s="22"/>
      <c r="D116" s="36"/>
      <c r="E116" s="32"/>
      <c r="F116" s="33" t="str">
        <f>IF(B116="","",SUMIFS(Purchase!$W$3:$W$1002,Purchase!$U$3:$U$1002,B116,Purchase!$C$3:$C$1002,C116))</f>
        <v/>
      </c>
      <c r="G116" s="33" t="str">
        <f t="shared" si="3"/>
        <v/>
      </c>
    </row>
    <row r="117" spans="1:7" x14ac:dyDescent="0.35">
      <c r="A117" s="21" t="str">
        <f t="shared" si="2"/>
        <v/>
      </c>
      <c r="B117" s="29"/>
      <c r="C117" s="22"/>
      <c r="D117" s="36"/>
      <c r="E117" s="32"/>
      <c r="F117" s="33" t="str">
        <f>IF(B117="","",SUMIFS(Purchase!$W$3:$W$1002,Purchase!$U$3:$U$1002,B117,Purchase!$C$3:$C$1002,C117))</f>
        <v/>
      </c>
      <c r="G117" s="33" t="str">
        <f t="shared" si="3"/>
        <v/>
      </c>
    </row>
    <row r="118" spans="1:7" x14ac:dyDescent="0.35">
      <c r="A118" s="21" t="str">
        <f t="shared" si="2"/>
        <v/>
      </c>
      <c r="B118" s="29"/>
      <c r="C118" s="22"/>
      <c r="D118" s="36"/>
      <c r="E118" s="32"/>
      <c r="F118" s="33" t="str">
        <f>IF(B118="","",SUMIFS(Purchase!$W$3:$W$1002,Purchase!$U$3:$U$1002,B118,Purchase!$C$3:$C$1002,C118))</f>
        <v/>
      </c>
      <c r="G118" s="33" t="str">
        <f t="shared" si="3"/>
        <v/>
      </c>
    </row>
    <row r="119" spans="1:7" x14ac:dyDescent="0.35">
      <c r="A119" s="21" t="str">
        <f t="shared" si="2"/>
        <v/>
      </c>
      <c r="B119" s="29"/>
      <c r="C119" s="22"/>
      <c r="D119" s="36"/>
      <c r="E119" s="32"/>
      <c r="F119" s="33" t="str">
        <f>IF(B119="","",SUMIFS(Purchase!$W$3:$W$1002,Purchase!$U$3:$U$1002,B119,Purchase!$C$3:$C$1002,C119))</f>
        <v/>
      </c>
      <c r="G119" s="33" t="str">
        <f t="shared" si="3"/>
        <v/>
      </c>
    </row>
    <row r="120" spans="1:7" x14ac:dyDescent="0.35">
      <c r="A120" s="21" t="str">
        <f t="shared" si="2"/>
        <v/>
      </c>
      <c r="B120" s="29"/>
      <c r="C120" s="22"/>
      <c r="D120" s="36"/>
      <c r="E120" s="32"/>
      <c r="F120" s="33" t="str">
        <f>IF(B120="","",SUMIFS(Purchase!$W$3:$W$1002,Purchase!$U$3:$U$1002,B120,Purchase!$C$3:$C$1002,C120))</f>
        <v/>
      </c>
      <c r="G120" s="33" t="str">
        <f t="shared" si="3"/>
        <v/>
      </c>
    </row>
    <row r="121" spans="1:7" x14ac:dyDescent="0.35">
      <c r="A121" s="21" t="str">
        <f t="shared" si="2"/>
        <v/>
      </c>
      <c r="B121" s="29"/>
      <c r="C121" s="22"/>
      <c r="D121" s="36"/>
      <c r="E121" s="32"/>
      <c r="F121" s="33" t="str">
        <f>IF(B121="","",SUMIFS(Purchase!$W$3:$W$1002,Purchase!$U$3:$U$1002,B121,Purchase!$C$3:$C$1002,C121))</f>
        <v/>
      </c>
      <c r="G121" s="33" t="str">
        <f t="shared" si="3"/>
        <v/>
      </c>
    </row>
    <row r="122" spans="1:7" x14ac:dyDescent="0.35">
      <c r="A122" s="21" t="str">
        <f t="shared" si="2"/>
        <v/>
      </c>
      <c r="B122" s="29"/>
      <c r="C122" s="22"/>
      <c r="D122" s="36"/>
      <c r="E122" s="32"/>
      <c r="F122" s="33" t="str">
        <f>IF(B122="","",SUMIFS(Purchase!$W$3:$W$1002,Purchase!$U$3:$U$1002,B122,Purchase!$C$3:$C$1002,C122))</f>
        <v/>
      </c>
      <c r="G122" s="33" t="str">
        <f t="shared" si="3"/>
        <v/>
      </c>
    </row>
    <row r="123" spans="1:7" x14ac:dyDescent="0.35">
      <c r="A123" s="21" t="str">
        <f t="shared" si="2"/>
        <v/>
      </c>
      <c r="B123" s="29"/>
      <c r="C123" s="22"/>
      <c r="D123" s="36"/>
      <c r="E123" s="32"/>
      <c r="F123" s="33" t="str">
        <f>IF(B123="","",SUMIFS(Purchase!$W$3:$W$1002,Purchase!$U$3:$U$1002,B123,Purchase!$C$3:$C$1002,C123))</f>
        <v/>
      </c>
      <c r="G123" s="33" t="str">
        <f t="shared" si="3"/>
        <v/>
      </c>
    </row>
    <row r="124" spans="1:7" x14ac:dyDescent="0.35">
      <c r="A124" s="21" t="str">
        <f t="shared" si="2"/>
        <v/>
      </c>
      <c r="B124" s="29"/>
      <c r="C124" s="22"/>
      <c r="D124" s="36"/>
      <c r="E124" s="32"/>
      <c r="F124" s="33" t="str">
        <f>IF(B124="","",SUMIFS(Purchase!$W$3:$W$1002,Purchase!$U$3:$U$1002,B124,Purchase!$C$3:$C$1002,C124))</f>
        <v/>
      </c>
      <c r="G124" s="33" t="str">
        <f t="shared" si="3"/>
        <v/>
      </c>
    </row>
    <row r="125" spans="1:7" x14ac:dyDescent="0.35">
      <c r="A125" s="21" t="str">
        <f t="shared" si="2"/>
        <v/>
      </c>
      <c r="B125" s="29"/>
      <c r="C125" s="22"/>
      <c r="D125" s="36"/>
      <c r="E125" s="32"/>
      <c r="F125" s="33" t="str">
        <f>IF(B125="","",SUMIFS(Purchase!$W$3:$W$1002,Purchase!$U$3:$U$1002,B125,Purchase!$C$3:$C$1002,C125))</f>
        <v/>
      </c>
      <c r="G125" s="33" t="str">
        <f t="shared" si="3"/>
        <v/>
      </c>
    </row>
    <row r="126" spans="1:7" x14ac:dyDescent="0.35">
      <c r="A126" s="21" t="str">
        <f t="shared" si="2"/>
        <v/>
      </c>
      <c r="B126" s="29"/>
      <c r="C126" s="22"/>
      <c r="D126" s="36"/>
      <c r="E126" s="32"/>
      <c r="F126" s="33" t="str">
        <f>IF(B126="","",SUMIFS(Purchase!$W$3:$W$1002,Purchase!$U$3:$U$1002,B126,Purchase!$C$3:$C$1002,C126))</f>
        <v/>
      </c>
      <c r="G126" s="33" t="str">
        <f t="shared" si="3"/>
        <v/>
      </c>
    </row>
    <row r="127" spans="1:7" x14ac:dyDescent="0.35">
      <c r="A127" s="21" t="str">
        <f t="shared" si="2"/>
        <v/>
      </c>
      <c r="B127" s="29"/>
      <c r="C127" s="22"/>
      <c r="D127" s="36"/>
      <c r="E127" s="32"/>
      <c r="F127" s="33" t="str">
        <f>IF(B127="","",SUMIFS(Purchase!$W$3:$W$1002,Purchase!$U$3:$U$1002,B127,Purchase!$C$3:$C$1002,C127))</f>
        <v/>
      </c>
      <c r="G127" s="33" t="str">
        <f t="shared" si="3"/>
        <v/>
      </c>
    </row>
    <row r="128" spans="1:7" x14ac:dyDescent="0.35">
      <c r="A128" s="21" t="str">
        <f t="shared" si="2"/>
        <v/>
      </c>
      <c r="B128" s="29"/>
      <c r="C128" s="22"/>
      <c r="D128" s="36"/>
      <c r="E128" s="32"/>
      <c r="F128" s="33" t="str">
        <f>IF(B128="","",SUMIFS(Purchase!$W$3:$W$1002,Purchase!$U$3:$U$1002,B128,Purchase!$C$3:$C$1002,C128))</f>
        <v/>
      </c>
      <c r="G128" s="33" t="str">
        <f t="shared" si="3"/>
        <v/>
      </c>
    </row>
    <row r="129" spans="1:7" x14ac:dyDescent="0.35">
      <c r="A129" s="21" t="str">
        <f t="shared" si="2"/>
        <v/>
      </c>
      <c r="B129" s="29"/>
      <c r="C129" s="22"/>
      <c r="D129" s="36"/>
      <c r="E129" s="32"/>
      <c r="F129" s="33" t="str">
        <f>IF(B129="","",SUMIFS(Purchase!$W$3:$W$1002,Purchase!$U$3:$U$1002,B129,Purchase!$C$3:$C$1002,C129))</f>
        <v/>
      </c>
      <c r="G129" s="33" t="str">
        <f t="shared" si="3"/>
        <v/>
      </c>
    </row>
    <row r="130" spans="1:7" x14ac:dyDescent="0.35">
      <c r="A130" s="21" t="str">
        <f t="shared" si="2"/>
        <v/>
      </c>
      <c r="B130" s="29"/>
      <c r="C130" s="22"/>
      <c r="D130" s="36"/>
      <c r="E130" s="32"/>
      <c r="F130" s="33" t="str">
        <f>IF(B130="","",SUMIFS(Purchase!$W$3:$W$1002,Purchase!$U$3:$U$1002,B130,Purchase!$C$3:$C$1002,C130))</f>
        <v/>
      </c>
      <c r="G130" s="33" t="str">
        <f t="shared" si="3"/>
        <v/>
      </c>
    </row>
    <row r="131" spans="1:7" x14ac:dyDescent="0.35">
      <c r="A131" s="21" t="str">
        <f t="shared" ref="A131:A194" si="4">IF(COUNTA(B131:E131)=0,"",IF((IF(B131="","Vendor Invoice No, ","")&amp;IF(C131="","Vendor, ","")&amp;IF(D131="","Invoice Date, ","")&amp;IF(E131="","Invoice Total, ",""))&lt;&gt;"","Missing: "&amp;LEFT(IF(B131="","Vendor Invoice No, ","")&amp;IF(C131="","Vendor, ","")&amp;IF(D131="","Invoice Date, ","")&amp;IF(E131="","Invoice Total, ",""),LEN(IF(B131="","Vendor Invoice No, ","")&amp;IF(C131="","Vendor, ","")&amp;IF(D131="","Invoice Date, ","")&amp;IF(E131="","Invoice Total, ",""))-2),IF(COUNTIFS($B$3:$B$302,B131,$C$3:$C$302,C131)&gt;1,"Bill "&amp;B131&amp;" is listed twice",IF(F131=0,"No Purchase row has this bill no for this vendor",IF(ABS(G131)&gt;1,"Bill and rows differ by ₹"&amp;TEXT(G131,"#,##0.00"),"OK")))))</f>
        <v/>
      </c>
      <c r="B131" s="29"/>
      <c r="C131" s="22"/>
      <c r="D131" s="36"/>
      <c r="E131" s="32"/>
      <c r="F131" s="33" t="str">
        <f>IF(B131="","",SUMIFS(Purchase!$W$3:$W$1002,Purchase!$U$3:$U$1002,B131,Purchase!$C$3:$C$1002,C131))</f>
        <v/>
      </c>
      <c r="G131" s="33" t="str">
        <f t="shared" ref="G131:G194" si="5">IF(OR(B131="",E131=""),"",E131-F131)</f>
        <v/>
      </c>
    </row>
    <row r="132" spans="1:7" x14ac:dyDescent="0.35">
      <c r="A132" s="21" t="str">
        <f t="shared" si="4"/>
        <v/>
      </c>
      <c r="B132" s="29"/>
      <c r="C132" s="22"/>
      <c r="D132" s="36"/>
      <c r="E132" s="32"/>
      <c r="F132" s="33" t="str">
        <f>IF(B132="","",SUMIFS(Purchase!$W$3:$W$1002,Purchase!$U$3:$U$1002,B132,Purchase!$C$3:$C$1002,C132))</f>
        <v/>
      </c>
      <c r="G132" s="33" t="str">
        <f t="shared" si="5"/>
        <v/>
      </c>
    </row>
    <row r="133" spans="1:7" x14ac:dyDescent="0.35">
      <c r="A133" s="21" t="str">
        <f t="shared" si="4"/>
        <v/>
      </c>
      <c r="B133" s="29"/>
      <c r="C133" s="22"/>
      <c r="D133" s="36"/>
      <c r="E133" s="32"/>
      <c r="F133" s="33" t="str">
        <f>IF(B133="","",SUMIFS(Purchase!$W$3:$W$1002,Purchase!$U$3:$U$1002,B133,Purchase!$C$3:$C$1002,C133))</f>
        <v/>
      </c>
      <c r="G133" s="33" t="str">
        <f t="shared" si="5"/>
        <v/>
      </c>
    </row>
    <row r="134" spans="1:7" x14ac:dyDescent="0.35">
      <c r="A134" s="21" t="str">
        <f t="shared" si="4"/>
        <v/>
      </c>
      <c r="B134" s="29"/>
      <c r="C134" s="22"/>
      <c r="D134" s="36"/>
      <c r="E134" s="32"/>
      <c r="F134" s="33" t="str">
        <f>IF(B134="","",SUMIFS(Purchase!$W$3:$W$1002,Purchase!$U$3:$U$1002,B134,Purchase!$C$3:$C$1002,C134))</f>
        <v/>
      </c>
      <c r="G134" s="33" t="str">
        <f t="shared" si="5"/>
        <v/>
      </c>
    </row>
    <row r="135" spans="1:7" x14ac:dyDescent="0.35">
      <c r="A135" s="21" t="str">
        <f t="shared" si="4"/>
        <v/>
      </c>
      <c r="B135" s="29"/>
      <c r="C135" s="22"/>
      <c r="D135" s="36"/>
      <c r="E135" s="32"/>
      <c r="F135" s="33" t="str">
        <f>IF(B135="","",SUMIFS(Purchase!$W$3:$W$1002,Purchase!$U$3:$U$1002,B135,Purchase!$C$3:$C$1002,C135))</f>
        <v/>
      </c>
      <c r="G135" s="33" t="str">
        <f t="shared" si="5"/>
        <v/>
      </c>
    </row>
    <row r="136" spans="1:7" x14ac:dyDescent="0.35">
      <c r="A136" s="21" t="str">
        <f t="shared" si="4"/>
        <v/>
      </c>
      <c r="B136" s="29"/>
      <c r="C136" s="22"/>
      <c r="D136" s="36"/>
      <c r="E136" s="32"/>
      <c r="F136" s="33" t="str">
        <f>IF(B136="","",SUMIFS(Purchase!$W$3:$W$1002,Purchase!$U$3:$U$1002,B136,Purchase!$C$3:$C$1002,C136))</f>
        <v/>
      </c>
      <c r="G136" s="33" t="str">
        <f t="shared" si="5"/>
        <v/>
      </c>
    </row>
    <row r="137" spans="1:7" x14ac:dyDescent="0.35">
      <c r="A137" s="21" t="str">
        <f t="shared" si="4"/>
        <v/>
      </c>
      <c r="B137" s="29"/>
      <c r="C137" s="22"/>
      <c r="D137" s="36"/>
      <c r="E137" s="32"/>
      <c r="F137" s="33" t="str">
        <f>IF(B137="","",SUMIFS(Purchase!$W$3:$W$1002,Purchase!$U$3:$U$1002,B137,Purchase!$C$3:$C$1002,C137))</f>
        <v/>
      </c>
      <c r="G137" s="33" t="str">
        <f t="shared" si="5"/>
        <v/>
      </c>
    </row>
    <row r="138" spans="1:7" x14ac:dyDescent="0.35">
      <c r="A138" s="21" t="str">
        <f t="shared" si="4"/>
        <v/>
      </c>
      <c r="B138" s="29"/>
      <c r="C138" s="22"/>
      <c r="D138" s="36"/>
      <c r="E138" s="32"/>
      <c r="F138" s="33" t="str">
        <f>IF(B138="","",SUMIFS(Purchase!$W$3:$W$1002,Purchase!$U$3:$U$1002,B138,Purchase!$C$3:$C$1002,C138))</f>
        <v/>
      </c>
      <c r="G138" s="33" t="str">
        <f t="shared" si="5"/>
        <v/>
      </c>
    </row>
    <row r="139" spans="1:7" x14ac:dyDescent="0.35">
      <c r="A139" s="21" t="str">
        <f t="shared" si="4"/>
        <v/>
      </c>
      <c r="B139" s="29"/>
      <c r="C139" s="22"/>
      <c r="D139" s="36"/>
      <c r="E139" s="32"/>
      <c r="F139" s="33" t="str">
        <f>IF(B139="","",SUMIFS(Purchase!$W$3:$W$1002,Purchase!$U$3:$U$1002,B139,Purchase!$C$3:$C$1002,C139))</f>
        <v/>
      </c>
      <c r="G139" s="33" t="str">
        <f t="shared" si="5"/>
        <v/>
      </c>
    </row>
    <row r="140" spans="1:7" x14ac:dyDescent="0.35">
      <c r="A140" s="21" t="str">
        <f t="shared" si="4"/>
        <v/>
      </c>
      <c r="B140" s="29"/>
      <c r="C140" s="22"/>
      <c r="D140" s="36"/>
      <c r="E140" s="32"/>
      <c r="F140" s="33" t="str">
        <f>IF(B140="","",SUMIFS(Purchase!$W$3:$W$1002,Purchase!$U$3:$U$1002,B140,Purchase!$C$3:$C$1002,C140))</f>
        <v/>
      </c>
      <c r="G140" s="33" t="str">
        <f t="shared" si="5"/>
        <v/>
      </c>
    </row>
    <row r="141" spans="1:7" x14ac:dyDescent="0.35">
      <c r="A141" s="21" t="str">
        <f t="shared" si="4"/>
        <v/>
      </c>
      <c r="B141" s="29"/>
      <c r="C141" s="22"/>
      <c r="D141" s="36"/>
      <c r="E141" s="32"/>
      <c r="F141" s="33" t="str">
        <f>IF(B141="","",SUMIFS(Purchase!$W$3:$W$1002,Purchase!$U$3:$U$1002,B141,Purchase!$C$3:$C$1002,C141))</f>
        <v/>
      </c>
      <c r="G141" s="33" t="str">
        <f t="shared" si="5"/>
        <v/>
      </c>
    </row>
    <row r="142" spans="1:7" x14ac:dyDescent="0.35">
      <c r="A142" s="21" t="str">
        <f t="shared" si="4"/>
        <v/>
      </c>
      <c r="B142" s="29"/>
      <c r="C142" s="22"/>
      <c r="D142" s="36"/>
      <c r="E142" s="32"/>
      <c r="F142" s="33" t="str">
        <f>IF(B142="","",SUMIFS(Purchase!$W$3:$W$1002,Purchase!$U$3:$U$1002,B142,Purchase!$C$3:$C$1002,C142))</f>
        <v/>
      </c>
      <c r="G142" s="33" t="str">
        <f t="shared" si="5"/>
        <v/>
      </c>
    </row>
    <row r="143" spans="1:7" x14ac:dyDescent="0.35">
      <c r="A143" s="21" t="str">
        <f t="shared" si="4"/>
        <v/>
      </c>
      <c r="B143" s="29"/>
      <c r="C143" s="22"/>
      <c r="D143" s="36"/>
      <c r="E143" s="32"/>
      <c r="F143" s="33" t="str">
        <f>IF(B143="","",SUMIFS(Purchase!$W$3:$W$1002,Purchase!$U$3:$U$1002,B143,Purchase!$C$3:$C$1002,C143))</f>
        <v/>
      </c>
      <c r="G143" s="33" t="str">
        <f t="shared" si="5"/>
        <v/>
      </c>
    </row>
    <row r="144" spans="1:7" x14ac:dyDescent="0.35">
      <c r="A144" s="21" t="str">
        <f t="shared" si="4"/>
        <v/>
      </c>
      <c r="B144" s="29"/>
      <c r="C144" s="22"/>
      <c r="D144" s="36"/>
      <c r="E144" s="32"/>
      <c r="F144" s="33" t="str">
        <f>IF(B144="","",SUMIFS(Purchase!$W$3:$W$1002,Purchase!$U$3:$U$1002,B144,Purchase!$C$3:$C$1002,C144))</f>
        <v/>
      </c>
      <c r="G144" s="33" t="str">
        <f t="shared" si="5"/>
        <v/>
      </c>
    </row>
    <row r="145" spans="1:7" x14ac:dyDescent="0.35">
      <c r="A145" s="21" t="str">
        <f t="shared" si="4"/>
        <v/>
      </c>
      <c r="B145" s="29"/>
      <c r="C145" s="22"/>
      <c r="D145" s="36"/>
      <c r="E145" s="32"/>
      <c r="F145" s="33" t="str">
        <f>IF(B145="","",SUMIFS(Purchase!$W$3:$W$1002,Purchase!$U$3:$U$1002,B145,Purchase!$C$3:$C$1002,C145))</f>
        <v/>
      </c>
      <c r="G145" s="33" t="str">
        <f t="shared" si="5"/>
        <v/>
      </c>
    </row>
    <row r="146" spans="1:7" x14ac:dyDescent="0.35">
      <c r="A146" s="21" t="str">
        <f t="shared" si="4"/>
        <v/>
      </c>
      <c r="B146" s="29"/>
      <c r="C146" s="22"/>
      <c r="D146" s="36"/>
      <c r="E146" s="32"/>
      <c r="F146" s="33" t="str">
        <f>IF(B146="","",SUMIFS(Purchase!$W$3:$W$1002,Purchase!$U$3:$U$1002,B146,Purchase!$C$3:$C$1002,C146))</f>
        <v/>
      </c>
      <c r="G146" s="33" t="str">
        <f t="shared" si="5"/>
        <v/>
      </c>
    </row>
    <row r="147" spans="1:7" x14ac:dyDescent="0.35">
      <c r="A147" s="21" t="str">
        <f t="shared" si="4"/>
        <v/>
      </c>
      <c r="B147" s="29"/>
      <c r="C147" s="22"/>
      <c r="D147" s="36"/>
      <c r="E147" s="32"/>
      <c r="F147" s="33" t="str">
        <f>IF(B147="","",SUMIFS(Purchase!$W$3:$W$1002,Purchase!$U$3:$U$1002,B147,Purchase!$C$3:$C$1002,C147))</f>
        <v/>
      </c>
      <c r="G147" s="33" t="str">
        <f t="shared" si="5"/>
        <v/>
      </c>
    </row>
    <row r="148" spans="1:7" x14ac:dyDescent="0.35">
      <c r="A148" s="21" t="str">
        <f t="shared" si="4"/>
        <v/>
      </c>
      <c r="B148" s="29"/>
      <c r="C148" s="22"/>
      <c r="D148" s="36"/>
      <c r="E148" s="32"/>
      <c r="F148" s="33" t="str">
        <f>IF(B148="","",SUMIFS(Purchase!$W$3:$W$1002,Purchase!$U$3:$U$1002,B148,Purchase!$C$3:$C$1002,C148))</f>
        <v/>
      </c>
      <c r="G148" s="33" t="str">
        <f t="shared" si="5"/>
        <v/>
      </c>
    </row>
    <row r="149" spans="1:7" x14ac:dyDescent="0.35">
      <c r="A149" s="21" t="str">
        <f t="shared" si="4"/>
        <v/>
      </c>
      <c r="B149" s="29"/>
      <c r="C149" s="22"/>
      <c r="D149" s="36"/>
      <c r="E149" s="32"/>
      <c r="F149" s="33" t="str">
        <f>IF(B149="","",SUMIFS(Purchase!$W$3:$W$1002,Purchase!$U$3:$U$1002,B149,Purchase!$C$3:$C$1002,C149))</f>
        <v/>
      </c>
      <c r="G149" s="33" t="str">
        <f t="shared" si="5"/>
        <v/>
      </c>
    </row>
    <row r="150" spans="1:7" x14ac:dyDescent="0.35">
      <c r="A150" s="21" t="str">
        <f t="shared" si="4"/>
        <v/>
      </c>
      <c r="B150" s="29"/>
      <c r="C150" s="22"/>
      <c r="D150" s="36"/>
      <c r="E150" s="32"/>
      <c r="F150" s="33" t="str">
        <f>IF(B150="","",SUMIFS(Purchase!$W$3:$W$1002,Purchase!$U$3:$U$1002,B150,Purchase!$C$3:$C$1002,C150))</f>
        <v/>
      </c>
      <c r="G150" s="33" t="str">
        <f t="shared" si="5"/>
        <v/>
      </c>
    </row>
    <row r="151" spans="1:7" x14ac:dyDescent="0.35">
      <c r="A151" s="21" t="str">
        <f t="shared" si="4"/>
        <v/>
      </c>
      <c r="B151" s="29"/>
      <c r="C151" s="22"/>
      <c r="D151" s="36"/>
      <c r="E151" s="32"/>
      <c r="F151" s="33" t="str">
        <f>IF(B151="","",SUMIFS(Purchase!$W$3:$W$1002,Purchase!$U$3:$U$1002,B151,Purchase!$C$3:$C$1002,C151))</f>
        <v/>
      </c>
      <c r="G151" s="33" t="str">
        <f t="shared" si="5"/>
        <v/>
      </c>
    </row>
    <row r="152" spans="1:7" x14ac:dyDescent="0.35">
      <c r="A152" s="21" t="str">
        <f t="shared" si="4"/>
        <v/>
      </c>
      <c r="B152" s="29"/>
      <c r="C152" s="22"/>
      <c r="D152" s="36"/>
      <c r="E152" s="32"/>
      <c r="F152" s="33" t="str">
        <f>IF(B152="","",SUMIFS(Purchase!$W$3:$W$1002,Purchase!$U$3:$U$1002,B152,Purchase!$C$3:$C$1002,C152))</f>
        <v/>
      </c>
      <c r="G152" s="33" t="str">
        <f t="shared" si="5"/>
        <v/>
      </c>
    </row>
    <row r="153" spans="1:7" x14ac:dyDescent="0.35">
      <c r="A153" s="21" t="str">
        <f t="shared" si="4"/>
        <v/>
      </c>
      <c r="B153" s="29"/>
      <c r="C153" s="22"/>
      <c r="D153" s="36"/>
      <c r="E153" s="32"/>
      <c r="F153" s="33" t="str">
        <f>IF(B153="","",SUMIFS(Purchase!$W$3:$W$1002,Purchase!$U$3:$U$1002,B153,Purchase!$C$3:$C$1002,C153))</f>
        <v/>
      </c>
      <c r="G153" s="33" t="str">
        <f t="shared" si="5"/>
        <v/>
      </c>
    </row>
    <row r="154" spans="1:7" x14ac:dyDescent="0.35">
      <c r="A154" s="21" t="str">
        <f t="shared" si="4"/>
        <v/>
      </c>
      <c r="B154" s="29"/>
      <c r="C154" s="22"/>
      <c r="D154" s="36"/>
      <c r="E154" s="32"/>
      <c r="F154" s="33" t="str">
        <f>IF(B154="","",SUMIFS(Purchase!$W$3:$W$1002,Purchase!$U$3:$U$1002,B154,Purchase!$C$3:$C$1002,C154))</f>
        <v/>
      </c>
      <c r="G154" s="33" t="str">
        <f t="shared" si="5"/>
        <v/>
      </c>
    </row>
    <row r="155" spans="1:7" x14ac:dyDescent="0.35">
      <c r="A155" s="21" t="str">
        <f t="shared" si="4"/>
        <v/>
      </c>
      <c r="B155" s="29"/>
      <c r="C155" s="22"/>
      <c r="D155" s="36"/>
      <c r="E155" s="32"/>
      <c r="F155" s="33" t="str">
        <f>IF(B155="","",SUMIFS(Purchase!$W$3:$W$1002,Purchase!$U$3:$U$1002,B155,Purchase!$C$3:$C$1002,C155))</f>
        <v/>
      </c>
      <c r="G155" s="33" t="str">
        <f t="shared" si="5"/>
        <v/>
      </c>
    </row>
    <row r="156" spans="1:7" x14ac:dyDescent="0.35">
      <c r="A156" s="21" t="str">
        <f t="shared" si="4"/>
        <v/>
      </c>
      <c r="B156" s="29"/>
      <c r="C156" s="22"/>
      <c r="D156" s="36"/>
      <c r="E156" s="32"/>
      <c r="F156" s="33" t="str">
        <f>IF(B156="","",SUMIFS(Purchase!$W$3:$W$1002,Purchase!$U$3:$U$1002,B156,Purchase!$C$3:$C$1002,C156))</f>
        <v/>
      </c>
      <c r="G156" s="33" t="str">
        <f t="shared" si="5"/>
        <v/>
      </c>
    </row>
    <row r="157" spans="1:7" x14ac:dyDescent="0.35">
      <c r="A157" s="21" t="str">
        <f t="shared" si="4"/>
        <v/>
      </c>
      <c r="B157" s="29"/>
      <c r="C157" s="22"/>
      <c r="D157" s="36"/>
      <c r="E157" s="32"/>
      <c r="F157" s="33" t="str">
        <f>IF(B157="","",SUMIFS(Purchase!$W$3:$W$1002,Purchase!$U$3:$U$1002,B157,Purchase!$C$3:$C$1002,C157))</f>
        <v/>
      </c>
      <c r="G157" s="33" t="str">
        <f t="shared" si="5"/>
        <v/>
      </c>
    </row>
    <row r="158" spans="1:7" x14ac:dyDescent="0.35">
      <c r="A158" s="21" t="str">
        <f t="shared" si="4"/>
        <v/>
      </c>
      <c r="B158" s="29"/>
      <c r="C158" s="22"/>
      <c r="D158" s="36"/>
      <c r="E158" s="32"/>
      <c r="F158" s="33" t="str">
        <f>IF(B158="","",SUMIFS(Purchase!$W$3:$W$1002,Purchase!$U$3:$U$1002,B158,Purchase!$C$3:$C$1002,C158))</f>
        <v/>
      </c>
      <c r="G158" s="33" t="str">
        <f t="shared" si="5"/>
        <v/>
      </c>
    </row>
    <row r="159" spans="1:7" x14ac:dyDescent="0.35">
      <c r="A159" s="21" t="str">
        <f t="shared" si="4"/>
        <v/>
      </c>
      <c r="B159" s="29"/>
      <c r="C159" s="22"/>
      <c r="D159" s="36"/>
      <c r="E159" s="32"/>
      <c r="F159" s="33" t="str">
        <f>IF(B159="","",SUMIFS(Purchase!$W$3:$W$1002,Purchase!$U$3:$U$1002,B159,Purchase!$C$3:$C$1002,C159))</f>
        <v/>
      </c>
      <c r="G159" s="33" t="str">
        <f t="shared" si="5"/>
        <v/>
      </c>
    </row>
    <row r="160" spans="1:7" x14ac:dyDescent="0.35">
      <c r="A160" s="21" t="str">
        <f t="shared" si="4"/>
        <v/>
      </c>
      <c r="B160" s="29"/>
      <c r="C160" s="22"/>
      <c r="D160" s="36"/>
      <c r="E160" s="32"/>
      <c r="F160" s="33" t="str">
        <f>IF(B160="","",SUMIFS(Purchase!$W$3:$W$1002,Purchase!$U$3:$U$1002,B160,Purchase!$C$3:$C$1002,C160))</f>
        <v/>
      </c>
      <c r="G160" s="33" t="str">
        <f t="shared" si="5"/>
        <v/>
      </c>
    </row>
    <row r="161" spans="1:7" x14ac:dyDescent="0.35">
      <c r="A161" s="21" t="str">
        <f t="shared" si="4"/>
        <v/>
      </c>
      <c r="B161" s="29"/>
      <c r="C161" s="22"/>
      <c r="D161" s="36"/>
      <c r="E161" s="32"/>
      <c r="F161" s="33" t="str">
        <f>IF(B161="","",SUMIFS(Purchase!$W$3:$W$1002,Purchase!$U$3:$U$1002,B161,Purchase!$C$3:$C$1002,C161))</f>
        <v/>
      </c>
      <c r="G161" s="33" t="str">
        <f t="shared" si="5"/>
        <v/>
      </c>
    </row>
    <row r="162" spans="1:7" x14ac:dyDescent="0.35">
      <c r="A162" s="21" t="str">
        <f t="shared" si="4"/>
        <v/>
      </c>
      <c r="B162" s="29"/>
      <c r="C162" s="22"/>
      <c r="D162" s="36"/>
      <c r="E162" s="32"/>
      <c r="F162" s="33" t="str">
        <f>IF(B162="","",SUMIFS(Purchase!$W$3:$W$1002,Purchase!$U$3:$U$1002,B162,Purchase!$C$3:$C$1002,C162))</f>
        <v/>
      </c>
      <c r="G162" s="33" t="str">
        <f t="shared" si="5"/>
        <v/>
      </c>
    </row>
    <row r="163" spans="1:7" x14ac:dyDescent="0.35">
      <c r="A163" s="21" t="str">
        <f t="shared" si="4"/>
        <v/>
      </c>
      <c r="B163" s="29"/>
      <c r="C163" s="22"/>
      <c r="D163" s="36"/>
      <c r="E163" s="32"/>
      <c r="F163" s="33" t="str">
        <f>IF(B163="","",SUMIFS(Purchase!$W$3:$W$1002,Purchase!$U$3:$U$1002,B163,Purchase!$C$3:$C$1002,C163))</f>
        <v/>
      </c>
      <c r="G163" s="33" t="str">
        <f t="shared" si="5"/>
        <v/>
      </c>
    </row>
    <row r="164" spans="1:7" x14ac:dyDescent="0.35">
      <c r="A164" s="21" t="str">
        <f t="shared" si="4"/>
        <v/>
      </c>
      <c r="B164" s="29"/>
      <c r="C164" s="22"/>
      <c r="D164" s="36"/>
      <c r="E164" s="32"/>
      <c r="F164" s="33" t="str">
        <f>IF(B164="","",SUMIFS(Purchase!$W$3:$W$1002,Purchase!$U$3:$U$1002,B164,Purchase!$C$3:$C$1002,C164))</f>
        <v/>
      </c>
      <c r="G164" s="33" t="str">
        <f t="shared" si="5"/>
        <v/>
      </c>
    </row>
    <row r="165" spans="1:7" x14ac:dyDescent="0.35">
      <c r="A165" s="21" t="str">
        <f t="shared" si="4"/>
        <v/>
      </c>
      <c r="B165" s="29"/>
      <c r="C165" s="22"/>
      <c r="D165" s="36"/>
      <c r="E165" s="32"/>
      <c r="F165" s="33" t="str">
        <f>IF(B165="","",SUMIFS(Purchase!$W$3:$W$1002,Purchase!$U$3:$U$1002,B165,Purchase!$C$3:$C$1002,C165))</f>
        <v/>
      </c>
      <c r="G165" s="33" t="str">
        <f t="shared" si="5"/>
        <v/>
      </c>
    </row>
    <row r="166" spans="1:7" x14ac:dyDescent="0.35">
      <c r="A166" s="21" t="str">
        <f t="shared" si="4"/>
        <v/>
      </c>
      <c r="B166" s="29"/>
      <c r="C166" s="22"/>
      <c r="D166" s="36"/>
      <c r="E166" s="32"/>
      <c r="F166" s="33" t="str">
        <f>IF(B166="","",SUMIFS(Purchase!$W$3:$W$1002,Purchase!$U$3:$U$1002,B166,Purchase!$C$3:$C$1002,C166))</f>
        <v/>
      </c>
      <c r="G166" s="33" t="str">
        <f t="shared" si="5"/>
        <v/>
      </c>
    </row>
    <row r="167" spans="1:7" x14ac:dyDescent="0.35">
      <c r="A167" s="21" t="str">
        <f t="shared" si="4"/>
        <v/>
      </c>
      <c r="B167" s="29"/>
      <c r="C167" s="22"/>
      <c r="D167" s="36"/>
      <c r="E167" s="32"/>
      <c r="F167" s="33" t="str">
        <f>IF(B167="","",SUMIFS(Purchase!$W$3:$W$1002,Purchase!$U$3:$U$1002,B167,Purchase!$C$3:$C$1002,C167))</f>
        <v/>
      </c>
      <c r="G167" s="33" t="str">
        <f t="shared" si="5"/>
        <v/>
      </c>
    </row>
    <row r="168" spans="1:7" x14ac:dyDescent="0.35">
      <c r="A168" s="21" t="str">
        <f t="shared" si="4"/>
        <v/>
      </c>
      <c r="B168" s="29"/>
      <c r="C168" s="22"/>
      <c r="D168" s="36"/>
      <c r="E168" s="32"/>
      <c r="F168" s="33" t="str">
        <f>IF(B168="","",SUMIFS(Purchase!$W$3:$W$1002,Purchase!$U$3:$U$1002,B168,Purchase!$C$3:$C$1002,C168))</f>
        <v/>
      </c>
      <c r="G168" s="33" t="str">
        <f t="shared" si="5"/>
        <v/>
      </c>
    </row>
    <row r="169" spans="1:7" x14ac:dyDescent="0.35">
      <c r="A169" s="21" t="str">
        <f t="shared" si="4"/>
        <v/>
      </c>
      <c r="B169" s="29"/>
      <c r="C169" s="22"/>
      <c r="D169" s="36"/>
      <c r="E169" s="32"/>
      <c r="F169" s="33" t="str">
        <f>IF(B169="","",SUMIFS(Purchase!$W$3:$W$1002,Purchase!$U$3:$U$1002,B169,Purchase!$C$3:$C$1002,C169))</f>
        <v/>
      </c>
      <c r="G169" s="33" t="str">
        <f t="shared" si="5"/>
        <v/>
      </c>
    </row>
    <row r="170" spans="1:7" x14ac:dyDescent="0.35">
      <c r="A170" s="21" t="str">
        <f t="shared" si="4"/>
        <v/>
      </c>
      <c r="B170" s="29"/>
      <c r="C170" s="22"/>
      <c r="D170" s="36"/>
      <c r="E170" s="32"/>
      <c r="F170" s="33" t="str">
        <f>IF(B170="","",SUMIFS(Purchase!$W$3:$W$1002,Purchase!$U$3:$U$1002,B170,Purchase!$C$3:$C$1002,C170))</f>
        <v/>
      </c>
      <c r="G170" s="33" t="str">
        <f t="shared" si="5"/>
        <v/>
      </c>
    </row>
    <row r="171" spans="1:7" x14ac:dyDescent="0.35">
      <c r="A171" s="21" t="str">
        <f t="shared" si="4"/>
        <v/>
      </c>
      <c r="B171" s="29"/>
      <c r="C171" s="22"/>
      <c r="D171" s="36"/>
      <c r="E171" s="32"/>
      <c r="F171" s="33" t="str">
        <f>IF(B171="","",SUMIFS(Purchase!$W$3:$W$1002,Purchase!$U$3:$U$1002,B171,Purchase!$C$3:$C$1002,C171))</f>
        <v/>
      </c>
      <c r="G171" s="33" t="str">
        <f t="shared" si="5"/>
        <v/>
      </c>
    </row>
    <row r="172" spans="1:7" x14ac:dyDescent="0.35">
      <c r="A172" s="21" t="str">
        <f t="shared" si="4"/>
        <v/>
      </c>
      <c r="B172" s="29"/>
      <c r="C172" s="22"/>
      <c r="D172" s="36"/>
      <c r="E172" s="32"/>
      <c r="F172" s="33" t="str">
        <f>IF(B172="","",SUMIFS(Purchase!$W$3:$W$1002,Purchase!$U$3:$U$1002,B172,Purchase!$C$3:$C$1002,C172))</f>
        <v/>
      </c>
      <c r="G172" s="33" t="str">
        <f t="shared" si="5"/>
        <v/>
      </c>
    </row>
    <row r="173" spans="1:7" x14ac:dyDescent="0.35">
      <c r="A173" s="21" t="str">
        <f t="shared" si="4"/>
        <v/>
      </c>
      <c r="B173" s="29"/>
      <c r="C173" s="22"/>
      <c r="D173" s="36"/>
      <c r="E173" s="32"/>
      <c r="F173" s="33" t="str">
        <f>IF(B173="","",SUMIFS(Purchase!$W$3:$W$1002,Purchase!$U$3:$U$1002,B173,Purchase!$C$3:$C$1002,C173))</f>
        <v/>
      </c>
      <c r="G173" s="33" t="str">
        <f t="shared" si="5"/>
        <v/>
      </c>
    </row>
    <row r="174" spans="1:7" x14ac:dyDescent="0.35">
      <c r="A174" s="21" t="str">
        <f t="shared" si="4"/>
        <v/>
      </c>
      <c r="B174" s="29"/>
      <c r="C174" s="22"/>
      <c r="D174" s="36"/>
      <c r="E174" s="32"/>
      <c r="F174" s="33" t="str">
        <f>IF(B174="","",SUMIFS(Purchase!$W$3:$W$1002,Purchase!$U$3:$U$1002,B174,Purchase!$C$3:$C$1002,C174))</f>
        <v/>
      </c>
      <c r="G174" s="33" t="str">
        <f t="shared" si="5"/>
        <v/>
      </c>
    </row>
    <row r="175" spans="1:7" x14ac:dyDescent="0.35">
      <c r="A175" s="21" t="str">
        <f t="shared" si="4"/>
        <v/>
      </c>
      <c r="B175" s="29"/>
      <c r="C175" s="22"/>
      <c r="D175" s="36"/>
      <c r="E175" s="32"/>
      <c r="F175" s="33" t="str">
        <f>IF(B175="","",SUMIFS(Purchase!$W$3:$W$1002,Purchase!$U$3:$U$1002,B175,Purchase!$C$3:$C$1002,C175))</f>
        <v/>
      </c>
      <c r="G175" s="33" t="str">
        <f t="shared" si="5"/>
        <v/>
      </c>
    </row>
    <row r="176" spans="1:7" x14ac:dyDescent="0.35">
      <c r="A176" s="21" t="str">
        <f t="shared" si="4"/>
        <v/>
      </c>
      <c r="B176" s="29"/>
      <c r="C176" s="22"/>
      <c r="D176" s="36"/>
      <c r="E176" s="32"/>
      <c r="F176" s="33" t="str">
        <f>IF(B176="","",SUMIFS(Purchase!$W$3:$W$1002,Purchase!$U$3:$U$1002,B176,Purchase!$C$3:$C$1002,C176))</f>
        <v/>
      </c>
      <c r="G176" s="33" t="str">
        <f t="shared" si="5"/>
        <v/>
      </c>
    </row>
    <row r="177" spans="1:7" x14ac:dyDescent="0.35">
      <c r="A177" s="21" t="str">
        <f t="shared" si="4"/>
        <v/>
      </c>
      <c r="B177" s="29"/>
      <c r="C177" s="22"/>
      <c r="D177" s="36"/>
      <c r="E177" s="32"/>
      <c r="F177" s="33" t="str">
        <f>IF(B177="","",SUMIFS(Purchase!$W$3:$W$1002,Purchase!$U$3:$U$1002,B177,Purchase!$C$3:$C$1002,C177))</f>
        <v/>
      </c>
      <c r="G177" s="33" t="str">
        <f t="shared" si="5"/>
        <v/>
      </c>
    </row>
    <row r="178" spans="1:7" x14ac:dyDescent="0.35">
      <c r="A178" s="21" t="str">
        <f t="shared" si="4"/>
        <v/>
      </c>
      <c r="B178" s="29"/>
      <c r="C178" s="22"/>
      <c r="D178" s="36"/>
      <c r="E178" s="32"/>
      <c r="F178" s="33" t="str">
        <f>IF(B178="","",SUMIFS(Purchase!$W$3:$W$1002,Purchase!$U$3:$U$1002,B178,Purchase!$C$3:$C$1002,C178))</f>
        <v/>
      </c>
      <c r="G178" s="33" t="str">
        <f t="shared" si="5"/>
        <v/>
      </c>
    </row>
    <row r="179" spans="1:7" x14ac:dyDescent="0.35">
      <c r="A179" s="21" t="str">
        <f t="shared" si="4"/>
        <v/>
      </c>
      <c r="B179" s="29"/>
      <c r="C179" s="22"/>
      <c r="D179" s="36"/>
      <c r="E179" s="32"/>
      <c r="F179" s="33" t="str">
        <f>IF(B179="","",SUMIFS(Purchase!$W$3:$W$1002,Purchase!$U$3:$U$1002,B179,Purchase!$C$3:$C$1002,C179))</f>
        <v/>
      </c>
      <c r="G179" s="33" t="str">
        <f t="shared" si="5"/>
        <v/>
      </c>
    </row>
    <row r="180" spans="1:7" x14ac:dyDescent="0.35">
      <c r="A180" s="21" t="str">
        <f t="shared" si="4"/>
        <v/>
      </c>
      <c r="B180" s="29"/>
      <c r="C180" s="22"/>
      <c r="D180" s="36"/>
      <c r="E180" s="32"/>
      <c r="F180" s="33" t="str">
        <f>IF(B180="","",SUMIFS(Purchase!$W$3:$W$1002,Purchase!$U$3:$U$1002,B180,Purchase!$C$3:$C$1002,C180))</f>
        <v/>
      </c>
      <c r="G180" s="33" t="str">
        <f t="shared" si="5"/>
        <v/>
      </c>
    </row>
    <row r="181" spans="1:7" x14ac:dyDescent="0.35">
      <c r="A181" s="21" t="str">
        <f t="shared" si="4"/>
        <v/>
      </c>
      <c r="B181" s="29"/>
      <c r="C181" s="22"/>
      <c r="D181" s="36"/>
      <c r="E181" s="32"/>
      <c r="F181" s="33" t="str">
        <f>IF(B181="","",SUMIFS(Purchase!$W$3:$W$1002,Purchase!$U$3:$U$1002,B181,Purchase!$C$3:$C$1002,C181))</f>
        <v/>
      </c>
      <c r="G181" s="33" t="str">
        <f t="shared" si="5"/>
        <v/>
      </c>
    </row>
    <row r="182" spans="1:7" x14ac:dyDescent="0.35">
      <c r="A182" s="21" t="str">
        <f t="shared" si="4"/>
        <v/>
      </c>
      <c r="B182" s="29"/>
      <c r="C182" s="22"/>
      <c r="D182" s="36"/>
      <c r="E182" s="32"/>
      <c r="F182" s="33" t="str">
        <f>IF(B182="","",SUMIFS(Purchase!$W$3:$W$1002,Purchase!$U$3:$U$1002,B182,Purchase!$C$3:$C$1002,C182))</f>
        <v/>
      </c>
      <c r="G182" s="33" t="str">
        <f t="shared" si="5"/>
        <v/>
      </c>
    </row>
    <row r="183" spans="1:7" x14ac:dyDescent="0.35">
      <c r="A183" s="21" t="str">
        <f t="shared" si="4"/>
        <v/>
      </c>
      <c r="B183" s="29"/>
      <c r="C183" s="22"/>
      <c r="D183" s="36"/>
      <c r="E183" s="32"/>
      <c r="F183" s="33" t="str">
        <f>IF(B183="","",SUMIFS(Purchase!$W$3:$W$1002,Purchase!$U$3:$U$1002,B183,Purchase!$C$3:$C$1002,C183))</f>
        <v/>
      </c>
      <c r="G183" s="33" t="str">
        <f t="shared" si="5"/>
        <v/>
      </c>
    </row>
    <row r="184" spans="1:7" x14ac:dyDescent="0.35">
      <c r="A184" s="21" t="str">
        <f t="shared" si="4"/>
        <v/>
      </c>
      <c r="B184" s="29"/>
      <c r="C184" s="22"/>
      <c r="D184" s="36"/>
      <c r="E184" s="32"/>
      <c r="F184" s="33" t="str">
        <f>IF(B184="","",SUMIFS(Purchase!$W$3:$W$1002,Purchase!$U$3:$U$1002,B184,Purchase!$C$3:$C$1002,C184))</f>
        <v/>
      </c>
      <c r="G184" s="33" t="str">
        <f t="shared" si="5"/>
        <v/>
      </c>
    </row>
    <row r="185" spans="1:7" x14ac:dyDescent="0.35">
      <c r="A185" s="21" t="str">
        <f t="shared" si="4"/>
        <v/>
      </c>
      <c r="B185" s="29"/>
      <c r="C185" s="22"/>
      <c r="D185" s="36"/>
      <c r="E185" s="32"/>
      <c r="F185" s="33" t="str">
        <f>IF(B185="","",SUMIFS(Purchase!$W$3:$W$1002,Purchase!$U$3:$U$1002,B185,Purchase!$C$3:$C$1002,C185))</f>
        <v/>
      </c>
      <c r="G185" s="33" t="str">
        <f t="shared" si="5"/>
        <v/>
      </c>
    </row>
    <row r="186" spans="1:7" x14ac:dyDescent="0.35">
      <c r="A186" s="21" t="str">
        <f t="shared" si="4"/>
        <v/>
      </c>
      <c r="B186" s="29"/>
      <c r="C186" s="22"/>
      <c r="D186" s="36"/>
      <c r="E186" s="32"/>
      <c r="F186" s="33" t="str">
        <f>IF(B186="","",SUMIFS(Purchase!$W$3:$W$1002,Purchase!$U$3:$U$1002,B186,Purchase!$C$3:$C$1002,C186))</f>
        <v/>
      </c>
      <c r="G186" s="33" t="str">
        <f t="shared" si="5"/>
        <v/>
      </c>
    </row>
    <row r="187" spans="1:7" x14ac:dyDescent="0.35">
      <c r="A187" s="21" t="str">
        <f t="shared" si="4"/>
        <v/>
      </c>
      <c r="B187" s="29"/>
      <c r="C187" s="22"/>
      <c r="D187" s="36"/>
      <c r="E187" s="32"/>
      <c r="F187" s="33" t="str">
        <f>IF(B187="","",SUMIFS(Purchase!$W$3:$W$1002,Purchase!$U$3:$U$1002,B187,Purchase!$C$3:$C$1002,C187))</f>
        <v/>
      </c>
      <c r="G187" s="33" t="str">
        <f t="shared" si="5"/>
        <v/>
      </c>
    </row>
    <row r="188" spans="1:7" x14ac:dyDescent="0.35">
      <c r="A188" s="21" t="str">
        <f t="shared" si="4"/>
        <v/>
      </c>
      <c r="B188" s="29"/>
      <c r="C188" s="22"/>
      <c r="D188" s="36"/>
      <c r="E188" s="32"/>
      <c r="F188" s="33" t="str">
        <f>IF(B188="","",SUMIFS(Purchase!$W$3:$W$1002,Purchase!$U$3:$U$1002,B188,Purchase!$C$3:$C$1002,C188))</f>
        <v/>
      </c>
      <c r="G188" s="33" t="str">
        <f t="shared" si="5"/>
        <v/>
      </c>
    </row>
    <row r="189" spans="1:7" x14ac:dyDescent="0.35">
      <c r="A189" s="21" t="str">
        <f t="shared" si="4"/>
        <v/>
      </c>
      <c r="B189" s="29"/>
      <c r="C189" s="22"/>
      <c r="D189" s="36"/>
      <c r="E189" s="32"/>
      <c r="F189" s="33" t="str">
        <f>IF(B189="","",SUMIFS(Purchase!$W$3:$W$1002,Purchase!$U$3:$U$1002,B189,Purchase!$C$3:$C$1002,C189))</f>
        <v/>
      </c>
      <c r="G189" s="33" t="str">
        <f t="shared" si="5"/>
        <v/>
      </c>
    </row>
    <row r="190" spans="1:7" x14ac:dyDescent="0.35">
      <c r="A190" s="21" t="str">
        <f t="shared" si="4"/>
        <v/>
      </c>
      <c r="B190" s="29"/>
      <c r="C190" s="22"/>
      <c r="D190" s="36"/>
      <c r="E190" s="32"/>
      <c r="F190" s="33" t="str">
        <f>IF(B190="","",SUMIFS(Purchase!$W$3:$W$1002,Purchase!$U$3:$U$1002,B190,Purchase!$C$3:$C$1002,C190))</f>
        <v/>
      </c>
      <c r="G190" s="33" t="str">
        <f t="shared" si="5"/>
        <v/>
      </c>
    </row>
    <row r="191" spans="1:7" x14ac:dyDescent="0.35">
      <c r="A191" s="21" t="str">
        <f t="shared" si="4"/>
        <v/>
      </c>
      <c r="B191" s="29"/>
      <c r="C191" s="22"/>
      <c r="D191" s="36"/>
      <c r="E191" s="32"/>
      <c r="F191" s="33" t="str">
        <f>IF(B191="","",SUMIFS(Purchase!$W$3:$W$1002,Purchase!$U$3:$U$1002,B191,Purchase!$C$3:$C$1002,C191))</f>
        <v/>
      </c>
      <c r="G191" s="33" t="str">
        <f t="shared" si="5"/>
        <v/>
      </c>
    </row>
    <row r="192" spans="1:7" x14ac:dyDescent="0.35">
      <c r="A192" s="21" t="str">
        <f t="shared" si="4"/>
        <v/>
      </c>
      <c r="B192" s="29"/>
      <c r="C192" s="22"/>
      <c r="D192" s="36"/>
      <c r="E192" s="32"/>
      <c r="F192" s="33" t="str">
        <f>IF(B192="","",SUMIFS(Purchase!$W$3:$W$1002,Purchase!$U$3:$U$1002,B192,Purchase!$C$3:$C$1002,C192))</f>
        <v/>
      </c>
      <c r="G192" s="33" t="str">
        <f t="shared" si="5"/>
        <v/>
      </c>
    </row>
    <row r="193" spans="1:7" x14ac:dyDescent="0.35">
      <c r="A193" s="21" t="str">
        <f t="shared" si="4"/>
        <v/>
      </c>
      <c r="B193" s="29"/>
      <c r="C193" s="22"/>
      <c r="D193" s="36"/>
      <c r="E193" s="32"/>
      <c r="F193" s="33" t="str">
        <f>IF(B193="","",SUMIFS(Purchase!$W$3:$W$1002,Purchase!$U$3:$U$1002,B193,Purchase!$C$3:$C$1002,C193))</f>
        <v/>
      </c>
      <c r="G193" s="33" t="str">
        <f t="shared" si="5"/>
        <v/>
      </c>
    </row>
    <row r="194" spans="1:7" x14ac:dyDescent="0.35">
      <c r="A194" s="21" t="str">
        <f t="shared" si="4"/>
        <v/>
      </c>
      <c r="B194" s="29"/>
      <c r="C194" s="22"/>
      <c r="D194" s="36"/>
      <c r="E194" s="32"/>
      <c r="F194" s="33" t="str">
        <f>IF(B194="","",SUMIFS(Purchase!$W$3:$W$1002,Purchase!$U$3:$U$1002,B194,Purchase!$C$3:$C$1002,C194))</f>
        <v/>
      </c>
      <c r="G194" s="33" t="str">
        <f t="shared" si="5"/>
        <v/>
      </c>
    </row>
    <row r="195" spans="1:7" x14ac:dyDescent="0.35">
      <c r="A195" s="21" t="str">
        <f t="shared" ref="A195:A258" si="6">IF(COUNTA(B195:E195)=0,"",IF((IF(B195="","Vendor Invoice No, ","")&amp;IF(C195="","Vendor, ","")&amp;IF(D195="","Invoice Date, ","")&amp;IF(E195="","Invoice Total, ",""))&lt;&gt;"","Missing: "&amp;LEFT(IF(B195="","Vendor Invoice No, ","")&amp;IF(C195="","Vendor, ","")&amp;IF(D195="","Invoice Date, ","")&amp;IF(E195="","Invoice Total, ",""),LEN(IF(B195="","Vendor Invoice No, ","")&amp;IF(C195="","Vendor, ","")&amp;IF(D195="","Invoice Date, ","")&amp;IF(E195="","Invoice Total, ",""))-2),IF(COUNTIFS($B$3:$B$302,B195,$C$3:$C$302,C195)&gt;1,"Bill "&amp;B195&amp;" is listed twice",IF(F195=0,"No Purchase row has this bill no for this vendor",IF(ABS(G195)&gt;1,"Bill and rows differ by ₹"&amp;TEXT(G195,"#,##0.00"),"OK")))))</f>
        <v/>
      </c>
      <c r="B195" s="29"/>
      <c r="C195" s="22"/>
      <c r="D195" s="36"/>
      <c r="E195" s="32"/>
      <c r="F195" s="33" t="str">
        <f>IF(B195="","",SUMIFS(Purchase!$W$3:$W$1002,Purchase!$U$3:$U$1002,B195,Purchase!$C$3:$C$1002,C195))</f>
        <v/>
      </c>
      <c r="G195" s="33" t="str">
        <f t="shared" ref="G195:G258" si="7">IF(OR(B195="",E195=""),"",E195-F195)</f>
        <v/>
      </c>
    </row>
    <row r="196" spans="1:7" x14ac:dyDescent="0.35">
      <c r="A196" s="21" t="str">
        <f t="shared" si="6"/>
        <v/>
      </c>
      <c r="B196" s="29"/>
      <c r="C196" s="22"/>
      <c r="D196" s="36"/>
      <c r="E196" s="32"/>
      <c r="F196" s="33" t="str">
        <f>IF(B196="","",SUMIFS(Purchase!$W$3:$W$1002,Purchase!$U$3:$U$1002,B196,Purchase!$C$3:$C$1002,C196))</f>
        <v/>
      </c>
      <c r="G196" s="33" t="str">
        <f t="shared" si="7"/>
        <v/>
      </c>
    </row>
    <row r="197" spans="1:7" x14ac:dyDescent="0.35">
      <c r="A197" s="21" t="str">
        <f t="shared" si="6"/>
        <v/>
      </c>
      <c r="B197" s="29"/>
      <c r="C197" s="22"/>
      <c r="D197" s="36"/>
      <c r="E197" s="32"/>
      <c r="F197" s="33" t="str">
        <f>IF(B197="","",SUMIFS(Purchase!$W$3:$W$1002,Purchase!$U$3:$U$1002,B197,Purchase!$C$3:$C$1002,C197))</f>
        <v/>
      </c>
      <c r="G197" s="33" t="str">
        <f t="shared" si="7"/>
        <v/>
      </c>
    </row>
    <row r="198" spans="1:7" x14ac:dyDescent="0.35">
      <c r="A198" s="21" t="str">
        <f t="shared" si="6"/>
        <v/>
      </c>
      <c r="B198" s="29"/>
      <c r="C198" s="22"/>
      <c r="D198" s="36"/>
      <c r="E198" s="32"/>
      <c r="F198" s="33" t="str">
        <f>IF(B198="","",SUMIFS(Purchase!$W$3:$W$1002,Purchase!$U$3:$U$1002,B198,Purchase!$C$3:$C$1002,C198))</f>
        <v/>
      </c>
      <c r="G198" s="33" t="str">
        <f t="shared" si="7"/>
        <v/>
      </c>
    </row>
    <row r="199" spans="1:7" x14ac:dyDescent="0.35">
      <c r="A199" s="21" t="str">
        <f t="shared" si="6"/>
        <v/>
      </c>
      <c r="B199" s="29"/>
      <c r="C199" s="22"/>
      <c r="D199" s="36"/>
      <c r="E199" s="32"/>
      <c r="F199" s="33" t="str">
        <f>IF(B199="","",SUMIFS(Purchase!$W$3:$W$1002,Purchase!$U$3:$U$1002,B199,Purchase!$C$3:$C$1002,C199))</f>
        <v/>
      </c>
      <c r="G199" s="33" t="str">
        <f t="shared" si="7"/>
        <v/>
      </c>
    </row>
    <row r="200" spans="1:7" x14ac:dyDescent="0.35">
      <c r="A200" s="21" t="str">
        <f t="shared" si="6"/>
        <v/>
      </c>
      <c r="B200" s="29"/>
      <c r="C200" s="22"/>
      <c r="D200" s="36"/>
      <c r="E200" s="32"/>
      <c r="F200" s="33" t="str">
        <f>IF(B200="","",SUMIFS(Purchase!$W$3:$W$1002,Purchase!$U$3:$U$1002,B200,Purchase!$C$3:$C$1002,C200))</f>
        <v/>
      </c>
      <c r="G200" s="33" t="str">
        <f t="shared" si="7"/>
        <v/>
      </c>
    </row>
    <row r="201" spans="1:7" x14ac:dyDescent="0.35">
      <c r="A201" s="21" t="str">
        <f t="shared" si="6"/>
        <v/>
      </c>
      <c r="B201" s="29"/>
      <c r="C201" s="22"/>
      <c r="D201" s="36"/>
      <c r="E201" s="32"/>
      <c r="F201" s="33" t="str">
        <f>IF(B201="","",SUMIFS(Purchase!$W$3:$W$1002,Purchase!$U$3:$U$1002,B201,Purchase!$C$3:$C$1002,C201))</f>
        <v/>
      </c>
      <c r="G201" s="33" t="str">
        <f t="shared" si="7"/>
        <v/>
      </c>
    </row>
    <row r="202" spans="1:7" x14ac:dyDescent="0.35">
      <c r="A202" s="21" t="str">
        <f t="shared" si="6"/>
        <v/>
      </c>
      <c r="B202" s="29"/>
      <c r="C202" s="22"/>
      <c r="D202" s="36"/>
      <c r="E202" s="32"/>
      <c r="F202" s="33" t="str">
        <f>IF(B202="","",SUMIFS(Purchase!$W$3:$W$1002,Purchase!$U$3:$U$1002,B202,Purchase!$C$3:$C$1002,C202))</f>
        <v/>
      </c>
      <c r="G202" s="33" t="str">
        <f t="shared" si="7"/>
        <v/>
      </c>
    </row>
    <row r="203" spans="1:7" x14ac:dyDescent="0.35">
      <c r="A203" s="21" t="str">
        <f t="shared" si="6"/>
        <v/>
      </c>
      <c r="B203" s="29"/>
      <c r="C203" s="22"/>
      <c r="D203" s="36"/>
      <c r="E203" s="32"/>
      <c r="F203" s="33" t="str">
        <f>IF(B203="","",SUMIFS(Purchase!$W$3:$W$1002,Purchase!$U$3:$U$1002,B203,Purchase!$C$3:$C$1002,C203))</f>
        <v/>
      </c>
      <c r="G203" s="33" t="str">
        <f t="shared" si="7"/>
        <v/>
      </c>
    </row>
    <row r="204" spans="1:7" x14ac:dyDescent="0.35">
      <c r="A204" s="21" t="str">
        <f t="shared" si="6"/>
        <v/>
      </c>
      <c r="B204" s="29"/>
      <c r="C204" s="22"/>
      <c r="D204" s="36"/>
      <c r="E204" s="32"/>
      <c r="F204" s="33" t="str">
        <f>IF(B204="","",SUMIFS(Purchase!$W$3:$W$1002,Purchase!$U$3:$U$1002,B204,Purchase!$C$3:$C$1002,C204))</f>
        <v/>
      </c>
      <c r="G204" s="33" t="str">
        <f t="shared" si="7"/>
        <v/>
      </c>
    </row>
    <row r="205" spans="1:7" x14ac:dyDescent="0.35">
      <c r="A205" s="21" t="str">
        <f t="shared" si="6"/>
        <v/>
      </c>
      <c r="B205" s="29"/>
      <c r="C205" s="22"/>
      <c r="D205" s="36"/>
      <c r="E205" s="32"/>
      <c r="F205" s="33" t="str">
        <f>IF(B205="","",SUMIFS(Purchase!$W$3:$W$1002,Purchase!$U$3:$U$1002,B205,Purchase!$C$3:$C$1002,C205))</f>
        <v/>
      </c>
      <c r="G205" s="33" t="str">
        <f t="shared" si="7"/>
        <v/>
      </c>
    </row>
    <row r="206" spans="1:7" x14ac:dyDescent="0.35">
      <c r="A206" s="21" t="str">
        <f t="shared" si="6"/>
        <v/>
      </c>
      <c r="B206" s="29"/>
      <c r="C206" s="22"/>
      <c r="D206" s="36"/>
      <c r="E206" s="32"/>
      <c r="F206" s="33" t="str">
        <f>IF(B206="","",SUMIFS(Purchase!$W$3:$W$1002,Purchase!$U$3:$U$1002,B206,Purchase!$C$3:$C$1002,C206))</f>
        <v/>
      </c>
      <c r="G206" s="33" t="str">
        <f t="shared" si="7"/>
        <v/>
      </c>
    </row>
    <row r="207" spans="1:7" x14ac:dyDescent="0.35">
      <c r="A207" s="21" t="str">
        <f t="shared" si="6"/>
        <v/>
      </c>
      <c r="B207" s="29"/>
      <c r="C207" s="22"/>
      <c r="D207" s="36"/>
      <c r="E207" s="32"/>
      <c r="F207" s="33" t="str">
        <f>IF(B207="","",SUMIFS(Purchase!$W$3:$W$1002,Purchase!$U$3:$U$1002,B207,Purchase!$C$3:$C$1002,C207))</f>
        <v/>
      </c>
      <c r="G207" s="33" t="str">
        <f t="shared" si="7"/>
        <v/>
      </c>
    </row>
    <row r="208" spans="1:7" x14ac:dyDescent="0.35">
      <c r="A208" s="21" t="str">
        <f t="shared" si="6"/>
        <v/>
      </c>
      <c r="B208" s="29"/>
      <c r="C208" s="22"/>
      <c r="D208" s="36"/>
      <c r="E208" s="32"/>
      <c r="F208" s="33" t="str">
        <f>IF(B208="","",SUMIFS(Purchase!$W$3:$W$1002,Purchase!$U$3:$U$1002,B208,Purchase!$C$3:$C$1002,C208))</f>
        <v/>
      </c>
      <c r="G208" s="33" t="str">
        <f t="shared" si="7"/>
        <v/>
      </c>
    </row>
    <row r="209" spans="1:7" x14ac:dyDescent="0.35">
      <c r="A209" s="21" t="str">
        <f t="shared" si="6"/>
        <v/>
      </c>
      <c r="B209" s="29"/>
      <c r="C209" s="22"/>
      <c r="D209" s="36"/>
      <c r="E209" s="32"/>
      <c r="F209" s="33" t="str">
        <f>IF(B209="","",SUMIFS(Purchase!$W$3:$W$1002,Purchase!$U$3:$U$1002,B209,Purchase!$C$3:$C$1002,C209))</f>
        <v/>
      </c>
      <c r="G209" s="33" t="str">
        <f t="shared" si="7"/>
        <v/>
      </c>
    </row>
    <row r="210" spans="1:7" x14ac:dyDescent="0.35">
      <c r="A210" s="21" t="str">
        <f t="shared" si="6"/>
        <v/>
      </c>
      <c r="B210" s="29"/>
      <c r="C210" s="22"/>
      <c r="D210" s="36"/>
      <c r="E210" s="32"/>
      <c r="F210" s="33" t="str">
        <f>IF(B210="","",SUMIFS(Purchase!$W$3:$W$1002,Purchase!$U$3:$U$1002,B210,Purchase!$C$3:$C$1002,C210))</f>
        <v/>
      </c>
      <c r="G210" s="33" t="str">
        <f t="shared" si="7"/>
        <v/>
      </c>
    </row>
    <row r="211" spans="1:7" x14ac:dyDescent="0.35">
      <c r="A211" s="21" t="str">
        <f t="shared" si="6"/>
        <v/>
      </c>
      <c r="B211" s="29"/>
      <c r="C211" s="22"/>
      <c r="D211" s="36"/>
      <c r="E211" s="32"/>
      <c r="F211" s="33" t="str">
        <f>IF(B211="","",SUMIFS(Purchase!$W$3:$W$1002,Purchase!$U$3:$U$1002,B211,Purchase!$C$3:$C$1002,C211))</f>
        <v/>
      </c>
      <c r="G211" s="33" t="str">
        <f t="shared" si="7"/>
        <v/>
      </c>
    </row>
    <row r="212" spans="1:7" x14ac:dyDescent="0.35">
      <c r="A212" s="21" t="str">
        <f t="shared" si="6"/>
        <v/>
      </c>
      <c r="B212" s="29"/>
      <c r="C212" s="22"/>
      <c r="D212" s="36"/>
      <c r="E212" s="32"/>
      <c r="F212" s="33" t="str">
        <f>IF(B212="","",SUMIFS(Purchase!$W$3:$W$1002,Purchase!$U$3:$U$1002,B212,Purchase!$C$3:$C$1002,C212))</f>
        <v/>
      </c>
      <c r="G212" s="33" t="str">
        <f t="shared" si="7"/>
        <v/>
      </c>
    </row>
    <row r="213" spans="1:7" x14ac:dyDescent="0.35">
      <c r="A213" s="21" t="str">
        <f t="shared" si="6"/>
        <v/>
      </c>
      <c r="B213" s="29"/>
      <c r="C213" s="22"/>
      <c r="D213" s="36"/>
      <c r="E213" s="32"/>
      <c r="F213" s="33" t="str">
        <f>IF(B213="","",SUMIFS(Purchase!$W$3:$W$1002,Purchase!$U$3:$U$1002,B213,Purchase!$C$3:$C$1002,C213))</f>
        <v/>
      </c>
      <c r="G213" s="33" t="str">
        <f t="shared" si="7"/>
        <v/>
      </c>
    </row>
    <row r="214" spans="1:7" x14ac:dyDescent="0.35">
      <c r="A214" s="21" t="str">
        <f t="shared" si="6"/>
        <v/>
      </c>
      <c r="B214" s="29"/>
      <c r="C214" s="22"/>
      <c r="D214" s="36"/>
      <c r="E214" s="32"/>
      <c r="F214" s="33" t="str">
        <f>IF(B214="","",SUMIFS(Purchase!$W$3:$W$1002,Purchase!$U$3:$U$1002,B214,Purchase!$C$3:$C$1002,C214))</f>
        <v/>
      </c>
      <c r="G214" s="33" t="str">
        <f t="shared" si="7"/>
        <v/>
      </c>
    </row>
    <row r="215" spans="1:7" x14ac:dyDescent="0.35">
      <c r="A215" s="21" t="str">
        <f t="shared" si="6"/>
        <v/>
      </c>
      <c r="B215" s="29"/>
      <c r="C215" s="22"/>
      <c r="D215" s="36"/>
      <c r="E215" s="32"/>
      <c r="F215" s="33" t="str">
        <f>IF(B215="","",SUMIFS(Purchase!$W$3:$W$1002,Purchase!$U$3:$U$1002,B215,Purchase!$C$3:$C$1002,C215))</f>
        <v/>
      </c>
      <c r="G215" s="33" t="str">
        <f t="shared" si="7"/>
        <v/>
      </c>
    </row>
    <row r="216" spans="1:7" x14ac:dyDescent="0.35">
      <c r="A216" s="21" t="str">
        <f t="shared" si="6"/>
        <v/>
      </c>
      <c r="B216" s="29"/>
      <c r="C216" s="22"/>
      <c r="D216" s="36"/>
      <c r="E216" s="32"/>
      <c r="F216" s="33" t="str">
        <f>IF(B216="","",SUMIFS(Purchase!$W$3:$W$1002,Purchase!$U$3:$U$1002,B216,Purchase!$C$3:$C$1002,C216))</f>
        <v/>
      </c>
      <c r="G216" s="33" t="str">
        <f t="shared" si="7"/>
        <v/>
      </c>
    </row>
    <row r="217" spans="1:7" x14ac:dyDescent="0.35">
      <c r="A217" s="21" t="str">
        <f t="shared" si="6"/>
        <v/>
      </c>
      <c r="B217" s="29"/>
      <c r="C217" s="22"/>
      <c r="D217" s="36"/>
      <c r="E217" s="32"/>
      <c r="F217" s="33" t="str">
        <f>IF(B217="","",SUMIFS(Purchase!$W$3:$W$1002,Purchase!$U$3:$U$1002,B217,Purchase!$C$3:$C$1002,C217))</f>
        <v/>
      </c>
      <c r="G217" s="33" t="str">
        <f t="shared" si="7"/>
        <v/>
      </c>
    </row>
    <row r="218" spans="1:7" x14ac:dyDescent="0.35">
      <c r="A218" s="21" t="str">
        <f t="shared" si="6"/>
        <v/>
      </c>
      <c r="B218" s="29"/>
      <c r="C218" s="22"/>
      <c r="D218" s="36"/>
      <c r="E218" s="32"/>
      <c r="F218" s="33" t="str">
        <f>IF(B218="","",SUMIFS(Purchase!$W$3:$W$1002,Purchase!$U$3:$U$1002,B218,Purchase!$C$3:$C$1002,C218))</f>
        <v/>
      </c>
      <c r="G218" s="33" t="str">
        <f t="shared" si="7"/>
        <v/>
      </c>
    </row>
    <row r="219" spans="1:7" x14ac:dyDescent="0.35">
      <c r="A219" s="21" t="str">
        <f t="shared" si="6"/>
        <v/>
      </c>
      <c r="B219" s="29"/>
      <c r="C219" s="22"/>
      <c r="D219" s="36"/>
      <c r="E219" s="32"/>
      <c r="F219" s="33" t="str">
        <f>IF(B219="","",SUMIFS(Purchase!$W$3:$W$1002,Purchase!$U$3:$U$1002,B219,Purchase!$C$3:$C$1002,C219))</f>
        <v/>
      </c>
      <c r="G219" s="33" t="str">
        <f t="shared" si="7"/>
        <v/>
      </c>
    </row>
    <row r="220" spans="1:7" x14ac:dyDescent="0.35">
      <c r="A220" s="21" t="str">
        <f t="shared" si="6"/>
        <v/>
      </c>
      <c r="B220" s="29"/>
      <c r="C220" s="22"/>
      <c r="D220" s="36"/>
      <c r="E220" s="32"/>
      <c r="F220" s="33" t="str">
        <f>IF(B220="","",SUMIFS(Purchase!$W$3:$W$1002,Purchase!$U$3:$U$1002,B220,Purchase!$C$3:$C$1002,C220))</f>
        <v/>
      </c>
      <c r="G220" s="33" t="str">
        <f t="shared" si="7"/>
        <v/>
      </c>
    </row>
    <row r="221" spans="1:7" x14ac:dyDescent="0.35">
      <c r="A221" s="21" t="str">
        <f t="shared" si="6"/>
        <v/>
      </c>
      <c r="B221" s="29"/>
      <c r="C221" s="22"/>
      <c r="D221" s="36"/>
      <c r="E221" s="32"/>
      <c r="F221" s="33" t="str">
        <f>IF(B221="","",SUMIFS(Purchase!$W$3:$W$1002,Purchase!$U$3:$U$1002,B221,Purchase!$C$3:$C$1002,C221))</f>
        <v/>
      </c>
      <c r="G221" s="33" t="str">
        <f t="shared" si="7"/>
        <v/>
      </c>
    </row>
    <row r="222" spans="1:7" x14ac:dyDescent="0.35">
      <c r="A222" s="21" t="str">
        <f t="shared" si="6"/>
        <v/>
      </c>
      <c r="B222" s="29"/>
      <c r="C222" s="22"/>
      <c r="D222" s="36"/>
      <c r="E222" s="32"/>
      <c r="F222" s="33" t="str">
        <f>IF(B222="","",SUMIFS(Purchase!$W$3:$W$1002,Purchase!$U$3:$U$1002,B222,Purchase!$C$3:$C$1002,C222))</f>
        <v/>
      </c>
      <c r="G222" s="33" t="str">
        <f t="shared" si="7"/>
        <v/>
      </c>
    </row>
    <row r="223" spans="1:7" x14ac:dyDescent="0.35">
      <c r="A223" s="21" t="str">
        <f t="shared" si="6"/>
        <v/>
      </c>
      <c r="B223" s="29"/>
      <c r="C223" s="22"/>
      <c r="D223" s="36"/>
      <c r="E223" s="32"/>
      <c r="F223" s="33" t="str">
        <f>IF(B223="","",SUMIFS(Purchase!$W$3:$W$1002,Purchase!$U$3:$U$1002,B223,Purchase!$C$3:$C$1002,C223))</f>
        <v/>
      </c>
      <c r="G223" s="33" t="str">
        <f t="shared" si="7"/>
        <v/>
      </c>
    </row>
    <row r="224" spans="1:7" x14ac:dyDescent="0.35">
      <c r="A224" s="21" t="str">
        <f t="shared" si="6"/>
        <v/>
      </c>
      <c r="B224" s="29"/>
      <c r="C224" s="22"/>
      <c r="D224" s="36"/>
      <c r="E224" s="32"/>
      <c r="F224" s="33" t="str">
        <f>IF(B224="","",SUMIFS(Purchase!$W$3:$W$1002,Purchase!$U$3:$U$1002,B224,Purchase!$C$3:$C$1002,C224))</f>
        <v/>
      </c>
      <c r="G224" s="33" t="str">
        <f t="shared" si="7"/>
        <v/>
      </c>
    </row>
    <row r="225" spans="1:7" x14ac:dyDescent="0.35">
      <c r="A225" s="21" t="str">
        <f t="shared" si="6"/>
        <v/>
      </c>
      <c r="B225" s="29"/>
      <c r="C225" s="22"/>
      <c r="D225" s="36"/>
      <c r="E225" s="32"/>
      <c r="F225" s="33" t="str">
        <f>IF(B225="","",SUMIFS(Purchase!$W$3:$W$1002,Purchase!$U$3:$U$1002,B225,Purchase!$C$3:$C$1002,C225))</f>
        <v/>
      </c>
      <c r="G225" s="33" t="str">
        <f t="shared" si="7"/>
        <v/>
      </c>
    </row>
    <row r="226" spans="1:7" x14ac:dyDescent="0.35">
      <c r="A226" s="21" t="str">
        <f t="shared" si="6"/>
        <v/>
      </c>
      <c r="B226" s="29"/>
      <c r="C226" s="22"/>
      <c r="D226" s="36"/>
      <c r="E226" s="32"/>
      <c r="F226" s="33" t="str">
        <f>IF(B226="","",SUMIFS(Purchase!$W$3:$W$1002,Purchase!$U$3:$U$1002,B226,Purchase!$C$3:$C$1002,C226))</f>
        <v/>
      </c>
      <c r="G226" s="33" t="str">
        <f t="shared" si="7"/>
        <v/>
      </c>
    </row>
    <row r="227" spans="1:7" x14ac:dyDescent="0.35">
      <c r="A227" s="21" t="str">
        <f t="shared" si="6"/>
        <v/>
      </c>
      <c r="B227" s="29"/>
      <c r="C227" s="22"/>
      <c r="D227" s="36"/>
      <c r="E227" s="32"/>
      <c r="F227" s="33" t="str">
        <f>IF(B227="","",SUMIFS(Purchase!$W$3:$W$1002,Purchase!$U$3:$U$1002,B227,Purchase!$C$3:$C$1002,C227))</f>
        <v/>
      </c>
      <c r="G227" s="33" t="str">
        <f t="shared" si="7"/>
        <v/>
      </c>
    </row>
    <row r="228" spans="1:7" x14ac:dyDescent="0.35">
      <c r="A228" s="21" t="str">
        <f t="shared" si="6"/>
        <v/>
      </c>
      <c r="B228" s="29"/>
      <c r="C228" s="22"/>
      <c r="D228" s="36"/>
      <c r="E228" s="32"/>
      <c r="F228" s="33" t="str">
        <f>IF(B228="","",SUMIFS(Purchase!$W$3:$W$1002,Purchase!$U$3:$U$1002,B228,Purchase!$C$3:$C$1002,C228))</f>
        <v/>
      </c>
      <c r="G228" s="33" t="str">
        <f t="shared" si="7"/>
        <v/>
      </c>
    </row>
    <row r="229" spans="1:7" x14ac:dyDescent="0.35">
      <c r="A229" s="21" t="str">
        <f t="shared" si="6"/>
        <v/>
      </c>
      <c r="B229" s="29"/>
      <c r="C229" s="22"/>
      <c r="D229" s="36"/>
      <c r="E229" s="32"/>
      <c r="F229" s="33" t="str">
        <f>IF(B229="","",SUMIFS(Purchase!$W$3:$W$1002,Purchase!$U$3:$U$1002,B229,Purchase!$C$3:$C$1002,C229))</f>
        <v/>
      </c>
      <c r="G229" s="33" t="str">
        <f t="shared" si="7"/>
        <v/>
      </c>
    </row>
    <row r="230" spans="1:7" x14ac:dyDescent="0.35">
      <c r="A230" s="21" t="str">
        <f t="shared" si="6"/>
        <v/>
      </c>
      <c r="B230" s="29"/>
      <c r="C230" s="22"/>
      <c r="D230" s="36"/>
      <c r="E230" s="32"/>
      <c r="F230" s="33" t="str">
        <f>IF(B230="","",SUMIFS(Purchase!$W$3:$W$1002,Purchase!$U$3:$U$1002,B230,Purchase!$C$3:$C$1002,C230))</f>
        <v/>
      </c>
      <c r="G230" s="33" t="str">
        <f t="shared" si="7"/>
        <v/>
      </c>
    </row>
    <row r="231" spans="1:7" x14ac:dyDescent="0.35">
      <c r="A231" s="21" t="str">
        <f t="shared" si="6"/>
        <v/>
      </c>
      <c r="B231" s="29"/>
      <c r="C231" s="22"/>
      <c r="D231" s="36"/>
      <c r="E231" s="32"/>
      <c r="F231" s="33" t="str">
        <f>IF(B231="","",SUMIFS(Purchase!$W$3:$W$1002,Purchase!$U$3:$U$1002,B231,Purchase!$C$3:$C$1002,C231))</f>
        <v/>
      </c>
      <c r="G231" s="33" t="str">
        <f t="shared" si="7"/>
        <v/>
      </c>
    </row>
    <row r="232" spans="1:7" x14ac:dyDescent="0.35">
      <c r="A232" s="21" t="str">
        <f t="shared" si="6"/>
        <v/>
      </c>
      <c r="B232" s="29"/>
      <c r="C232" s="22"/>
      <c r="D232" s="36"/>
      <c r="E232" s="32"/>
      <c r="F232" s="33" t="str">
        <f>IF(B232="","",SUMIFS(Purchase!$W$3:$W$1002,Purchase!$U$3:$U$1002,B232,Purchase!$C$3:$C$1002,C232))</f>
        <v/>
      </c>
      <c r="G232" s="33" t="str">
        <f t="shared" si="7"/>
        <v/>
      </c>
    </row>
    <row r="233" spans="1:7" x14ac:dyDescent="0.35">
      <c r="A233" s="21" t="str">
        <f t="shared" si="6"/>
        <v/>
      </c>
      <c r="B233" s="29"/>
      <c r="C233" s="22"/>
      <c r="D233" s="36"/>
      <c r="E233" s="32"/>
      <c r="F233" s="33" t="str">
        <f>IF(B233="","",SUMIFS(Purchase!$W$3:$W$1002,Purchase!$U$3:$U$1002,B233,Purchase!$C$3:$C$1002,C233))</f>
        <v/>
      </c>
      <c r="G233" s="33" t="str">
        <f t="shared" si="7"/>
        <v/>
      </c>
    </row>
    <row r="234" spans="1:7" x14ac:dyDescent="0.35">
      <c r="A234" s="21" t="str">
        <f t="shared" si="6"/>
        <v/>
      </c>
      <c r="B234" s="29"/>
      <c r="C234" s="22"/>
      <c r="D234" s="36"/>
      <c r="E234" s="32"/>
      <c r="F234" s="33" t="str">
        <f>IF(B234="","",SUMIFS(Purchase!$W$3:$W$1002,Purchase!$U$3:$U$1002,B234,Purchase!$C$3:$C$1002,C234))</f>
        <v/>
      </c>
      <c r="G234" s="33" t="str">
        <f t="shared" si="7"/>
        <v/>
      </c>
    </row>
    <row r="235" spans="1:7" x14ac:dyDescent="0.35">
      <c r="A235" s="21" t="str">
        <f t="shared" si="6"/>
        <v/>
      </c>
      <c r="B235" s="29"/>
      <c r="C235" s="22"/>
      <c r="D235" s="36"/>
      <c r="E235" s="32"/>
      <c r="F235" s="33" t="str">
        <f>IF(B235="","",SUMIFS(Purchase!$W$3:$W$1002,Purchase!$U$3:$U$1002,B235,Purchase!$C$3:$C$1002,C235))</f>
        <v/>
      </c>
      <c r="G235" s="33" t="str">
        <f t="shared" si="7"/>
        <v/>
      </c>
    </row>
    <row r="236" spans="1:7" x14ac:dyDescent="0.35">
      <c r="A236" s="21" t="str">
        <f t="shared" si="6"/>
        <v/>
      </c>
      <c r="B236" s="29"/>
      <c r="C236" s="22"/>
      <c r="D236" s="36"/>
      <c r="E236" s="32"/>
      <c r="F236" s="33" t="str">
        <f>IF(B236="","",SUMIFS(Purchase!$W$3:$W$1002,Purchase!$U$3:$U$1002,B236,Purchase!$C$3:$C$1002,C236))</f>
        <v/>
      </c>
      <c r="G236" s="33" t="str">
        <f t="shared" si="7"/>
        <v/>
      </c>
    </row>
    <row r="237" spans="1:7" x14ac:dyDescent="0.35">
      <c r="A237" s="21" t="str">
        <f t="shared" si="6"/>
        <v/>
      </c>
      <c r="B237" s="29"/>
      <c r="C237" s="22"/>
      <c r="D237" s="36"/>
      <c r="E237" s="32"/>
      <c r="F237" s="33" t="str">
        <f>IF(B237="","",SUMIFS(Purchase!$W$3:$W$1002,Purchase!$U$3:$U$1002,B237,Purchase!$C$3:$C$1002,C237))</f>
        <v/>
      </c>
      <c r="G237" s="33" t="str">
        <f t="shared" si="7"/>
        <v/>
      </c>
    </row>
    <row r="238" spans="1:7" x14ac:dyDescent="0.35">
      <c r="A238" s="21" t="str">
        <f t="shared" si="6"/>
        <v/>
      </c>
      <c r="B238" s="29"/>
      <c r="C238" s="22"/>
      <c r="D238" s="36"/>
      <c r="E238" s="32"/>
      <c r="F238" s="33" t="str">
        <f>IF(B238="","",SUMIFS(Purchase!$W$3:$W$1002,Purchase!$U$3:$U$1002,B238,Purchase!$C$3:$C$1002,C238))</f>
        <v/>
      </c>
      <c r="G238" s="33" t="str">
        <f t="shared" si="7"/>
        <v/>
      </c>
    </row>
    <row r="239" spans="1:7" x14ac:dyDescent="0.35">
      <c r="A239" s="21" t="str">
        <f t="shared" si="6"/>
        <v/>
      </c>
      <c r="B239" s="29"/>
      <c r="C239" s="22"/>
      <c r="D239" s="36"/>
      <c r="E239" s="32"/>
      <c r="F239" s="33" t="str">
        <f>IF(B239="","",SUMIFS(Purchase!$W$3:$W$1002,Purchase!$U$3:$U$1002,B239,Purchase!$C$3:$C$1002,C239))</f>
        <v/>
      </c>
      <c r="G239" s="33" t="str">
        <f t="shared" si="7"/>
        <v/>
      </c>
    </row>
    <row r="240" spans="1:7" x14ac:dyDescent="0.35">
      <c r="A240" s="21" t="str">
        <f t="shared" si="6"/>
        <v/>
      </c>
      <c r="B240" s="29"/>
      <c r="C240" s="22"/>
      <c r="D240" s="36"/>
      <c r="E240" s="32"/>
      <c r="F240" s="33" t="str">
        <f>IF(B240="","",SUMIFS(Purchase!$W$3:$W$1002,Purchase!$U$3:$U$1002,B240,Purchase!$C$3:$C$1002,C240))</f>
        <v/>
      </c>
      <c r="G240" s="33" t="str">
        <f t="shared" si="7"/>
        <v/>
      </c>
    </row>
    <row r="241" spans="1:7" x14ac:dyDescent="0.35">
      <c r="A241" s="21" t="str">
        <f t="shared" si="6"/>
        <v/>
      </c>
      <c r="B241" s="29"/>
      <c r="C241" s="22"/>
      <c r="D241" s="36"/>
      <c r="E241" s="32"/>
      <c r="F241" s="33" t="str">
        <f>IF(B241="","",SUMIFS(Purchase!$W$3:$W$1002,Purchase!$U$3:$U$1002,B241,Purchase!$C$3:$C$1002,C241))</f>
        <v/>
      </c>
      <c r="G241" s="33" t="str">
        <f t="shared" si="7"/>
        <v/>
      </c>
    </row>
    <row r="242" spans="1:7" x14ac:dyDescent="0.35">
      <c r="A242" s="21" t="str">
        <f t="shared" si="6"/>
        <v/>
      </c>
      <c r="B242" s="29"/>
      <c r="C242" s="22"/>
      <c r="D242" s="36"/>
      <c r="E242" s="32"/>
      <c r="F242" s="33" t="str">
        <f>IF(B242="","",SUMIFS(Purchase!$W$3:$W$1002,Purchase!$U$3:$U$1002,B242,Purchase!$C$3:$C$1002,C242))</f>
        <v/>
      </c>
      <c r="G242" s="33" t="str">
        <f t="shared" si="7"/>
        <v/>
      </c>
    </row>
    <row r="243" spans="1:7" x14ac:dyDescent="0.35">
      <c r="A243" s="21" t="str">
        <f t="shared" si="6"/>
        <v/>
      </c>
      <c r="B243" s="29"/>
      <c r="C243" s="22"/>
      <c r="D243" s="36"/>
      <c r="E243" s="32"/>
      <c r="F243" s="33" t="str">
        <f>IF(B243="","",SUMIFS(Purchase!$W$3:$W$1002,Purchase!$U$3:$U$1002,B243,Purchase!$C$3:$C$1002,C243))</f>
        <v/>
      </c>
      <c r="G243" s="33" t="str">
        <f t="shared" si="7"/>
        <v/>
      </c>
    </row>
    <row r="244" spans="1:7" x14ac:dyDescent="0.35">
      <c r="A244" s="21" t="str">
        <f t="shared" si="6"/>
        <v/>
      </c>
      <c r="B244" s="29"/>
      <c r="C244" s="22"/>
      <c r="D244" s="36"/>
      <c r="E244" s="32"/>
      <c r="F244" s="33" t="str">
        <f>IF(B244="","",SUMIFS(Purchase!$W$3:$W$1002,Purchase!$U$3:$U$1002,B244,Purchase!$C$3:$C$1002,C244))</f>
        <v/>
      </c>
      <c r="G244" s="33" t="str">
        <f t="shared" si="7"/>
        <v/>
      </c>
    </row>
    <row r="245" spans="1:7" x14ac:dyDescent="0.35">
      <c r="A245" s="21" t="str">
        <f t="shared" si="6"/>
        <v/>
      </c>
      <c r="B245" s="29"/>
      <c r="C245" s="22"/>
      <c r="D245" s="36"/>
      <c r="E245" s="32"/>
      <c r="F245" s="33" t="str">
        <f>IF(B245="","",SUMIFS(Purchase!$W$3:$W$1002,Purchase!$U$3:$U$1002,B245,Purchase!$C$3:$C$1002,C245))</f>
        <v/>
      </c>
      <c r="G245" s="33" t="str">
        <f t="shared" si="7"/>
        <v/>
      </c>
    </row>
    <row r="246" spans="1:7" x14ac:dyDescent="0.35">
      <c r="A246" s="21" t="str">
        <f t="shared" si="6"/>
        <v/>
      </c>
      <c r="B246" s="29"/>
      <c r="C246" s="22"/>
      <c r="D246" s="36"/>
      <c r="E246" s="32"/>
      <c r="F246" s="33" t="str">
        <f>IF(B246="","",SUMIFS(Purchase!$W$3:$W$1002,Purchase!$U$3:$U$1002,B246,Purchase!$C$3:$C$1002,C246))</f>
        <v/>
      </c>
      <c r="G246" s="33" t="str">
        <f t="shared" si="7"/>
        <v/>
      </c>
    </row>
    <row r="247" spans="1:7" x14ac:dyDescent="0.35">
      <c r="A247" s="21" t="str">
        <f t="shared" si="6"/>
        <v/>
      </c>
      <c r="B247" s="29"/>
      <c r="C247" s="22"/>
      <c r="D247" s="36"/>
      <c r="E247" s="32"/>
      <c r="F247" s="33" t="str">
        <f>IF(B247="","",SUMIFS(Purchase!$W$3:$W$1002,Purchase!$U$3:$U$1002,B247,Purchase!$C$3:$C$1002,C247))</f>
        <v/>
      </c>
      <c r="G247" s="33" t="str">
        <f t="shared" si="7"/>
        <v/>
      </c>
    </row>
    <row r="248" spans="1:7" x14ac:dyDescent="0.35">
      <c r="A248" s="21" t="str">
        <f t="shared" si="6"/>
        <v/>
      </c>
      <c r="B248" s="29"/>
      <c r="C248" s="22"/>
      <c r="D248" s="36"/>
      <c r="E248" s="32"/>
      <c r="F248" s="33" t="str">
        <f>IF(B248="","",SUMIFS(Purchase!$W$3:$W$1002,Purchase!$U$3:$U$1002,B248,Purchase!$C$3:$C$1002,C248))</f>
        <v/>
      </c>
      <c r="G248" s="33" t="str">
        <f t="shared" si="7"/>
        <v/>
      </c>
    </row>
    <row r="249" spans="1:7" x14ac:dyDescent="0.35">
      <c r="A249" s="21" t="str">
        <f t="shared" si="6"/>
        <v/>
      </c>
      <c r="B249" s="29"/>
      <c r="C249" s="22"/>
      <c r="D249" s="36"/>
      <c r="E249" s="32"/>
      <c r="F249" s="33" t="str">
        <f>IF(B249="","",SUMIFS(Purchase!$W$3:$W$1002,Purchase!$U$3:$U$1002,B249,Purchase!$C$3:$C$1002,C249))</f>
        <v/>
      </c>
      <c r="G249" s="33" t="str">
        <f t="shared" si="7"/>
        <v/>
      </c>
    </row>
    <row r="250" spans="1:7" x14ac:dyDescent="0.35">
      <c r="A250" s="21" t="str">
        <f t="shared" si="6"/>
        <v/>
      </c>
      <c r="B250" s="29"/>
      <c r="C250" s="22"/>
      <c r="D250" s="36"/>
      <c r="E250" s="32"/>
      <c r="F250" s="33" t="str">
        <f>IF(B250="","",SUMIFS(Purchase!$W$3:$W$1002,Purchase!$U$3:$U$1002,B250,Purchase!$C$3:$C$1002,C250))</f>
        <v/>
      </c>
      <c r="G250" s="33" t="str">
        <f t="shared" si="7"/>
        <v/>
      </c>
    </row>
    <row r="251" spans="1:7" x14ac:dyDescent="0.35">
      <c r="A251" s="21" t="str">
        <f t="shared" si="6"/>
        <v/>
      </c>
      <c r="B251" s="29"/>
      <c r="C251" s="22"/>
      <c r="D251" s="36"/>
      <c r="E251" s="32"/>
      <c r="F251" s="33" t="str">
        <f>IF(B251="","",SUMIFS(Purchase!$W$3:$W$1002,Purchase!$U$3:$U$1002,B251,Purchase!$C$3:$C$1002,C251))</f>
        <v/>
      </c>
      <c r="G251" s="33" t="str">
        <f t="shared" si="7"/>
        <v/>
      </c>
    </row>
    <row r="252" spans="1:7" x14ac:dyDescent="0.35">
      <c r="A252" s="21" t="str">
        <f t="shared" si="6"/>
        <v/>
      </c>
      <c r="B252" s="29"/>
      <c r="C252" s="22"/>
      <c r="D252" s="36"/>
      <c r="E252" s="32"/>
      <c r="F252" s="33" t="str">
        <f>IF(B252="","",SUMIFS(Purchase!$W$3:$W$1002,Purchase!$U$3:$U$1002,B252,Purchase!$C$3:$C$1002,C252))</f>
        <v/>
      </c>
      <c r="G252" s="33" t="str">
        <f t="shared" si="7"/>
        <v/>
      </c>
    </row>
    <row r="253" spans="1:7" x14ac:dyDescent="0.35">
      <c r="A253" s="21" t="str">
        <f t="shared" si="6"/>
        <v/>
      </c>
      <c r="B253" s="29"/>
      <c r="C253" s="22"/>
      <c r="D253" s="36"/>
      <c r="E253" s="32"/>
      <c r="F253" s="33" t="str">
        <f>IF(B253="","",SUMIFS(Purchase!$W$3:$W$1002,Purchase!$U$3:$U$1002,B253,Purchase!$C$3:$C$1002,C253))</f>
        <v/>
      </c>
      <c r="G253" s="33" t="str">
        <f t="shared" si="7"/>
        <v/>
      </c>
    </row>
    <row r="254" spans="1:7" x14ac:dyDescent="0.35">
      <c r="A254" s="21" t="str">
        <f t="shared" si="6"/>
        <v/>
      </c>
      <c r="B254" s="29"/>
      <c r="C254" s="22"/>
      <c r="D254" s="36"/>
      <c r="E254" s="32"/>
      <c r="F254" s="33" t="str">
        <f>IF(B254="","",SUMIFS(Purchase!$W$3:$W$1002,Purchase!$U$3:$U$1002,B254,Purchase!$C$3:$C$1002,C254))</f>
        <v/>
      </c>
      <c r="G254" s="33" t="str">
        <f t="shared" si="7"/>
        <v/>
      </c>
    </row>
    <row r="255" spans="1:7" x14ac:dyDescent="0.35">
      <c r="A255" s="21" t="str">
        <f t="shared" si="6"/>
        <v/>
      </c>
      <c r="B255" s="29"/>
      <c r="C255" s="22"/>
      <c r="D255" s="36"/>
      <c r="E255" s="32"/>
      <c r="F255" s="33" t="str">
        <f>IF(B255="","",SUMIFS(Purchase!$W$3:$W$1002,Purchase!$U$3:$U$1002,B255,Purchase!$C$3:$C$1002,C255))</f>
        <v/>
      </c>
      <c r="G255" s="33" t="str">
        <f t="shared" si="7"/>
        <v/>
      </c>
    </row>
    <row r="256" spans="1:7" x14ac:dyDescent="0.35">
      <c r="A256" s="21" t="str">
        <f t="shared" si="6"/>
        <v/>
      </c>
      <c r="B256" s="29"/>
      <c r="C256" s="22"/>
      <c r="D256" s="36"/>
      <c r="E256" s="32"/>
      <c r="F256" s="33" t="str">
        <f>IF(B256="","",SUMIFS(Purchase!$W$3:$W$1002,Purchase!$U$3:$U$1002,B256,Purchase!$C$3:$C$1002,C256))</f>
        <v/>
      </c>
      <c r="G256" s="33" t="str">
        <f t="shared" si="7"/>
        <v/>
      </c>
    </row>
    <row r="257" spans="1:7" x14ac:dyDescent="0.35">
      <c r="A257" s="21" t="str">
        <f t="shared" si="6"/>
        <v/>
      </c>
      <c r="B257" s="29"/>
      <c r="C257" s="22"/>
      <c r="D257" s="36"/>
      <c r="E257" s="32"/>
      <c r="F257" s="33" t="str">
        <f>IF(B257="","",SUMIFS(Purchase!$W$3:$W$1002,Purchase!$U$3:$U$1002,B257,Purchase!$C$3:$C$1002,C257))</f>
        <v/>
      </c>
      <c r="G257" s="33" t="str">
        <f t="shared" si="7"/>
        <v/>
      </c>
    </row>
    <row r="258" spans="1:7" x14ac:dyDescent="0.35">
      <c r="A258" s="21" t="str">
        <f t="shared" si="6"/>
        <v/>
      </c>
      <c r="B258" s="29"/>
      <c r="C258" s="22"/>
      <c r="D258" s="36"/>
      <c r="E258" s="32"/>
      <c r="F258" s="33" t="str">
        <f>IF(B258="","",SUMIFS(Purchase!$W$3:$W$1002,Purchase!$U$3:$U$1002,B258,Purchase!$C$3:$C$1002,C258))</f>
        <v/>
      </c>
      <c r="G258" s="33" t="str">
        <f t="shared" si="7"/>
        <v/>
      </c>
    </row>
    <row r="259" spans="1:7" x14ac:dyDescent="0.35">
      <c r="A259" s="21" t="str">
        <f t="shared" ref="A259:A322" si="8">IF(COUNTA(B259:E259)=0,"",IF((IF(B259="","Vendor Invoice No, ","")&amp;IF(C259="","Vendor, ","")&amp;IF(D259="","Invoice Date, ","")&amp;IF(E259="","Invoice Total, ",""))&lt;&gt;"","Missing: "&amp;LEFT(IF(B259="","Vendor Invoice No, ","")&amp;IF(C259="","Vendor, ","")&amp;IF(D259="","Invoice Date, ","")&amp;IF(E259="","Invoice Total, ",""),LEN(IF(B259="","Vendor Invoice No, ","")&amp;IF(C259="","Vendor, ","")&amp;IF(D259="","Invoice Date, ","")&amp;IF(E259="","Invoice Total, ",""))-2),IF(COUNTIFS($B$3:$B$302,B259,$C$3:$C$302,C259)&gt;1,"Bill "&amp;B259&amp;" is listed twice",IF(F259=0,"No Purchase row has this bill no for this vendor",IF(ABS(G259)&gt;1,"Bill and rows differ by ₹"&amp;TEXT(G259,"#,##0.00"),"OK")))))</f>
        <v/>
      </c>
      <c r="B259" s="29"/>
      <c r="C259" s="22"/>
      <c r="D259" s="36"/>
      <c r="E259" s="32"/>
      <c r="F259" s="33" t="str">
        <f>IF(B259="","",SUMIFS(Purchase!$W$3:$W$1002,Purchase!$U$3:$U$1002,B259,Purchase!$C$3:$C$1002,C259))</f>
        <v/>
      </c>
      <c r="G259" s="33" t="str">
        <f t="shared" ref="G259:G322" si="9">IF(OR(B259="",E259=""),"",E259-F259)</f>
        <v/>
      </c>
    </row>
    <row r="260" spans="1:7" x14ac:dyDescent="0.35">
      <c r="A260" s="21" t="str">
        <f t="shared" si="8"/>
        <v/>
      </c>
      <c r="B260" s="29"/>
      <c r="C260" s="22"/>
      <c r="D260" s="36"/>
      <c r="E260" s="32"/>
      <c r="F260" s="33" t="str">
        <f>IF(B260="","",SUMIFS(Purchase!$W$3:$W$1002,Purchase!$U$3:$U$1002,B260,Purchase!$C$3:$C$1002,C260))</f>
        <v/>
      </c>
      <c r="G260" s="33" t="str">
        <f t="shared" si="9"/>
        <v/>
      </c>
    </row>
    <row r="261" spans="1:7" x14ac:dyDescent="0.35">
      <c r="A261" s="21" t="str">
        <f t="shared" si="8"/>
        <v/>
      </c>
      <c r="B261" s="29"/>
      <c r="C261" s="22"/>
      <c r="D261" s="36"/>
      <c r="E261" s="32"/>
      <c r="F261" s="33" t="str">
        <f>IF(B261="","",SUMIFS(Purchase!$W$3:$W$1002,Purchase!$U$3:$U$1002,B261,Purchase!$C$3:$C$1002,C261))</f>
        <v/>
      </c>
      <c r="G261" s="33" t="str">
        <f t="shared" si="9"/>
        <v/>
      </c>
    </row>
    <row r="262" spans="1:7" x14ac:dyDescent="0.35">
      <c r="A262" s="21" t="str">
        <f t="shared" si="8"/>
        <v/>
      </c>
      <c r="B262" s="29"/>
      <c r="C262" s="22"/>
      <c r="D262" s="36"/>
      <c r="E262" s="32"/>
      <c r="F262" s="33" t="str">
        <f>IF(B262="","",SUMIFS(Purchase!$W$3:$W$1002,Purchase!$U$3:$U$1002,B262,Purchase!$C$3:$C$1002,C262))</f>
        <v/>
      </c>
      <c r="G262" s="33" t="str">
        <f t="shared" si="9"/>
        <v/>
      </c>
    </row>
    <row r="263" spans="1:7" x14ac:dyDescent="0.35">
      <c r="A263" s="21" t="str">
        <f t="shared" si="8"/>
        <v/>
      </c>
      <c r="B263" s="29"/>
      <c r="C263" s="22"/>
      <c r="D263" s="36"/>
      <c r="E263" s="32"/>
      <c r="F263" s="33" t="str">
        <f>IF(B263="","",SUMIFS(Purchase!$W$3:$W$1002,Purchase!$U$3:$U$1002,B263,Purchase!$C$3:$C$1002,C263))</f>
        <v/>
      </c>
      <c r="G263" s="33" t="str">
        <f t="shared" si="9"/>
        <v/>
      </c>
    </row>
    <row r="264" spans="1:7" x14ac:dyDescent="0.35">
      <c r="A264" s="21" t="str">
        <f t="shared" si="8"/>
        <v/>
      </c>
      <c r="B264" s="29"/>
      <c r="C264" s="22"/>
      <c r="D264" s="36"/>
      <c r="E264" s="32"/>
      <c r="F264" s="33" t="str">
        <f>IF(B264="","",SUMIFS(Purchase!$W$3:$W$1002,Purchase!$U$3:$U$1002,B264,Purchase!$C$3:$C$1002,C264))</f>
        <v/>
      </c>
      <c r="G264" s="33" t="str">
        <f t="shared" si="9"/>
        <v/>
      </c>
    </row>
    <row r="265" spans="1:7" x14ac:dyDescent="0.35">
      <c r="A265" s="21" t="str">
        <f t="shared" si="8"/>
        <v/>
      </c>
      <c r="B265" s="29"/>
      <c r="C265" s="22"/>
      <c r="D265" s="36"/>
      <c r="E265" s="32"/>
      <c r="F265" s="33" t="str">
        <f>IF(B265="","",SUMIFS(Purchase!$W$3:$W$1002,Purchase!$U$3:$U$1002,B265,Purchase!$C$3:$C$1002,C265))</f>
        <v/>
      </c>
      <c r="G265" s="33" t="str">
        <f t="shared" si="9"/>
        <v/>
      </c>
    </row>
    <row r="266" spans="1:7" x14ac:dyDescent="0.35">
      <c r="A266" s="21" t="str">
        <f t="shared" si="8"/>
        <v/>
      </c>
      <c r="B266" s="29"/>
      <c r="C266" s="22"/>
      <c r="D266" s="36"/>
      <c r="E266" s="32"/>
      <c r="F266" s="33" t="str">
        <f>IF(B266="","",SUMIFS(Purchase!$W$3:$W$1002,Purchase!$U$3:$U$1002,B266,Purchase!$C$3:$C$1002,C266))</f>
        <v/>
      </c>
      <c r="G266" s="33" t="str">
        <f t="shared" si="9"/>
        <v/>
      </c>
    </row>
    <row r="267" spans="1:7" x14ac:dyDescent="0.35">
      <c r="A267" s="21" t="str">
        <f t="shared" si="8"/>
        <v/>
      </c>
      <c r="B267" s="29"/>
      <c r="C267" s="22"/>
      <c r="D267" s="36"/>
      <c r="E267" s="32"/>
      <c r="F267" s="33" t="str">
        <f>IF(B267="","",SUMIFS(Purchase!$W$3:$W$1002,Purchase!$U$3:$U$1002,B267,Purchase!$C$3:$C$1002,C267))</f>
        <v/>
      </c>
      <c r="G267" s="33" t="str">
        <f t="shared" si="9"/>
        <v/>
      </c>
    </row>
    <row r="268" spans="1:7" x14ac:dyDescent="0.35">
      <c r="A268" s="21" t="str">
        <f t="shared" si="8"/>
        <v/>
      </c>
      <c r="B268" s="29"/>
      <c r="C268" s="22"/>
      <c r="D268" s="36"/>
      <c r="E268" s="32"/>
      <c r="F268" s="33" t="str">
        <f>IF(B268="","",SUMIFS(Purchase!$W$3:$W$1002,Purchase!$U$3:$U$1002,B268,Purchase!$C$3:$C$1002,C268))</f>
        <v/>
      </c>
      <c r="G268" s="33" t="str">
        <f t="shared" si="9"/>
        <v/>
      </c>
    </row>
    <row r="269" spans="1:7" x14ac:dyDescent="0.35">
      <c r="A269" s="21" t="str">
        <f t="shared" si="8"/>
        <v/>
      </c>
      <c r="B269" s="29"/>
      <c r="C269" s="22"/>
      <c r="D269" s="36"/>
      <c r="E269" s="32"/>
      <c r="F269" s="33" t="str">
        <f>IF(B269="","",SUMIFS(Purchase!$W$3:$W$1002,Purchase!$U$3:$U$1002,B269,Purchase!$C$3:$C$1002,C269))</f>
        <v/>
      </c>
      <c r="G269" s="33" t="str">
        <f t="shared" si="9"/>
        <v/>
      </c>
    </row>
    <row r="270" spans="1:7" x14ac:dyDescent="0.35">
      <c r="A270" s="21" t="str">
        <f t="shared" si="8"/>
        <v/>
      </c>
      <c r="B270" s="29"/>
      <c r="C270" s="22"/>
      <c r="D270" s="36"/>
      <c r="E270" s="32"/>
      <c r="F270" s="33" t="str">
        <f>IF(B270="","",SUMIFS(Purchase!$W$3:$W$1002,Purchase!$U$3:$U$1002,B270,Purchase!$C$3:$C$1002,C270))</f>
        <v/>
      </c>
      <c r="G270" s="33" t="str">
        <f t="shared" si="9"/>
        <v/>
      </c>
    </row>
    <row r="271" spans="1:7" x14ac:dyDescent="0.35">
      <c r="A271" s="21" t="str">
        <f t="shared" si="8"/>
        <v/>
      </c>
      <c r="B271" s="29"/>
      <c r="C271" s="22"/>
      <c r="D271" s="36"/>
      <c r="E271" s="32"/>
      <c r="F271" s="33" t="str">
        <f>IF(B271="","",SUMIFS(Purchase!$W$3:$W$1002,Purchase!$U$3:$U$1002,B271,Purchase!$C$3:$C$1002,C271))</f>
        <v/>
      </c>
      <c r="G271" s="33" t="str">
        <f t="shared" si="9"/>
        <v/>
      </c>
    </row>
    <row r="272" spans="1:7" x14ac:dyDescent="0.35">
      <c r="A272" s="21" t="str">
        <f t="shared" si="8"/>
        <v/>
      </c>
      <c r="B272" s="29"/>
      <c r="C272" s="22"/>
      <c r="D272" s="36"/>
      <c r="E272" s="32"/>
      <c r="F272" s="33" t="str">
        <f>IF(B272="","",SUMIFS(Purchase!$W$3:$W$1002,Purchase!$U$3:$U$1002,B272,Purchase!$C$3:$C$1002,C272))</f>
        <v/>
      </c>
      <c r="G272" s="33" t="str">
        <f t="shared" si="9"/>
        <v/>
      </c>
    </row>
    <row r="273" spans="1:7" x14ac:dyDescent="0.35">
      <c r="A273" s="21" t="str">
        <f t="shared" si="8"/>
        <v/>
      </c>
      <c r="B273" s="29"/>
      <c r="C273" s="22"/>
      <c r="D273" s="36"/>
      <c r="E273" s="32"/>
      <c r="F273" s="33" t="str">
        <f>IF(B273="","",SUMIFS(Purchase!$W$3:$W$1002,Purchase!$U$3:$U$1002,B273,Purchase!$C$3:$C$1002,C273))</f>
        <v/>
      </c>
      <c r="G273" s="33" t="str">
        <f t="shared" si="9"/>
        <v/>
      </c>
    </row>
    <row r="274" spans="1:7" x14ac:dyDescent="0.35">
      <c r="A274" s="21" t="str">
        <f t="shared" si="8"/>
        <v/>
      </c>
      <c r="B274" s="29"/>
      <c r="C274" s="22"/>
      <c r="D274" s="36"/>
      <c r="E274" s="32"/>
      <c r="F274" s="33" t="str">
        <f>IF(B274="","",SUMIFS(Purchase!$W$3:$W$1002,Purchase!$U$3:$U$1002,B274,Purchase!$C$3:$C$1002,C274))</f>
        <v/>
      </c>
      <c r="G274" s="33" t="str">
        <f t="shared" si="9"/>
        <v/>
      </c>
    </row>
    <row r="275" spans="1:7" x14ac:dyDescent="0.35">
      <c r="A275" s="21" t="str">
        <f t="shared" si="8"/>
        <v/>
      </c>
      <c r="B275" s="29"/>
      <c r="C275" s="22"/>
      <c r="D275" s="36"/>
      <c r="E275" s="32"/>
      <c r="F275" s="33" t="str">
        <f>IF(B275="","",SUMIFS(Purchase!$W$3:$W$1002,Purchase!$U$3:$U$1002,B275,Purchase!$C$3:$C$1002,C275))</f>
        <v/>
      </c>
      <c r="G275" s="33" t="str">
        <f t="shared" si="9"/>
        <v/>
      </c>
    </row>
    <row r="276" spans="1:7" x14ac:dyDescent="0.35">
      <c r="A276" s="21" t="str">
        <f t="shared" si="8"/>
        <v/>
      </c>
      <c r="B276" s="29"/>
      <c r="C276" s="22"/>
      <c r="D276" s="36"/>
      <c r="E276" s="32"/>
      <c r="F276" s="33" t="str">
        <f>IF(B276="","",SUMIFS(Purchase!$W$3:$W$1002,Purchase!$U$3:$U$1002,B276,Purchase!$C$3:$C$1002,C276))</f>
        <v/>
      </c>
      <c r="G276" s="33" t="str">
        <f t="shared" si="9"/>
        <v/>
      </c>
    </row>
    <row r="277" spans="1:7" x14ac:dyDescent="0.35">
      <c r="A277" s="21" t="str">
        <f t="shared" si="8"/>
        <v/>
      </c>
      <c r="B277" s="29"/>
      <c r="C277" s="22"/>
      <c r="D277" s="36"/>
      <c r="E277" s="32"/>
      <c r="F277" s="33" t="str">
        <f>IF(B277="","",SUMIFS(Purchase!$W$3:$W$1002,Purchase!$U$3:$U$1002,B277,Purchase!$C$3:$C$1002,C277))</f>
        <v/>
      </c>
      <c r="G277" s="33" t="str">
        <f t="shared" si="9"/>
        <v/>
      </c>
    </row>
    <row r="278" spans="1:7" x14ac:dyDescent="0.35">
      <c r="A278" s="21" t="str">
        <f t="shared" si="8"/>
        <v/>
      </c>
      <c r="B278" s="29"/>
      <c r="C278" s="22"/>
      <c r="D278" s="36"/>
      <c r="E278" s="32"/>
      <c r="F278" s="33" t="str">
        <f>IF(B278="","",SUMIFS(Purchase!$W$3:$W$1002,Purchase!$U$3:$U$1002,B278,Purchase!$C$3:$C$1002,C278))</f>
        <v/>
      </c>
      <c r="G278" s="33" t="str">
        <f t="shared" si="9"/>
        <v/>
      </c>
    </row>
    <row r="279" spans="1:7" x14ac:dyDescent="0.35">
      <c r="A279" s="21" t="str">
        <f t="shared" si="8"/>
        <v/>
      </c>
      <c r="B279" s="29"/>
      <c r="C279" s="22"/>
      <c r="D279" s="36"/>
      <c r="E279" s="32"/>
      <c r="F279" s="33" t="str">
        <f>IF(B279="","",SUMIFS(Purchase!$W$3:$W$1002,Purchase!$U$3:$U$1002,B279,Purchase!$C$3:$C$1002,C279))</f>
        <v/>
      </c>
      <c r="G279" s="33" t="str">
        <f t="shared" si="9"/>
        <v/>
      </c>
    </row>
    <row r="280" spans="1:7" x14ac:dyDescent="0.35">
      <c r="A280" s="21" t="str">
        <f t="shared" si="8"/>
        <v/>
      </c>
      <c r="B280" s="29"/>
      <c r="C280" s="22"/>
      <c r="D280" s="36"/>
      <c r="E280" s="32"/>
      <c r="F280" s="33" t="str">
        <f>IF(B280="","",SUMIFS(Purchase!$W$3:$W$1002,Purchase!$U$3:$U$1002,B280,Purchase!$C$3:$C$1002,C280))</f>
        <v/>
      </c>
      <c r="G280" s="33" t="str">
        <f t="shared" si="9"/>
        <v/>
      </c>
    </row>
    <row r="281" spans="1:7" x14ac:dyDescent="0.35">
      <c r="A281" s="21" t="str">
        <f t="shared" si="8"/>
        <v/>
      </c>
      <c r="B281" s="29"/>
      <c r="C281" s="22"/>
      <c r="D281" s="36"/>
      <c r="E281" s="32"/>
      <c r="F281" s="33" t="str">
        <f>IF(B281="","",SUMIFS(Purchase!$W$3:$W$1002,Purchase!$U$3:$U$1002,B281,Purchase!$C$3:$C$1002,C281))</f>
        <v/>
      </c>
      <c r="G281" s="33" t="str">
        <f t="shared" si="9"/>
        <v/>
      </c>
    </row>
    <row r="282" spans="1:7" x14ac:dyDescent="0.35">
      <c r="A282" s="21" t="str">
        <f t="shared" si="8"/>
        <v/>
      </c>
      <c r="B282" s="29"/>
      <c r="C282" s="22"/>
      <c r="D282" s="36"/>
      <c r="E282" s="32"/>
      <c r="F282" s="33" t="str">
        <f>IF(B282="","",SUMIFS(Purchase!$W$3:$W$1002,Purchase!$U$3:$U$1002,B282,Purchase!$C$3:$C$1002,C282))</f>
        <v/>
      </c>
      <c r="G282" s="33" t="str">
        <f t="shared" si="9"/>
        <v/>
      </c>
    </row>
    <row r="283" spans="1:7" x14ac:dyDescent="0.35">
      <c r="A283" s="21" t="str">
        <f t="shared" si="8"/>
        <v/>
      </c>
      <c r="B283" s="29"/>
      <c r="C283" s="22"/>
      <c r="D283" s="36"/>
      <c r="E283" s="32"/>
      <c r="F283" s="33" t="str">
        <f>IF(B283="","",SUMIFS(Purchase!$W$3:$W$1002,Purchase!$U$3:$U$1002,B283,Purchase!$C$3:$C$1002,C283))</f>
        <v/>
      </c>
      <c r="G283" s="33" t="str">
        <f t="shared" si="9"/>
        <v/>
      </c>
    </row>
    <row r="284" spans="1:7" x14ac:dyDescent="0.35">
      <c r="A284" s="21" t="str">
        <f t="shared" si="8"/>
        <v/>
      </c>
      <c r="B284" s="29"/>
      <c r="C284" s="22"/>
      <c r="D284" s="36"/>
      <c r="E284" s="32"/>
      <c r="F284" s="33" t="str">
        <f>IF(B284="","",SUMIFS(Purchase!$W$3:$W$1002,Purchase!$U$3:$U$1002,B284,Purchase!$C$3:$C$1002,C284))</f>
        <v/>
      </c>
      <c r="G284" s="33" t="str">
        <f t="shared" si="9"/>
        <v/>
      </c>
    </row>
    <row r="285" spans="1:7" x14ac:dyDescent="0.35">
      <c r="A285" s="21" t="str">
        <f t="shared" si="8"/>
        <v/>
      </c>
      <c r="B285" s="29"/>
      <c r="C285" s="22"/>
      <c r="D285" s="36"/>
      <c r="E285" s="32"/>
      <c r="F285" s="33" t="str">
        <f>IF(B285="","",SUMIFS(Purchase!$W$3:$W$1002,Purchase!$U$3:$U$1002,B285,Purchase!$C$3:$C$1002,C285))</f>
        <v/>
      </c>
      <c r="G285" s="33" t="str">
        <f t="shared" si="9"/>
        <v/>
      </c>
    </row>
    <row r="286" spans="1:7" x14ac:dyDescent="0.35">
      <c r="A286" s="21" t="str">
        <f t="shared" si="8"/>
        <v/>
      </c>
      <c r="B286" s="29"/>
      <c r="C286" s="22"/>
      <c r="D286" s="36"/>
      <c r="E286" s="32"/>
      <c r="F286" s="33" t="str">
        <f>IF(B286="","",SUMIFS(Purchase!$W$3:$W$1002,Purchase!$U$3:$U$1002,B286,Purchase!$C$3:$C$1002,C286))</f>
        <v/>
      </c>
      <c r="G286" s="33" t="str">
        <f t="shared" si="9"/>
        <v/>
      </c>
    </row>
    <row r="287" spans="1:7" x14ac:dyDescent="0.35">
      <c r="A287" s="21" t="str">
        <f t="shared" si="8"/>
        <v/>
      </c>
      <c r="B287" s="29"/>
      <c r="C287" s="22"/>
      <c r="D287" s="36"/>
      <c r="E287" s="32"/>
      <c r="F287" s="33" t="str">
        <f>IF(B287="","",SUMIFS(Purchase!$W$3:$W$1002,Purchase!$U$3:$U$1002,B287,Purchase!$C$3:$C$1002,C287))</f>
        <v/>
      </c>
      <c r="G287" s="33" t="str">
        <f t="shared" si="9"/>
        <v/>
      </c>
    </row>
    <row r="288" spans="1:7" x14ac:dyDescent="0.35">
      <c r="A288" s="21" t="str">
        <f t="shared" si="8"/>
        <v/>
      </c>
      <c r="B288" s="29"/>
      <c r="C288" s="22"/>
      <c r="D288" s="36"/>
      <c r="E288" s="32"/>
      <c r="F288" s="33" t="str">
        <f>IF(B288="","",SUMIFS(Purchase!$W$3:$W$1002,Purchase!$U$3:$U$1002,B288,Purchase!$C$3:$C$1002,C288))</f>
        <v/>
      </c>
      <c r="G288" s="33" t="str">
        <f t="shared" si="9"/>
        <v/>
      </c>
    </row>
    <row r="289" spans="1:7" x14ac:dyDescent="0.35">
      <c r="A289" s="21" t="str">
        <f t="shared" si="8"/>
        <v/>
      </c>
      <c r="B289" s="29"/>
      <c r="C289" s="22"/>
      <c r="D289" s="36"/>
      <c r="E289" s="32"/>
      <c r="F289" s="33" t="str">
        <f>IF(B289="","",SUMIFS(Purchase!$W$3:$W$1002,Purchase!$U$3:$U$1002,B289,Purchase!$C$3:$C$1002,C289))</f>
        <v/>
      </c>
      <c r="G289" s="33" t="str">
        <f t="shared" si="9"/>
        <v/>
      </c>
    </row>
    <row r="290" spans="1:7" x14ac:dyDescent="0.35">
      <c r="A290" s="21" t="str">
        <f t="shared" si="8"/>
        <v/>
      </c>
      <c r="B290" s="29"/>
      <c r="C290" s="22"/>
      <c r="D290" s="36"/>
      <c r="E290" s="32"/>
      <c r="F290" s="33" t="str">
        <f>IF(B290="","",SUMIFS(Purchase!$W$3:$W$1002,Purchase!$U$3:$U$1002,B290,Purchase!$C$3:$C$1002,C290))</f>
        <v/>
      </c>
      <c r="G290" s="33" t="str">
        <f t="shared" si="9"/>
        <v/>
      </c>
    </row>
    <row r="291" spans="1:7" x14ac:dyDescent="0.35">
      <c r="A291" s="21" t="str">
        <f t="shared" si="8"/>
        <v/>
      </c>
      <c r="B291" s="29"/>
      <c r="C291" s="22"/>
      <c r="D291" s="36"/>
      <c r="E291" s="32"/>
      <c r="F291" s="33" t="str">
        <f>IF(B291="","",SUMIFS(Purchase!$W$3:$W$1002,Purchase!$U$3:$U$1002,B291,Purchase!$C$3:$C$1002,C291))</f>
        <v/>
      </c>
      <c r="G291" s="33" t="str">
        <f t="shared" si="9"/>
        <v/>
      </c>
    </row>
    <row r="292" spans="1:7" x14ac:dyDescent="0.35">
      <c r="A292" s="21" t="str">
        <f t="shared" si="8"/>
        <v/>
      </c>
      <c r="B292" s="29"/>
      <c r="C292" s="22"/>
      <c r="D292" s="36"/>
      <c r="E292" s="32"/>
      <c r="F292" s="33" t="str">
        <f>IF(B292="","",SUMIFS(Purchase!$W$3:$W$1002,Purchase!$U$3:$U$1002,B292,Purchase!$C$3:$C$1002,C292))</f>
        <v/>
      </c>
      <c r="G292" s="33" t="str">
        <f t="shared" si="9"/>
        <v/>
      </c>
    </row>
    <row r="293" spans="1:7" x14ac:dyDescent="0.35">
      <c r="A293" s="21" t="str">
        <f t="shared" si="8"/>
        <v/>
      </c>
      <c r="B293" s="29"/>
      <c r="C293" s="22"/>
      <c r="D293" s="36"/>
      <c r="E293" s="32"/>
      <c r="F293" s="33" t="str">
        <f>IF(B293="","",SUMIFS(Purchase!$W$3:$W$1002,Purchase!$U$3:$U$1002,B293,Purchase!$C$3:$C$1002,C293))</f>
        <v/>
      </c>
      <c r="G293" s="33" t="str">
        <f t="shared" si="9"/>
        <v/>
      </c>
    </row>
    <row r="294" spans="1:7" x14ac:dyDescent="0.35">
      <c r="A294" s="21" t="str">
        <f t="shared" si="8"/>
        <v/>
      </c>
      <c r="B294" s="29"/>
      <c r="C294" s="22"/>
      <c r="D294" s="36"/>
      <c r="E294" s="32"/>
      <c r="F294" s="33" t="str">
        <f>IF(B294="","",SUMIFS(Purchase!$W$3:$W$1002,Purchase!$U$3:$U$1002,B294,Purchase!$C$3:$C$1002,C294))</f>
        <v/>
      </c>
      <c r="G294" s="33" t="str">
        <f t="shared" si="9"/>
        <v/>
      </c>
    </row>
    <row r="295" spans="1:7" x14ac:dyDescent="0.35">
      <c r="A295" s="21" t="str">
        <f t="shared" si="8"/>
        <v/>
      </c>
      <c r="B295" s="29"/>
      <c r="C295" s="22"/>
      <c r="D295" s="36"/>
      <c r="E295" s="32"/>
      <c r="F295" s="33" t="str">
        <f>IF(B295="","",SUMIFS(Purchase!$W$3:$W$1002,Purchase!$U$3:$U$1002,B295,Purchase!$C$3:$C$1002,C295))</f>
        <v/>
      </c>
      <c r="G295" s="33" t="str">
        <f t="shared" si="9"/>
        <v/>
      </c>
    </row>
    <row r="296" spans="1:7" x14ac:dyDescent="0.35">
      <c r="A296" s="21" t="str">
        <f t="shared" si="8"/>
        <v/>
      </c>
      <c r="B296" s="29"/>
      <c r="C296" s="22"/>
      <c r="D296" s="36"/>
      <c r="E296" s="32"/>
      <c r="F296" s="33" t="str">
        <f>IF(B296="","",SUMIFS(Purchase!$W$3:$W$1002,Purchase!$U$3:$U$1002,B296,Purchase!$C$3:$C$1002,C296))</f>
        <v/>
      </c>
      <c r="G296" s="33" t="str">
        <f t="shared" si="9"/>
        <v/>
      </c>
    </row>
    <row r="297" spans="1:7" x14ac:dyDescent="0.35">
      <c r="A297" s="21" t="str">
        <f t="shared" si="8"/>
        <v/>
      </c>
      <c r="B297" s="29"/>
      <c r="C297" s="22"/>
      <c r="D297" s="36"/>
      <c r="E297" s="32"/>
      <c r="F297" s="33" t="str">
        <f>IF(B297="","",SUMIFS(Purchase!$W$3:$W$1002,Purchase!$U$3:$U$1002,B297,Purchase!$C$3:$C$1002,C297))</f>
        <v/>
      </c>
      <c r="G297" s="33" t="str">
        <f t="shared" si="9"/>
        <v/>
      </c>
    </row>
    <row r="298" spans="1:7" x14ac:dyDescent="0.35">
      <c r="A298" s="21" t="str">
        <f t="shared" si="8"/>
        <v/>
      </c>
      <c r="B298" s="29"/>
      <c r="C298" s="22"/>
      <c r="D298" s="36"/>
      <c r="E298" s="32"/>
      <c r="F298" s="33" t="str">
        <f>IF(B298="","",SUMIFS(Purchase!$W$3:$W$1002,Purchase!$U$3:$U$1002,B298,Purchase!$C$3:$C$1002,C298))</f>
        <v/>
      </c>
      <c r="G298" s="33" t="str">
        <f t="shared" si="9"/>
        <v/>
      </c>
    </row>
    <row r="299" spans="1:7" x14ac:dyDescent="0.35">
      <c r="A299" s="21" t="str">
        <f t="shared" si="8"/>
        <v/>
      </c>
      <c r="B299" s="29"/>
      <c r="C299" s="22"/>
      <c r="D299" s="36"/>
      <c r="E299" s="32"/>
      <c r="F299" s="33" t="str">
        <f>IF(B299="","",SUMIFS(Purchase!$W$3:$W$1002,Purchase!$U$3:$U$1002,B299,Purchase!$C$3:$C$1002,C299))</f>
        <v/>
      </c>
      <c r="G299" s="33" t="str">
        <f t="shared" si="9"/>
        <v/>
      </c>
    </row>
    <row r="300" spans="1:7" x14ac:dyDescent="0.35">
      <c r="A300" s="21" t="str">
        <f t="shared" si="8"/>
        <v/>
      </c>
      <c r="B300" s="29"/>
      <c r="C300" s="22"/>
      <c r="D300" s="36"/>
      <c r="E300" s="32"/>
      <c r="F300" s="33" t="str">
        <f>IF(B300="","",SUMIFS(Purchase!$W$3:$W$1002,Purchase!$U$3:$U$1002,B300,Purchase!$C$3:$C$1002,C300))</f>
        <v/>
      </c>
      <c r="G300" s="33" t="str">
        <f t="shared" si="9"/>
        <v/>
      </c>
    </row>
    <row r="301" spans="1:7" x14ac:dyDescent="0.35">
      <c r="A301" s="21" t="str">
        <f t="shared" si="8"/>
        <v/>
      </c>
      <c r="B301" s="29"/>
      <c r="C301" s="22"/>
      <c r="D301" s="36"/>
      <c r="E301" s="32"/>
      <c r="F301" s="33" t="str">
        <f>IF(B301="","",SUMIFS(Purchase!$W$3:$W$1002,Purchase!$U$3:$U$1002,B301,Purchase!$C$3:$C$1002,C301))</f>
        <v/>
      </c>
      <c r="G301" s="33" t="str">
        <f t="shared" si="9"/>
        <v/>
      </c>
    </row>
    <row r="302" spans="1:7" x14ac:dyDescent="0.35">
      <c r="A302" s="21" t="str">
        <f t="shared" si="8"/>
        <v/>
      </c>
      <c r="B302" s="29"/>
      <c r="C302" s="22"/>
      <c r="D302" s="36"/>
      <c r="E302" s="32"/>
      <c r="F302" s="33" t="str">
        <f>IF(B302="","",SUMIFS(Purchase!$W$3:$W$1002,Purchase!$U$3:$U$1002,B302,Purchase!$C$3:$C$1002,C302))</f>
        <v/>
      </c>
      <c r="G302" s="33" t="str">
        <f t="shared" si="9"/>
        <v/>
      </c>
    </row>
  </sheetData>
  <conditionalFormatting sqref="A3:A302">
    <cfRule type="expression" dxfId="11" priority="1">
      <formula>A3="OK"</formula>
    </cfRule>
    <cfRule type="expression" dxfId="10" priority="2">
      <formula>AND(LEN(A3)&gt;0,A3&lt;&gt;"OK")</formula>
    </cfRule>
  </conditionalFormatting>
  <conditionalFormatting sqref="B3:E302">
    <cfRule type="expression" dxfId="9" priority="3" stopIfTrue="1">
      <formula>AND(COUNTA($B3:$E3)&gt;0,LEN(TRIM(B3))=0)</formula>
    </cfRule>
  </conditionalFormatting>
  <dataValidations count="2">
    <dataValidation type="decimal" allowBlank="1" showErrorMessage="1" errorTitle="Amount" error="Type an amount in rupees above 0, e.g. 90 or 349.50" sqref="E3:E302" xr:uid="{00000000-0002-0000-0300-000001000000}">
      <formula1>0.01</formula1>
      <formula2>100000000</formula2>
    </dataValidation>
    <dataValidation type="date" allowBlank="1" showErrorMessage="1" errorTitle="Date" error="Type the bill date, e.g. 20-10-2026" sqref="D3:D302" xr:uid="{00000000-0002-0000-0300-000002000000}">
      <formula1>DATE(2020,1,1)</formula1>
      <formula2>DATE(2035,12,31)</formula2>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ErrorMessage="1" errorTitle="Not in the list" error="Pick a vendor from the list. A new vendor: add a row on the Vendors sheet first (name and state)." xr:uid="{00000000-0002-0000-0300-000000000000}">
          <x14:formula1>
            <xm:f>Vendors!$B$3:$B$202</xm:f>
          </x14:formula1>
          <xm:sqref>C3:C302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F8F00"/>
  </sheetPr>
  <dimension ref="A1:Y15"/>
  <sheetViews>
    <sheetView workbookViewId="0">
      <pane xSplit="5" ySplit="2" topLeftCell="F3" activePane="bottomRight" state="frozen"/>
      <selection pane="topRight"/>
      <selection pane="bottomLeft"/>
      <selection pane="bottomRight"/>
    </sheetView>
  </sheetViews>
  <sheetFormatPr defaultRowHeight="14.5" x14ac:dyDescent="0.35"/>
  <cols>
    <col min="1" max="1" width="30" customWidth="1"/>
    <col min="2" max="3" width="14" customWidth="1"/>
    <col min="4" max="4" width="13" customWidth="1"/>
    <col min="5" max="5" width="11" customWidth="1"/>
    <col min="6" max="6" width="14" customWidth="1"/>
    <col min="7" max="7" width="12" customWidth="1"/>
    <col min="8" max="8" width="30" customWidth="1"/>
    <col min="9" max="9" width="8" customWidth="1"/>
    <col min="10" max="10" width="14" customWidth="1"/>
    <col min="11" max="11" width="11" customWidth="1"/>
    <col min="12" max="12" width="12" customWidth="1"/>
    <col min="13" max="13" width="10" customWidth="1"/>
    <col min="14" max="14" width="11" customWidth="1"/>
    <col min="15" max="15" width="12" customWidth="1"/>
    <col min="16" max="16" width="22" customWidth="1"/>
    <col min="17" max="17" width="7" customWidth="1"/>
    <col min="18" max="18" width="12" customWidth="1"/>
    <col min="19" max="19" width="10" customWidth="1"/>
    <col min="20" max="20" width="12" customWidth="1"/>
    <col min="21" max="21" width="17" customWidth="1"/>
    <col min="22" max="22" width="10" customWidth="1"/>
    <col min="23" max="23" width="13" customWidth="1"/>
    <col min="25" max="25" width="64" customWidth="1"/>
  </cols>
  <sheetData>
    <row r="1" spans="1:25" ht="30" customHeight="1" x14ac:dyDescent="0.35">
      <c r="A1" s="18" t="s">
        <v>117</v>
      </c>
      <c r="B1" s="19" t="s">
        <v>138</v>
      </c>
      <c r="C1" s="19" t="s">
        <v>139</v>
      </c>
      <c r="D1" s="19" t="s">
        <v>140</v>
      </c>
      <c r="E1" s="25" t="s">
        <v>56</v>
      </c>
      <c r="F1" s="25" t="s">
        <v>141</v>
      </c>
      <c r="G1" s="25" t="s">
        <v>142</v>
      </c>
      <c r="H1" s="26" t="s">
        <v>143</v>
      </c>
      <c r="I1" s="18" t="s">
        <v>69</v>
      </c>
      <c r="J1" s="25" t="s">
        <v>73</v>
      </c>
      <c r="K1" s="25" t="s">
        <v>76</v>
      </c>
      <c r="L1" s="25" t="s">
        <v>79</v>
      </c>
      <c r="M1" s="25" t="s">
        <v>82</v>
      </c>
      <c r="N1" s="25" t="s">
        <v>85</v>
      </c>
      <c r="O1" s="25" t="s">
        <v>88</v>
      </c>
      <c r="P1" s="25" t="s">
        <v>90</v>
      </c>
      <c r="Q1" s="27" t="s">
        <v>144</v>
      </c>
      <c r="R1" s="27" t="s">
        <v>145</v>
      </c>
      <c r="S1" s="27" t="s">
        <v>146</v>
      </c>
      <c r="T1" s="18" t="s">
        <v>147</v>
      </c>
      <c r="U1" s="28" t="s">
        <v>102</v>
      </c>
      <c r="V1" s="28" t="s">
        <v>106</v>
      </c>
      <c r="W1" s="18" t="s">
        <v>148</v>
      </c>
      <c r="Y1" s="37" t="s">
        <v>178</v>
      </c>
    </row>
    <row r="2" spans="1:25" ht="60" customHeight="1" x14ac:dyDescent="0.35">
      <c r="A2" s="20" t="s">
        <v>124</v>
      </c>
      <c r="B2" s="20" t="s">
        <v>149</v>
      </c>
      <c r="C2" s="20" t="s">
        <v>150</v>
      </c>
      <c r="D2" s="20" t="s">
        <v>151</v>
      </c>
      <c r="E2" s="20" t="s">
        <v>152</v>
      </c>
      <c r="F2" s="20" t="s">
        <v>153</v>
      </c>
      <c r="G2" s="20" t="s">
        <v>154</v>
      </c>
      <c r="H2" s="20" t="s">
        <v>155</v>
      </c>
      <c r="I2" s="20" t="s">
        <v>156</v>
      </c>
      <c r="J2" s="20" t="s">
        <v>157</v>
      </c>
      <c r="K2" s="20" t="s">
        <v>158</v>
      </c>
      <c r="L2" s="20" t="s">
        <v>127</v>
      </c>
      <c r="M2" s="20" t="s">
        <v>127</v>
      </c>
      <c r="N2" s="20" t="s">
        <v>127</v>
      </c>
      <c r="O2" s="20" t="s">
        <v>127</v>
      </c>
      <c r="P2" s="20" t="s">
        <v>159</v>
      </c>
      <c r="Q2" s="20" t="s">
        <v>160</v>
      </c>
      <c r="R2" s="20" t="s">
        <v>161</v>
      </c>
      <c r="S2" s="20" t="s">
        <v>162</v>
      </c>
      <c r="T2" s="20" t="s">
        <v>163</v>
      </c>
      <c r="U2" s="20" t="s">
        <v>164</v>
      </c>
      <c r="V2" s="20" t="s">
        <v>165</v>
      </c>
      <c r="W2" s="20" t="s">
        <v>166</v>
      </c>
    </row>
    <row r="3" spans="1:25" x14ac:dyDescent="0.35">
      <c r="A3" s="21" t="str">
        <f>IF(COUNTA(B3:H3,J3:S3,U3:V3)=0,"",IF((IF(B3="","PO Ref, ","")&amp;IF(C3="","Vendor, ","")&amp;IF(D3="","Store, ","")&amp;IF(F3="","Product Type, ","")&amp;IF(G3="","Category, ","")&amp;IF(H3="","HSN Code, ","")&amp;IF(Q3="","Qty, ","")&amp;IF(R3="","Purchase Rate, ","")&amp;IF(S3="","MRP, ",""))&lt;&gt;"","Missing: "&amp;LEFT(IF(B3="","PO Ref, ","")&amp;IF(C3="","Vendor, ","")&amp;IF(D3="","Store, ","")&amp;IF(F3="","Product Type, ","")&amp;IF(G3="","Category, ","")&amp;IF(H3="","HSN Code, ","")&amp;IF(Q3="","Qty, ","")&amp;IF(R3="","Purchase Rate, ","")&amp;IF(S3="","MRP, ",""),LEN(IF(B3="","PO Ref, ","")&amp;IF(C3="","Vendor, ","")&amp;IF(D3="","Store, ","")&amp;IF(F3="","Product Type, ","")&amp;IF(G3="","Category, ","")&amp;IF(H3="","HSN Code, ","")&amp;IF(Q3="","Qty, ","")&amp;IF(R3="","Purchase Rate, ","")&amp;IF(S3="","MRP, ",""))-2),IF(COUNTIF(Vendors!$B$3:$B$202,C3)=0,"Add vendor "&amp;C3&amp;" on the Vendors sheet",IF(ISNA(MATCH(H3,Codes!$A$2:$A$13,0)),"Pick the HSN Code from the list",IF(AND(E3&lt;&gt;"",COUNTIFS($C$3:$C$10,C3,$E$3:$E$10,E3,$F$3:$F$10,"&lt;&gt;"&amp;F3)+COUNTIFS($C$3:$C$10,C3,$E$3:$E$10,E3,$G$3:$G$10,"&lt;&gt;"&amp;G3)&gt;0),"Design "&amp;E3&amp;" has another Product Type or Category on another row",IF(COUNTIFS($F$3:$F$10,F3,$G$3:$G$10,G3,$H$3:$H$10,"&lt;&gt;"&amp;H3)&gt;0,F3&amp;" + "&amp;G3&amp;" has another HSN Code on another row",IF(AND(V3&lt;&gt;"",U3=""),"Received Qty needs the Vendor Invoice No",IF(AND(U3&lt;&gt;"",COUNTIFS($B$15:$B$15,U3,$C$15:$C$15,C3)=0),"Add bill "&amp;U3&amp;" of "&amp;C3&amp;" on the Bills sheet",IF(S3&lt;R3,"MRP is below the Purchase Rate","OK")))))))))</f>
        <v>OK</v>
      </c>
      <c r="B3" s="29" t="s">
        <v>49</v>
      </c>
      <c r="C3" s="22" t="s">
        <v>52</v>
      </c>
      <c r="D3" s="22" t="s">
        <v>55</v>
      </c>
      <c r="E3" s="24" t="s">
        <v>179</v>
      </c>
      <c r="F3" s="22" t="s">
        <v>62</v>
      </c>
      <c r="G3" s="22" t="s">
        <v>65</v>
      </c>
      <c r="H3" s="22" t="s">
        <v>68</v>
      </c>
      <c r="I3" s="30">
        <f>IF(H3="","",IFERROR(INDEX(Codes!$B$2:$B$13,MATCH(H3,Codes!$A$2:$A$13,0)),""))</f>
        <v>3</v>
      </c>
      <c r="J3" s="23" t="s">
        <v>75</v>
      </c>
      <c r="K3" s="23" t="s">
        <v>78</v>
      </c>
      <c r="L3" s="23" t="s">
        <v>180</v>
      </c>
      <c r="M3" s="23" t="s">
        <v>181</v>
      </c>
      <c r="N3" s="23" t="s">
        <v>87</v>
      </c>
      <c r="O3" s="23" t="s">
        <v>78</v>
      </c>
      <c r="P3" s="23" t="s">
        <v>182</v>
      </c>
      <c r="Q3" s="31">
        <v>3</v>
      </c>
      <c r="R3" s="32">
        <v>90</v>
      </c>
      <c r="S3" s="32">
        <v>349</v>
      </c>
      <c r="T3" s="33">
        <f t="shared" ref="T3:T10" si="0">IF(OR(Q3="",R3=""),"",Q3*R3)</f>
        <v>270</v>
      </c>
      <c r="U3" s="34" t="s">
        <v>105</v>
      </c>
      <c r="V3" s="35"/>
      <c r="W3" s="33">
        <f t="shared" ref="W3:W10" si="1">IF(OR(U3="",R3=""),"",IF(V3="",Q3,V3)*R3)</f>
        <v>270</v>
      </c>
      <c r="Y3" s="38" t="s">
        <v>183</v>
      </c>
    </row>
    <row r="4" spans="1:25" x14ac:dyDescent="0.35">
      <c r="A4" s="21" t="str">
        <f>IF(COUNTA(B4:H4,J4:S4,U4:V4)=0,"",IF((IF(B4="","PO Ref, ","")&amp;IF(C4="","Vendor, ","")&amp;IF(D4="","Store, ","")&amp;IF(F4="","Product Type, ","")&amp;IF(G4="","Category, ","")&amp;IF(H4="","HSN Code, ","")&amp;IF(Q4="","Qty, ","")&amp;IF(R4="","Purchase Rate, ","")&amp;IF(S4="","MRP, ",""))&lt;&gt;"","Missing: "&amp;LEFT(IF(B4="","PO Ref, ","")&amp;IF(C4="","Vendor, ","")&amp;IF(D4="","Store, ","")&amp;IF(F4="","Product Type, ","")&amp;IF(G4="","Category, ","")&amp;IF(H4="","HSN Code, ","")&amp;IF(Q4="","Qty, ","")&amp;IF(R4="","Purchase Rate, ","")&amp;IF(S4="","MRP, ",""),LEN(IF(B4="","PO Ref, ","")&amp;IF(C4="","Vendor, ","")&amp;IF(D4="","Store, ","")&amp;IF(F4="","Product Type, ","")&amp;IF(G4="","Category, ","")&amp;IF(H4="","HSN Code, ","")&amp;IF(Q4="","Qty, ","")&amp;IF(R4="","Purchase Rate, ","")&amp;IF(S4="","MRP, ",""))-2),IF(COUNTIF(Vendors!$B$3:$B$202,C4)=0,"Add vendor "&amp;C4&amp;" on the Vendors sheet",IF(ISNA(MATCH(H4,Codes!$A$2:$A$13,0)),"Pick the HSN Code from the list",IF(AND(E4&lt;&gt;"",COUNTIFS($C$3:$C$10,C4,$E$3:$E$10,E4,$F$3:$F$10,"&lt;&gt;"&amp;F4)+COUNTIFS($C$3:$C$10,C4,$E$3:$E$10,E4,$G$3:$G$10,"&lt;&gt;"&amp;G4)&gt;0),"Design "&amp;E4&amp;" has another Product Type or Category on another row",IF(COUNTIFS($F$3:$F$10,F4,$G$3:$G$10,G4,$H$3:$H$10,"&lt;&gt;"&amp;H4)&gt;0,F4&amp;" + "&amp;G4&amp;" has another HSN Code on another row",IF(AND(V4&lt;&gt;"",U4=""),"Received Qty needs the Vendor Invoice No",IF(AND(U4&lt;&gt;"",COUNTIFS($B$15:$B$15,U4,$C$15:$C$15,C4)=0),"Add bill "&amp;U4&amp;" of "&amp;C4&amp;" on the Bills sheet",IF(S4&lt;R4,"MRP is below the Purchase Rate","OK")))))))))</f>
        <v>OK</v>
      </c>
      <c r="B4" s="29" t="s">
        <v>49</v>
      </c>
      <c r="C4" s="22" t="s">
        <v>52</v>
      </c>
      <c r="D4" s="22" t="s">
        <v>55</v>
      </c>
      <c r="E4" s="24" t="s">
        <v>179</v>
      </c>
      <c r="F4" s="22" t="s">
        <v>62</v>
      </c>
      <c r="G4" s="22" t="s">
        <v>65</v>
      </c>
      <c r="H4" s="22" t="s">
        <v>68</v>
      </c>
      <c r="I4" s="30">
        <f>IF(H4="","",IFERROR(INDEX(Codes!$B$2:$B$13,MATCH(H4,Codes!$A$2:$A$13,0)),""))</f>
        <v>3</v>
      </c>
      <c r="J4" s="23" t="s">
        <v>75</v>
      </c>
      <c r="K4" s="23" t="s">
        <v>184</v>
      </c>
      <c r="L4" s="23" t="s">
        <v>81</v>
      </c>
      <c r="M4" s="23" t="s">
        <v>181</v>
      </c>
      <c r="N4" s="23" t="s">
        <v>87</v>
      </c>
      <c r="O4" s="23" t="s">
        <v>184</v>
      </c>
      <c r="P4" s="23" t="s">
        <v>185</v>
      </c>
      <c r="Q4" s="31">
        <v>3</v>
      </c>
      <c r="R4" s="32">
        <v>90</v>
      </c>
      <c r="S4" s="32">
        <v>349</v>
      </c>
      <c r="T4" s="33">
        <f t="shared" si="0"/>
        <v>270</v>
      </c>
      <c r="U4" s="34" t="s">
        <v>105</v>
      </c>
      <c r="V4" s="35"/>
      <c r="W4" s="33">
        <f t="shared" si="1"/>
        <v>270</v>
      </c>
      <c r="Y4" s="38" t="s">
        <v>186</v>
      </c>
    </row>
    <row r="5" spans="1:25" x14ac:dyDescent="0.35">
      <c r="A5" s="21" t="str">
        <f>IF(COUNTA(B5:H5,J5:S5,U5:V5)=0,"",IF((IF(B5="","PO Ref, ","")&amp;IF(C5="","Vendor, ","")&amp;IF(D5="","Store, ","")&amp;IF(F5="","Product Type, ","")&amp;IF(G5="","Category, ","")&amp;IF(H5="","HSN Code, ","")&amp;IF(Q5="","Qty, ","")&amp;IF(R5="","Purchase Rate, ","")&amp;IF(S5="","MRP, ",""))&lt;&gt;"","Missing: "&amp;LEFT(IF(B5="","PO Ref, ","")&amp;IF(C5="","Vendor, ","")&amp;IF(D5="","Store, ","")&amp;IF(F5="","Product Type, ","")&amp;IF(G5="","Category, ","")&amp;IF(H5="","HSN Code, ","")&amp;IF(Q5="","Qty, ","")&amp;IF(R5="","Purchase Rate, ","")&amp;IF(S5="","MRP, ",""),LEN(IF(B5="","PO Ref, ","")&amp;IF(C5="","Vendor, ","")&amp;IF(D5="","Store, ","")&amp;IF(F5="","Product Type, ","")&amp;IF(G5="","Category, ","")&amp;IF(H5="","HSN Code, ","")&amp;IF(Q5="","Qty, ","")&amp;IF(R5="","Purchase Rate, ","")&amp;IF(S5="","MRP, ",""))-2),IF(COUNTIF(Vendors!$B$3:$B$202,C5)=0,"Add vendor "&amp;C5&amp;" on the Vendors sheet",IF(ISNA(MATCH(H5,Codes!$A$2:$A$13,0)),"Pick the HSN Code from the list",IF(AND(E5&lt;&gt;"",COUNTIFS($C$3:$C$10,C5,$E$3:$E$10,E5,$F$3:$F$10,"&lt;&gt;"&amp;F5)+COUNTIFS($C$3:$C$10,C5,$E$3:$E$10,E5,$G$3:$G$10,"&lt;&gt;"&amp;G5)&gt;0),"Design "&amp;E5&amp;" has another Product Type or Category on another row",IF(COUNTIFS($F$3:$F$10,F5,$G$3:$G$10,G5,$H$3:$H$10,"&lt;&gt;"&amp;H5)&gt;0,F5&amp;" + "&amp;G5&amp;" has another HSN Code on another row",IF(AND(V5&lt;&gt;"",U5=""),"Received Qty needs the Vendor Invoice No",IF(AND(U5&lt;&gt;"",COUNTIFS($B$15:$B$15,U5,$C$15:$C$15,C5)=0),"Add bill "&amp;U5&amp;" of "&amp;C5&amp;" on the Bills sheet",IF(S5&lt;R5,"MRP is below the Purchase Rate","OK")))))))))</f>
        <v>OK</v>
      </c>
      <c r="B5" s="29" t="s">
        <v>49</v>
      </c>
      <c r="C5" s="22" t="s">
        <v>52</v>
      </c>
      <c r="D5" s="22" t="s">
        <v>55</v>
      </c>
      <c r="E5" s="24" t="s">
        <v>187</v>
      </c>
      <c r="F5" s="22" t="s">
        <v>62</v>
      </c>
      <c r="G5" s="22" t="s">
        <v>65</v>
      </c>
      <c r="H5" s="22" t="s">
        <v>68</v>
      </c>
      <c r="I5" s="30">
        <f>IF(H5="","",IFERROR(INDEX(Codes!$B$2:$B$13,MATCH(H5,Codes!$A$2:$A$13,0)),""))</f>
        <v>3</v>
      </c>
      <c r="J5" s="23" t="s">
        <v>188</v>
      </c>
      <c r="K5" s="23" t="s">
        <v>184</v>
      </c>
      <c r="L5" s="23" t="s">
        <v>180</v>
      </c>
      <c r="M5" s="23" t="s">
        <v>181</v>
      </c>
      <c r="N5" s="23"/>
      <c r="O5" s="23"/>
      <c r="P5" s="23"/>
      <c r="Q5" s="31">
        <v>3</v>
      </c>
      <c r="R5" s="32">
        <v>90</v>
      </c>
      <c r="S5" s="32">
        <v>325</v>
      </c>
      <c r="T5" s="33">
        <f t="shared" si="0"/>
        <v>270</v>
      </c>
      <c r="U5" s="34" t="s">
        <v>105</v>
      </c>
      <c r="V5" s="35">
        <v>2</v>
      </c>
      <c r="W5" s="33">
        <f t="shared" si="1"/>
        <v>180</v>
      </c>
      <c r="Y5" s="38" t="s">
        <v>189</v>
      </c>
    </row>
    <row r="6" spans="1:25" x14ac:dyDescent="0.35">
      <c r="A6" s="21" t="str">
        <f>IF(COUNTA(B6:H6,J6:S6,U6:V6)=0,"",IF((IF(B6="","PO Ref, ","")&amp;IF(C6="","Vendor, ","")&amp;IF(D6="","Store, ","")&amp;IF(F6="","Product Type, ","")&amp;IF(G6="","Category, ","")&amp;IF(H6="","HSN Code, ","")&amp;IF(Q6="","Qty, ","")&amp;IF(R6="","Purchase Rate, ","")&amp;IF(S6="","MRP, ",""))&lt;&gt;"","Missing: "&amp;LEFT(IF(B6="","PO Ref, ","")&amp;IF(C6="","Vendor, ","")&amp;IF(D6="","Store, ","")&amp;IF(F6="","Product Type, ","")&amp;IF(G6="","Category, ","")&amp;IF(H6="","HSN Code, ","")&amp;IF(Q6="","Qty, ","")&amp;IF(R6="","Purchase Rate, ","")&amp;IF(S6="","MRP, ",""),LEN(IF(B6="","PO Ref, ","")&amp;IF(C6="","Vendor, ","")&amp;IF(D6="","Store, ","")&amp;IF(F6="","Product Type, ","")&amp;IF(G6="","Category, ","")&amp;IF(H6="","HSN Code, ","")&amp;IF(Q6="","Qty, ","")&amp;IF(R6="","Purchase Rate, ","")&amp;IF(S6="","MRP, ",""))-2),IF(COUNTIF(Vendors!$B$3:$B$202,C6)=0,"Add vendor "&amp;C6&amp;" on the Vendors sheet",IF(ISNA(MATCH(H6,Codes!$A$2:$A$13,0)),"Pick the HSN Code from the list",IF(AND(E6&lt;&gt;"",COUNTIFS($C$3:$C$10,C6,$E$3:$E$10,E6,$F$3:$F$10,"&lt;&gt;"&amp;F6)+COUNTIFS($C$3:$C$10,C6,$E$3:$E$10,E6,$G$3:$G$10,"&lt;&gt;"&amp;G6)&gt;0),"Design "&amp;E6&amp;" has another Product Type or Category on another row",IF(COUNTIFS($F$3:$F$10,F6,$G$3:$G$10,G6,$H$3:$H$10,"&lt;&gt;"&amp;H6)&gt;0,F6&amp;" + "&amp;G6&amp;" has another HSN Code on another row",IF(AND(V6&lt;&gt;"",U6=""),"Received Qty needs the Vendor Invoice No",IF(AND(U6&lt;&gt;"",COUNTIFS($B$15:$B$15,U6,$C$15:$C$15,C6)=0),"Add bill "&amp;U6&amp;" of "&amp;C6&amp;" on the Bills sheet",IF(S6&lt;R6,"MRP is below the Purchase Rate","OK")))))))))</f>
        <v>OK</v>
      </c>
      <c r="B6" s="29" t="s">
        <v>49</v>
      </c>
      <c r="C6" s="22" t="s">
        <v>52</v>
      </c>
      <c r="D6" s="22" t="s">
        <v>55</v>
      </c>
      <c r="E6" s="24" t="s">
        <v>190</v>
      </c>
      <c r="F6" s="22" t="s">
        <v>62</v>
      </c>
      <c r="G6" s="22" t="s">
        <v>191</v>
      </c>
      <c r="H6" s="22" t="s">
        <v>68</v>
      </c>
      <c r="I6" s="30">
        <f>IF(H6="","",IFERROR(INDEX(Codes!$B$2:$B$13,MATCH(H6,Codes!$A$2:$A$13,0)),""))</f>
        <v>3</v>
      </c>
      <c r="J6" s="23" t="s">
        <v>192</v>
      </c>
      <c r="K6" s="23" t="s">
        <v>193</v>
      </c>
      <c r="L6" s="23" t="s">
        <v>180</v>
      </c>
      <c r="M6" s="23" t="s">
        <v>181</v>
      </c>
      <c r="N6" s="23" t="s">
        <v>194</v>
      </c>
      <c r="O6" s="23" t="s">
        <v>193</v>
      </c>
      <c r="P6" s="23"/>
      <c r="Q6" s="31">
        <v>2</v>
      </c>
      <c r="R6" s="32">
        <v>140</v>
      </c>
      <c r="S6" s="32">
        <v>449</v>
      </c>
      <c r="T6" s="33">
        <f t="shared" si="0"/>
        <v>280</v>
      </c>
      <c r="U6" s="34" t="s">
        <v>105</v>
      </c>
      <c r="V6" s="35"/>
      <c r="W6" s="33">
        <f t="shared" si="1"/>
        <v>280</v>
      </c>
      <c r="Y6" s="38" t="s">
        <v>195</v>
      </c>
    </row>
    <row r="7" spans="1:25" x14ac:dyDescent="0.35">
      <c r="A7" s="21" t="str">
        <f>IF(COUNTA(B7:H7,J7:S7,U7:V7)=0,"",IF((IF(B7="","PO Ref, ","")&amp;IF(C7="","Vendor, ","")&amp;IF(D7="","Store, ","")&amp;IF(F7="","Product Type, ","")&amp;IF(G7="","Category, ","")&amp;IF(H7="","HSN Code, ","")&amp;IF(Q7="","Qty, ","")&amp;IF(R7="","Purchase Rate, ","")&amp;IF(S7="","MRP, ",""))&lt;&gt;"","Missing: "&amp;LEFT(IF(B7="","PO Ref, ","")&amp;IF(C7="","Vendor, ","")&amp;IF(D7="","Store, ","")&amp;IF(F7="","Product Type, ","")&amp;IF(G7="","Category, ","")&amp;IF(H7="","HSN Code, ","")&amp;IF(Q7="","Qty, ","")&amp;IF(R7="","Purchase Rate, ","")&amp;IF(S7="","MRP, ",""),LEN(IF(B7="","PO Ref, ","")&amp;IF(C7="","Vendor, ","")&amp;IF(D7="","Store, ","")&amp;IF(F7="","Product Type, ","")&amp;IF(G7="","Category, ","")&amp;IF(H7="","HSN Code, ","")&amp;IF(Q7="","Qty, ","")&amp;IF(R7="","Purchase Rate, ","")&amp;IF(S7="","MRP, ",""))-2),IF(COUNTIF(Vendors!$B$3:$B$202,C7)=0,"Add vendor "&amp;C7&amp;" on the Vendors sheet",IF(ISNA(MATCH(H7,Codes!$A$2:$A$13,0)),"Pick the HSN Code from the list",IF(AND(E7&lt;&gt;"",COUNTIFS($C$3:$C$10,C7,$E$3:$E$10,E7,$F$3:$F$10,"&lt;&gt;"&amp;F7)+COUNTIFS($C$3:$C$10,C7,$E$3:$E$10,E7,$G$3:$G$10,"&lt;&gt;"&amp;G7)&gt;0),"Design "&amp;E7&amp;" has another Product Type or Category on another row",IF(COUNTIFS($F$3:$F$10,F7,$G$3:$G$10,G7,$H$3:$H$10,"&lt;&gt;"&amp;H7)&gt;0,F7&amp;" + "&amp;G7&amp;" has another HSN Code on another row",IF(AND(V7&lt;&gt;"",U7=""),"Received Qty needs the Vendor Invoice No",IF(AND(U7&lt;&gt;"",COUNTIFS($B$15:$B$15,U7,$C$15:$C$15,C7)=0),"Add bill "&amp;U7&amp;" of "&amp;C7&amp;" on the Bills sheet",IF(S7&lt;R7,"MRP is below the Purchase Rate","OK")))))))))</f>
        <v>OK</v>
      </c>
      <c r="B7" s="29" t="s">
        <v>196</v>
      </c>
      <c r="C7" s="22" t="s">
        <v>132</v>
      </c>
      <c r="D7" s="22" t="s">
        <v>55</v>
      </c>
      <c r="E7" s="24" t="s">
        <v>197</v>
      </c>
      <c r="F7" s="22" t="s">
        <v>62</v>
      </c>
      <c r="G7" s="22" t="s">
        <v>198</v>
      </c>
      <c r="H7" s="22" t="s">
        <v>68</v>
      </c>
      <c r="I7" s="30">
        <f>IF(H7="","",IFERROR(INDEX(Codes!$B$2:$B$13,MATCH(H7,Codes!$A$2:$A$13,0)),""))</f>
        <v>3</v>
      </c>
      <c r="J7" s="23" t="s">
        <v>188</v>
      </c>
      <c r="K7" s="23" t="s">
        <v>180</v>
      </c>
      <c r="L7" s="23" t="s">
        <v>199</v>
      </c>
      <c r="M7" s="23" t="s">
        <v>181</v>
      </c>
      <c r="N7" s="23" t="s">
        <v>200</v>
      </c>
      <c r="O7" s="23" t="s">
        <v>193</v>
      </c>
      <c r="P7" s="23"/>
      <c r="Q7" s="31">
        <v>6</v>
      </c>
      <c r="R7" s="32">
        <v>110</v>
      </c>
      <c r="S7" s="32">
        <v>399</v>
      </c>
      <c r="T7" s="33">
        <f t="shared" si="0"/>
        <v>660</v>
      </c>
      <c r="U7" s="34"/>
      <c r="V7" s="35"/>
      <c r="W7" s="33" t="str">
        <f t="shared" si="1"/>
        <v/>
      </c>
      <c r="Y7" s="38" t="s">
        <v>201</v>
      </c>
    </row>
    <row r="8" spans="1:25" x14ac:dyDescent="0.35">
      <c r="A8" s="21" t="str">
        <f>IF(COUNTA(B8:H8,J8:S8,U8:V8)=0,"",IF((IF(B8="","PO Ref, ","")&amp;IF(C8="","Vendor, ","")&amp;IF(D8="","Store, ","")&amp;IF(F8="","Product Type, ","")&amp;IF(G8="","Category, ","")&amp;IF(H8="","HSN Code, ","")&amp;IF(Q8="","Qty, ","")&amp;IF(R8="","Purchase Rate, ","")&amp;IF(S8="","MRP, ",""))&lt;&gt;"","Missing: "&amp;LEFT(IF(B8="","PO Ref, ","")&amp;IF(C8="","Vendor, ","")&amp;IF(D8="","Store, ","")&amp;IF(F8="","Product Type, ","")&amp;IF(G8="","Category, ","")&amp;IF(H8="","HSN Code, ","")&amp;IF(Q8="","Qty, ","")&amp;IF(R8="","Purchase Rate, ","")&amp;IF(S8="","MRP, ",""),LEN(IF(B8="","PO Ref, ","")&amp;IF(C8="","Vendor, ","")&amp;IF(D8="","Store, ","")&amp;IF(F8="","Product Type, ","")&amp;IF(G8="","Category, ","")&amp;IF(H8="","HSN Code, ","")&amp;IF(Q8="","Qty, ","")&amp;IF(R8="","Purchase Rate, ","")&amp;IF(S8="","MRP, ",""))-2),IF(COUNTIF(Vendors!$B$3:$B$202,C8)=0,"Add vendor "&amp;C8&amp;" on the Vendors sheet",IF(ISNA(MATCH(H8,Codes!$A$2:$A$13,0)),"Pick the HSN Code from the list",IF(AND(E8&lt;&gt;"",COUNTIFS($C$3:$C$10,C8,$E$3:$E$10,E8,$F$3:$F$10,"&lt;&gt;"&amp;F8)+COUNTIFS($C$3:$C$10,C8,$E$3:$E$10,E8,$G$3:$G$10,"&lt;&gt;"&amp;G8)&gt;0),"Design "&amp;E8&amp;" has another Product Type or Category on another row",IF(COUNTIFS($F$3:$F$10,F8,$G$3:$G$10,G8,$H$3:$H$10,"&lt;&gt;"&amp;H8)&gt;0,F8&amp;" + "&amp;G8&amp;" has another HSN Code on another row",IF(AND(V8&lt;&gt;"",U8=""),"Received Qty needs the Vendor Invoice No",IF(AND(U8&lt;&gt;"",COUNTIFS($B$15:$B$15,U8,$C$15:$C$15,C8)=0),"Add bill "&amp;U8&amp;" of "&amp;C8&amp;" on the Bills sheet",IF(S8&lt;R8,"MRP is below the Purchase Rate","OK")))))))))</f>
        <v>OK</v>
      </c>
      <c r="B8" s="29" t="s">
        <v>196</v>
      </c>
      <c r="C8" s="22" t="s">
        <v>132</v>
      </c>
      <c r="D8" s="22" t="s">
        <v>55</v>
      </c>
      <c r="E8" s="24"/>
      <c r="F8" s="22" t="s">
        <v>202</v>
      </c>
      <c r="G8" s="22" t="s">
        <v>198</v>
      </c>
      <c r="H8" s="22" t="s">
        <v>68</v>
      </c>
      <c r="I8" s="30">
        <f>IF(H8="","",IFERROR(INDEX(Codes!$B$2:$B$13,MATCH(H8,Codes!$A$2:$A$13,0)),""))</f>
        <v>3</v>
      </c>
      <c r="J8" s="23" t="s">
        <v>203</v>
      </c>
      <c r="K8" s="23" t="s">
        <v>204</v>
      </c>
      <c r="L8" s="23" t="s">
        <v>180</v>
      </c>
      <c r="M8" s="23" t="s">
        <v>205</v>
      </c>
      <c r="N8" s="23" t="s">
        <v>200</v>
      </c>
      <c r="O8" s="23" t="s">
        <v>206</v>
      </c>
      <c r="P8" s="23"/>
      <c r="Q8" s="31">
        <v>4</v>
      </c>
      <c r="R8" s="32">
        <v>250</v>
      </c>
      <c r="S8" s="32">
        <v>899</v>
      </c>
      <c r="T8" s="33">
        <f t="shared" si="0"/>
        <v>1000</v>
      </c>
      <c r="U8" s="34"/>
      <c r="V8" s="35"/>
      <c r="W8" s="33" t="str">
        <f t="shared" si="1"/>
        <v/>
      </c>
      <c r="Y8" s="38" t="s">
        <v>207</v>
      </c>
    </row>
    <row r="9" spans="1:25" x14ac:dyDescent="0.35">
      <c r="A9" s="21" t="str">
        <f>IF(COUNTA(B9:H9,J9:S9,U9:V9)=0,"",IF((IF(B9="","PO Ref, ","")&amp;IF(C9="","Vendor, ","")&amp;IF(D9="","Store, ","")&amp;IF(F9="","Product Type, ","")&amp;IF(G9="","Category, ","")&amp;IF(H9="","HSN Code, ","")&amp;IF(Q9="","Qty, ","")&amp;IF(R9="","Purchase Rate, ","")&amp;IF(S9="","MRP, ",""))&lt;&gt;"","Missing: "&amp;LEFT(IF(B9="","PO Ref, ","")&amp;IF(C9="","Vendor, ","")&amp;IF(D9="","Store, ","")&amp;IF(F9="","Product Type, ","")&amp;IF(G9="","Category, ","")&amp;IF(H9="","HSN Code, ","")&amp;IF(Q9="","Qty, ","")&amp;IF(R9="","Purchase Rate, ","")&amp;IF(S9="","MRP, ",""),LEN(IF(B9="","PO Ref, ","")&amp;IF(C9="","Vendor, ","")&amp;IF(D9="","Store, ","")&amp;IF(F9="","Product Type, ","")&amp;IF(G9="","Category, ","")&amp;IF(H9="","HSN Code, ","")&amp;IF(Q9="","Qty, ","")&amp;IF(R9="","Purchase Rate, ","")&amp;IF(S9="","MRP, ",""))-2),IF(COUNTIF(Vendors!$B$3:$B$202,C9)=0,"Add vendor "&amp;C9&amp;" on the Vendors sheet",IF(ISNA(MATCH(H9,Codes!$A$2:$A$13,0)),"Pick the HSN Code from the list",IF(AND(E9&lt;&gt;"",COUNTIFS($C$3:$C$10,C9,$E$3:$E$10,E9,$F$3:$F$10,"&lt;&gt;"&amp;F9)+COUNTIFS($C$3:$C$10,C9,$E$3:$E$10,E9,$G$3:$G$10,"&lt;&gt;"&amp;G9)&gt;0),"Design "&amp;E9&amp;" has another Product Type or Category on another row",IF(COUNTIFS($F$3:$F$10,F9,$G$3:$G$10,G9,$H$3:$H$10,"&lt;&gt;"&amp;H9)&gt;0,F9&amp;" + "&amp;G9&amp;" has another HSN Code on another row",IF(AND(V9&lt;&gt;"",U9=""),"Received Qty needs the Vendor Invoice No",IF(AND(U9&lt;&gt;"",COUNTIFS($B$15:$B$15,U9,$C$15:$C$15,C9)=0),"Add bill "&amp;U9&amp;" of "&amp;C9&amp;" on the Bills sheet",IF(S9&lt;R9,"MRP is below the Purchase Rate","OK")))))))))</f>
        <v>OK</v>
      </c>
      <c r="B9" s="29" t="s">
        <v>208</v>
      </c>
      <c r="C9" s="22" t="s">
        <v>137</v>
      </c>
      <c r="D9" s="22" t="s">
        <v>55</v>
      </c>
      <c r="E9" s="24" t="s">
        <v>209</v>
      </c>
      <c r="F9" s="22" t="s">
        <v>210</v>
      </c>
      <c r="G9" s="22" t="s">
        <v>198</v>
      </c>
      <c r="H9" s="22" t="s">
        <v>211</v>
      </c>
      <c r="I9" s="30">
        <f>IF(H9="","",IFERROR(INDEX(Codes!$B$2:$B$13,MATCH(H9,Codes!$A$2:$A$13,0)),""))</f>
        <v>3</v>
      </c>
      <c r="J9" s="23" t="s">
        <v>212</v>
      </c>
      <c r="K9" s="23" t="s">
        <v>180</v>
      </c>
      <c r="L9" s="23" t="s">
        <v>180</v>
      </c>
      <c r="M9" s="23" t="s">
        <v>84</v>
      </c>
      <c r="N9" s="23"/>
      <c r="O9" s="23"/>
      <c r="P9" s="23"/>
      <c r="Q9" s="31">
        <v>4</v>
      </c>
      <c r="R9" s="32">
        <v>180</v>
      </c>
      <c r="S9" s="32">
        <v>599</v>
      </c>
      <c r="T9" s="33">
        <f t="shared" si="0"/>
        <v>720</v>
      </c>
      <c r="U9" s="34"/>
      <c r="V9" s="35"/>
      <c r="W9" s="33" t="str">
        <f t="shared" si="1"/>
        <v/>
      </c>
      <c r="Y9" s="38" t="s">
        <v>213</v>
      </c>
    </row>
    <row r="10" spans="1:25" x14ac:dyDescent="0.35">
      <c r="A10" s="21" t="str">
        <f>IF(COUNTA(B10:H10,J10:S10,U10:V10)=0,"",IF((IF(B10="","PO Ref, ","")&amp;IF(C10="","Vendor, ","")&amp;IF(D10="","Store, ","")&amp;IF(F10="","Product Type, ","")&amp;IF(G10="","Category, ","")&amp;IF(H10="","HSN Code, ","")&amp;IF(Q10="","Qty, ","")&amp;IF(R10="","Purchase Rate, ","")&amp;IF(S10="","MRP, ",""))&lt;&gt;"","Missing: "&amp;LEFT(IF(B10="","PO Ref, ","")&amp;IF(C10="","Vendor, ","")&amp;IF(D10="","Store, ","")&amp;IF(F10="","Product Type, ","")&amp;IF(G10="","Category, ","")&amp;IF(H10="","HSN Code, ","")&amp;IF(Q10="","Qty, ","")&amp;IF(R10="","Purchase Rate, ","")&amp;IF(S10="","MRP, ",""),LEN(IF(B10="","PO Ref, ","")&amp;IF(C10="","Vendor, ","")&amp;IF(D10="","Store, ","")&amp;IF(F10="","Product Type, ","")&amp;IF(G10="","Category, ","")&amp;IF(H10="","HSN Code, ","")&amp;IF(Q10="","Qty, ","")&amp;IF(R10="","Purchase Rate, ","")&amp;IF(S10="","MRP, ",""))-2),IF(COUNTIF(Vendors!$B$3:$B$202,C10)=0,"Add vendor "&amp;C10&amp;" on the Vendors sheet",IF(ISNA(MATCH(H10,Codes!$A$2:$A$13,0)),"Pick the HSN Code from the list",IF(AND(E10&lt;&gt;"",COUNTIFS($C$3:$C$10,C10,$E$3:$E$10,E10,$F$3:$F$10,"&lt;&gt;"&amp;F10)+COUNTIFS($C$3:$C$10,C10,$E$3:$E$10,E10,$G$3:$G$10,"&lt;&gt;"&amp;G10)&gt;0),"Design "&amp;E10&amp;" has another Product Type or Category on another row",IF(COUNTIFS($F$3:$F$10,F10,$G$3:$G$10,G10,$H$3:$H$10,"&lt;&gt;"&amp;H10)&gt;0,F10&amp;" + "&amp;G10&amp;" has another HSN Code on another row",IF(AND(V10&lt;&gt;"",U10=""),"Received Qty needs the Vendor Invoice No",IF(AND(U10&lt;&gt;"",COUNTIFS($B$15:$B$15,U10,$C$15:$C$15,C10)=0),"Add bill "&amp;U10&amp;" of "&amp;C10&amp;" on the Bills sheet",IF(S10&lt;R10,"MRP is below the Purchase Rate","OK")))))))))</f>
        <v>OK</v>
      </c>
      <c r="B10" s="29" t="s">
        <v>208</v>
      </c>
      <c r="C10" s="22" t="s">
        <v>137</v>
      </c>
      <c r="D10" s="22" t="s">
        <v>55</v>
      </c>
      <c r="E10" s="24" t="s">
        <v>209</v>
      </c>
      <c r="F10" s="22" t="s">
        <v>210</v>
      </c>
      <c r="G10" s="22" t="s">
        <v>198</v>
      </c>
      <c r="H10" s="22" t="s">
        <v>211</v>
      </c>
      <c r="I10" s="30">
        <f>IF(H10="","",IFERROR(INDEX(Codes!$B$2:$B$13,MATCH(H10,Codes!$A$2:$A$13,0)),""))</f>
        <v>3</v>
      </c>
      <c r="J10" s="23" t="s">
        <v>212</v>
      </c>
      <c r="K10" s="23" t="s">
        <v>180</v>
      </c>
      <c r="L10" s="23" t="s">
        <v>180</v>
      </c>
      <c r="M10" s="23" t="s">
        <v>214</v>
      </c>
      <c r="N10" s="23"/>
      <c r="O10" s="23"/>
      <c r="P10" s="23"/>
      <c r="Q10" s="31">
        <v>4</v>
      </c>
      <c r="R10" s="32">
        <v>180</v>
      </c>
      <c r="S10" s="32">
        <v>599</v>
      </c>
      <c r="T10" s="33">
        <f t="shared" si="0"/>
        <v>720</v>
      </c>
      <c r="U10" s="34"/>
      <c r="V10" s="35"/>
      <c r="W10" s="33" t="str">
        <f t="shared" si="1"/>
        <v/>
      </c>
      <c r="Y10" s="38"/>
    </row>
    <row r="12" spans="1:25" x14ac:dyDescent="0.35">
      <c r="A12" s="39" t="s">
        <v>215</v>
      </c>
    </row>
    <row r="13" spans="1:25" ht="30" customHeight="1" x14ac:dyDescent="0.35">
      <c r="A13" s="18" t="s">
        <v>117</v>
      </c>
      <c r="B13" s="28" t="s">
        <v>167</v>
      </c>
      <c r="C13" s="28" t="s">
        <v>139</v>
      </c>
      <c r="D13" s="28" t="s">
        <v>168</v>
      </c>
      <c r="E13" s="28" t="s">
        <v>169</v>
      </c>
      <c r="F13" s="18" t="s">
        <v>170</v>
      </c>
      <c r="G13" s="18" t="s">
        <v>171</v>
      </c>
    </row>
    <row r="14" spans="1:25" ht="60" customHeight="1" x14ac:dyDescent="0.35">
      <c r="A14" s="20" t="s">
        <v>124</v>
      </c>
      <c r="B14" s="20" t="s">
        <v>172</v>
      </c>
      <c r="C14" s="20" t="s">
        <v>173</v>
      </c>
      <c r="D14" s="20" t="s">
        <v>174</v>
      </c>
      <c r="E14" s="20" t="s">
        <v>175</v>
      </c>
      <c r="F14" s="20" t="s">
        <v>176</v>
      </c>
      <c r="G14" s="20" t="s">
        <v>177</v>
      </c>
    </row>
    <row r="15" spans="1:25" x14ac:dyDescent="0.35">
      <c r="A15" s="21" t="str">
        <f>IF(COUNTA(B15:E15)=0,"",IF((IF(B15="","Vendor Invoice No, ","")&amp;IF(C15="","Vendor, ","")&amp;IF(D15="","Invoice Date, ","")&amp;IF(E15="","Invoice Total, ",""))&lt;&gt;"","Missing: "&amp;LEFT(IF(B15="","Vendor Invoice No, ","")&amp;IF(C15="","Vendor, ","")&amp;IF(D15="","Invoice Date, ","")&amp;IF(E15="","Invoice Total, ",""),LEN(IF(B15="","Vendor Invoice No, ","")&amp;IF(C15="","Vendor, ","")&amp;IF(D15="","Invoice Date, ","")&amp;IF(E15="","Invoice Total, ",""))-2),IF(COUNTIFS($B$15:$B$15,B15,$C$15:$C$15,C15)&gt;1,"Bill "&amp;B15&amp;" is listed twice",IF(F15=0,"No Purchase row has this bill no for this vendor",IF(ABS(G15)&gt;1,"Bill and rows differ by ₹"&amp;TEXT(G15,"#,##0.00"),"OK")))))</f>
        <v>OK</v>
      </c>
      <c r="B15" s="29" t="s">
        <v>105</v>
      </c>
      <c r="C15" s="22" t="s">
        <v>52</v>
      </c>
      <c r="D15" s="36">
        <v>46315</v>
      </c>
      <c r="E15" s="32">
        <v>1000</v>
      </c>
      <c r="F15" s="33">
        <f>IF(B15="","",SUMIFS($W$3:$W$10,$U$3:$U$10,B15,$C$3:$C$10,C15))</f>
        <v>1000</v>
      </c>
      <c r="G15" s="33">
        <f>IF(OR(B15="",E15=""),"",E15-F15)</f>
        <v>0</v>
      </c>
      <c r="Y15" s="38" t="s">
        <v>216</v>
      </c>
    </row>
  </sheetData>
  <conditionalFormatting sqref="A3:A10">
    <cfRule type="expression" dxfId="8" priority="1">
      <formula>A3="OK"</formula>
    </cfRule>
    <cfRule type="expression" dxfId="7" priority="2">
      <formula>AND(LEN(A3)&gt;0,A3&lt;&gt;"OK")</formula>
    </cfRule>
  </conditionalFormatting>
  <conditionalFormatting sqref="A15">
    <cfRule type="expression" dxfId="6" priority="13">
      <formula>A15="OK"</formula>
    </cfRule>
    <cfRule type="expression" dxfId="5" priority="14">
      <formula>AND(LEN(A15)&gt;0,A15&lt;&gt;"OK")</formula>
    </cfRule>
  </conditionalFormatting>
  <conditionalFormatting sqref="B3:D10">
    <cfRule type="expression" dxfId="4" priority="3" stopIfTrue="1">
      <formula>AND(COUNTA($B3:$H3,$J3:$S3,$U3:$V3)&gt;0,LEN(TRIM(B3))=0)</formula>
    </cfRule>
  </conditionalFormatting>
  <conditionalFormatting sqref="B15:E15">
    <cfRule type="expression" dxfId="3" priority="15" stopIfTrue="1">
      <formula>AND(COUNTA($B15:$E15)&gt;0,LEN(TRIM(B15))=0)</formula>
    </cfRule>
  </conditionalFormatting>
  <conditionalFormatting sqref="F3:H10">
    <cfRule type="expression" dxfId="2" priority="6" stopIfTrue="1">
      <formula>AND(COUNTA($B3:$H3,$J3:$S3,$U3:$V3)&gt;0,LEN(TRIM(F3))=0)</formula>
    </cfRule>
  </conditionalFormatting>
  <conditionalFormatting sqref="Q3:S10">
    <cfRule type="expression" dxfId="1" priority="9" stopIfTrue="1">
      <formula>AND(COUNTA($B3:$H3,$J3:$S3,$U3:$V3)&gt;0,LEN(TRIM(Q3))=0)</formula>
    </cfRule>
  </conditionalFormatting>
  <conditionalFormatting sqref="U3:U10">
    <cfRule type="expression" dxfId="0" priority="12" stopIfTrue="1">
      <formula>AND(LEN(V3)&gt;0,LEN(TRIM(U3))=0)</formula>
    </cfRule>
  </conditionalFormatting>
  <dataValidations count="3">
    <dataValidation type="whole" allowBlank="1" showErrorMessage="1" errorTitle="Whole number" error="Type a whole number of pieces, e.g. 3" sqref="Q3:Q10 V3:V10" xr:uid="{00000000-0002-0000-0400-00000B000000}">
      <formula1>0</formula1>
      <formula2>1000000</formula2>
    </dataValidation>
    <dataValidation type="decimal" allowBlank="1" showErrorMessage="1" errorTitle="Amount" error="Type an amount in rupees above 0, e.g. 90 or 349.50" sqref="E15 R3:S10" xr:uid="{00000000-0002-0000-0400-00000D000000}">
      <formula1>0.01</formula1>
      <formula2>100000000</formula2>
    </dataValidation>
    <dataValidation type="date" allowBlank="1" showErrorMessage="1" errorTitle="Date" error="Type the bill date, e.g. 20-10-2026" sqref="D15" xr:uid="{00000000-0002-0000-0400-000011000000}">
      <formula1>DATE(2020,1,1)</formula1>
      <formula2>DATE(2035,12,31)</formula2>
    </dataValidation>
  </dataValidations>
  <pageMargins left="0.75" right="0.75" top="1" bottom="1" header="0.5" footer="0.5"/>
  <extLst>
    <ext xmlns:x14="http://schemas.microsoft.com/office/spreadsheetml/2009/9/main" uri="{CCE6A557-97BC-4b89-ADB6-D9C93CAAB3DF}">
      <x14:dataValidations xmlns:xm="http://schemas.microsoft.com/office/excel/2006/main" count="11">
        <x14:dataValidation type="list" allowBlank="1" showErrorMessage="1" errorTitle="Not in the list" error="Pick a vendor from the list. A new vendor: add a row on the Vendors sheet first (name and state)." xr:uid="{00000000-0002-0000-0400-000000000000}">
          <x14:formula1>
            <xm:f>Vendors!$B$3:$B$202</xm:f>
          </x14:formula1>
          <xm:sqref>C3:C10 C15</xm:sqref>
        </x14:dataValidation>
        <x14:dataValidation type="list" allowBlank="1" showErrorMessage="1" errorTitle="Not in the list" error="Pick a store from the list. A new store must be set up in Wholeops first: tell us." xr:uid="{00000000-0002-0000-0400-000001000000}">
          <x14:formula1>
            <xm:f>Lists!$A$2:$A$300</xm:f>
          </x14:formula1>
          <xm:sqref>D3:D10</xm:sqref>
        </x14:dataValidation>
        <x14:dataValidation type="list" errorStyle="warning" allowBlank="1" showErrorMessage="1" errorTitle="Not in the list" error="This value is not on the Lists sheet. Click Yes to keep it: Wholeops creates it on upload. Add it to the Lists sheet so the drop-down offers it next time." xr:uid="{00000000-0002-0000-0400-000002000000}">
          <x14:formula1>
            <xm:f>Lists!$B$2:$B$300</xm:f>
          </x14:formula1>
          <xm:sqref>F3:F10</xm:sqref>
        </x14:dataValidation>
        <x14:dataValidation type="list" errorStyle="warning" allowBlank="1" showErrorMessage="1" errorTitle="Not in the list" error="This value is not on the Lists sheet. Click Yes to keep it: Wholeops creates it on upload. Add it to the Lists sheet so the drop-down offers it next time." xr:uid="{00000000-0002-0000-0400-000003000000}">
          <x14:formula1>
            <xm:f>Lists!$C$2:$C$300</xm:f>
          </x14:formula1>
          <xm:sqref>G3:G10</xm:sqref>
        </x14:dataValidation>
        <x14:dataValidation type="list" allowBlank="1" showErrorMessage="1" errorTitle="Not in the list" error="Pick the HSN Code from the list. The Codes sheet says which one fits." xr:uid="{00000000-0002-0000-0400-000004000000}">
          <x14:formula1>
            <xm:f>Codes!$A$2:$A$13</xm:f>
          </x14:formula1>
          <xm:sqref>H3:H10</xm:sqref>
        </x14:dataValidation>
        <x14:dataValidation type="list" errorStyle="warning" allowBlank="1" showErrorMessage="1" errorTitle="Not in the list" error="This value is not on the Lists sheet. Click Yes to keep it: Wholeops creates it on upload. Add it to the Lists sheet so the drop-down offers it next time." xr:uid="{00000000-0002-0000-0400-000005000000}">
          <x14:formula1>
            <xm:f>Lists!$D$2:$D$300</xm:f>
          </x14:formula1>
          <xm:sqref>J3:J10</xm:sqref>
        </x14:dataValidation>
        <x14:dataValidation type="list" errorStyle="warning" allowBlank="1" showErrorMessage="1" errorTitle="Not in the list" error="This value is not on the Lists sheet. Click Yes to keep it: Wholeops creates it on upload. Add it to the Lists sheet so the drop-down offers it next time." xr:uid="{00000000-0002-0000-0400-000006000000}">
          <x14:formula1>
            <xm:f>Lists!$E$2:$E$300</xm:f>
          </x14:formula1>
          <xm:sqref>K3:K10</xm:sqref>
        </x14:dataValidation>
        <x14:dataValidation type="list" errorStyle="warning" allowBlank="1" showErrorMessage="1" errorTitle="Not in the list" error="This value is not on the Lists sheet. Click Yes to keep it: Wholeops creates it on upload. Add it to the Lists sheet so the drop-down offers it next time." xr:uid="{00000000-0002-0000-0400-000007000000}">
          <x14:formula1>
            <xm:f>Lists!$F$2:$F$300</xm:f>
          </x14:formula1>
          <xm:sqref>L3:L10</xm:sqref>
        </x14:dataValidation>
        <x14:dataValidation type="list" errorStyle="warning" allowBlank="1" showErrorMessage="1" errorTitle="Not in the list" error="This value is not on the Lists sheet. Click Yes to keep it: Wholeops creates it on upload. Add it to the Lists sheet so the drop-down offers it next time." xr:uid="{00000000-0002-0000-0400-000008000000}">
          <x14:formula1>
            <xm:f>Lists!$G$2:$G$300</xm:f>
          </x14:formula1>
          <xm:sqref>M3:M10</xm:sqref>
        </x14:dataValidation>
        <x14:dataValidation type="list" errorStyle="warning" allowBlank="1" showErrorMessage="1" errorTitle="Not in the list" error="This value is not on the Lists sheet. Click Yes to keep it: Wholeops creates it on upload. Add it to the Lists sheet so the drop-down offers it next time." xr:uid="{00000000-0002-0000-0400-000009000000}">
          <x14:formula1>
            <xm:f>Lists!$H$2:$H$300</xm:f>
          </x14:formula1>
          <xm:sqref>N3:N10</xm:sqref>
        </x14:dataValidation>
        <x14:dataValidation type="list" errorStyle="warning" allowBlank="1" showErrorMessage="1" errorTitle="Not in the list" error="This value is not on the Lists sheet. Click Yes to keep it: Wholeops creates it on upload. Add it to the Lists sheet so the drop-down offers it next time." xr:uid="{00000000-0002-0000-0400-00000A000000}">
          <x14:formula1>
            <xm:f>Lists!$I$2:$I$300</xm:f>
          </x14:formula1>
          <xm:sqref>O3:O10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F7F7F"/>
  </sheetPr>
  <dimension ref="A1:K16"/>
  <sheetViews>
    <sheetView workbookViewId="0">
      <pane ySplit="1" topLeftCell="A2" activePane="bottomLeft" state="frozen"/>
      <selection pane="bottomLeft"/>
    </sheetView>
  </sheetViews>
  <sheetFormatPr defaultRowHeight="14.5" x14ac:dyDescent="0.35"/>
  <cols>
    <col min="1" max="9" width="16" customWidth="1"/>
    <col min="11" max="11" width="40" customWidth="1"/>
  </cols>
  <sheetData>
    <row r="1" spans="1:11" ht="65" x14ac:dyDescent="0.35">
      <c r="A1" s="40" t="s">
        <v>53</v>
      </c>
      <c r="B1" s="40" t="s">
        <v>60</v>
      </c>
      <c r="C1" s="40" t="s">
        <v>63</v>
      </c>
      <c r="D1" s="40" t="s">
        <v>73</v>
      </c>
      <c r="E1" s="40" t="s">
        <v>76</v>
      </c>
      <c r="F1" s="40" t="s">
        <v>79</v>
      </c>
      <c r="G1" s="40" t="s">
        <v>82</v>
      </c>
      <c r="H1" s="40" t="s">
        <v>85</v>
      </c>
      <c r="I1" s="40" t="s">
        <v>88</v>
      </c>
      <c r="K1" s="17" t="s">
        <v>217</v>
      </c>
    </row>
    <row r="2" spans="1:11" x14ac:dyDescent="0.35">
      <c r="A2" s="41" t="s">
        <v>55</v>
      </c>
      <c r="B2" s="41" t="s">
        <v>62</v>
      </c>
      <c r="C2" s="41" t="s">
        <v>198</v>
      </c>
      <c r="D2" s="41" t="s">
        <v>218</v>
      </c>
      <c r="E2" s="41" t="s">
        <v>180</v>
      </c>
      <c r="F2" s="41" t="s">
        <v>180</v>
      </c>
      <c r="G2" s="41" t="s">
        <v>181</v>
      </c>
      <c r="H2" s="41" t="s">
        <v>219</v>
      </c>
      <c r="I2" s="41" t="s">
        <v>184</v>
      </c>
    </row>
    <row r="3" spans="1:11" x14ac:dyDescent="0.35">
      <c r="B3" s="41" t="s">
        <v>202</v>
      </c>
      <c r="C3" s="41" t="s">
        <v>194</v>
      </c>
      <c r="D3" s="41" t="s">
        <v>75</v>
      </c>
      <c r="E3" s="41" t="s">
        <v>193</v>
      </c>
      <c r="F3" s="41" t="s">
        <v>81</v>
      </c>
      <c r="G3" s="41" t="s">
        <v>205</v>
      </c>
      <c r="H3" s="41" t="s">
        <v>220</v>
      </c>
      <c r="I3" s="41" t="s">
        <v>193</v>
      </c>
    </row>
    <row r="4" spans="1:11" x14ac:dyDescent="0.35">
      <c r="B4" s="41" t="s">
        <v>221</v>
      </c>
      <c r="C4" s="41" t="s">
        <v>191</v>
      </c>
      <c r="D4" s="41" t="s">
        <v>222</v>
      </c>
      <c r="E4" s="41" t="s">
        <v>223</v>
      </c>
      <c r="F4" s="41" t="s">
        <v>199</v>
      </c>
      <c r="G4" s="41" t="s">
        <v>224</v>
      </c>
      <c r="H4" s="41" t="s">
        <v>194</v>
      </c>
      <c r="I4" s="41" t="s">
        <v>223</v>
      </c>
    </row>
    <row r="5" spans="1:11" x14ac:dyDescent="0.35">
      <c r="B5" s="41" t="s">
        <v>225</v>
      </c>
      <c r="C5" s="41" t="s">
        <v>219</v>
      </c>
      <c r="D5" s="41" t="s">
        <v>188</v>
      </c>
      <c r="E5" s="41" t="s">
        <v>226</v>
      </c>
      <c r="F5" s="41" t="s">
        <v>227</v>
      </c>
      <c r="G5" s="41" t="s">
        <v>84</v>
      </c>
      <c r="H5" s="41" t="s">
        <v>228</v>
      </c>
      <c r="I5" s="41" t="s">
        <v>226</v>
      </c>
    </row>
    <row r="6" spans="1:11" x14ac:dyDescent="0.35">
      <c r="B6" s="41" t="s">
        <v>210</v>
      </c>
      <c r="C6" s="41" t="s">
        <v>229</v>
      </c>
      <c r="D6" s="41" t="s">
        <v>230</v>
      </c>
      <c r="E6" s="41" t="s">
        <v>184</v>
      </c>
      <c r="F6" s="41" t="s">
        <v>231</v>
      </c>
      <c r="G6" s="41" t="s">
        <v>214</v>
      </c>
      <c r="H6" s="41" t="s">
        <v>232</v>
      </c>
      <c r="I6" s="41" t="s">
        <v>233</v>
      </c>
    </row>
    <row r="7" spans="1:11" x14ac:dyDescent="0.35">
      <c r="B7" s="41" t="s">
        <v>234</v>
      </c>
      <c r="C7" s="41" t="s">
        <v>65</v>
      </c>
      <c r="D7" s="41" t="s">
        <v>192</v>
      </c>
      <c r="E7" s="41" t="s">
        <v>78</v>
      </c>
      <c r="G7" s="41" t="s">
        <v>235</v>
      </c>
      <c r="H7" s="41" t="s">
        <v>87</v>
      </c>
      <c r="I7" s="41" t="s">
        <v>78</v>
      </c>
    </row>
    <row r="8" spans="1:11" x14ac:dyDescent="0.35">
      <c r="C8" s="41" t="s">
        <v>236</v>
      </c>
      <c r="D8" s="41" t="s">
        <v>237</v>
      </c>
      <c r="E8" s="41" t="s">
        <v>238</v>
      </c>
      <c r="H8" s="41" t="s">
        <v>200</v>
      </c>
      <c r="I8" s="41" t="s">
        <v>238</v>
      </c>
    </row>
    <row r="9" spans="1:11" x14ac:dyDescent="0.35">
      <c r="D9" s="41" t="s">
        <v>239</v>
      </c>
      <c r="E9" s="41" t="s">
        <v>204</v>
      </c>
      <c r="H9" s="41" t="s">
        <v>240</v>
      </c>
      <c r="I9" s="41" t="s">
        <v>241</v>
      </c>
    </row>
    <row r="10" spans="1:11" x14ac:dyDescent="0.35">
      <c r="D10" s="41" t="s">
        <v>242</v>
      </c>
      <c r="E10" s="41" t="s">
        <v>206</v>
      </c>
      <c r="H10" s="41" t="s">
        <v>243</v>
      </c>
      <c r="I10" s="41" t="s">
        <v>206</v>
      </c>
    </row>
    <row r="11" spans="1:11" x14ac:dyDescent="0.35">
      <c r="D11" s="41" t="s">
        <v>244</v>
      </c>
      <c r="H11" s="41" t="s">
        <v>245</v>
      </c>
    </row>
    <row r="12" spans="1:11" x14ac:dyDescent="0.35">
      <c r="D12" s="41" t="s">
        <v>246</v>
      </c>
      <c r="H12" s="41" t="s">
        <v>247</v>
      </c>
    </row>
    <row r="13" spans="1:11" x14ac:dyDescent="0.35">
      <c r="D13" s="41" t="s">
        <v>203</v>
      </c>
    </row>
    <row r="14" spans="1:11" x14ac:dyDescent="0.35">
      <c r="D14" s="41" t="s">
        <v>248</v>
      </c>
    </row>
    <row r="15" spans="1:11" x14ac:dyDescent="0.35">
      <c r="D15" s="41" t="s">
        <v>249</v>
      </c>
    </row>
    <row r="16" spans="1:11" x14ac:dyDescent="0.35">
      <c r="D16" s="41" t="s">
        <v>212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B3A7A"/>
  </sheetPr>
  <dimension ref="A1:F37"/>
  <sheetViews>
    <sheetView workbookViewId="0">
      <pane ySplit="1" topLeftCell="A2" activePane="bottomLeft" state="frozen"/>
      <selection pane="bottomLeft"/>
    </sheetView>
  </sheetViews>
  <sheetFormatPr defaultRowHeight="14.5" x14ac:dyDescent="0.35"/>
  <cols>
    <col min="1" max="1" width="52" customWidth="1"/>
    <col min="2" max="2" width="8" customWidth="1"/>
    <col min="3" max="3" width="100" customWidth="1"/>
    <col min="4" max="4" width="3" customWidth="1"/>
    <col min="5" max="5" width="36" customWidth="1"/>
    <col min="6" max="6" width="10" customWidth="1"/>
  </cols>
  <sheetData>
    <row r="1" spans="1:6" ht="28" customHeight="1" x14ac:dyDescent="0.35">
      <c r="A1" s="42" t="s">
        <v>66</v>
      </c>
      <c r="B1" s="42" t="s">
        <v>69</v>
      </c>
      <c r="C1" s="42" t="s">
        <v>250</v>
      </c>
      <c r="E1" s="42" t="s">
        <v>251</v>
      </c>
      <c r="F1" s="42" t="s">
        <v>252</v>
      </c>
    </row>
    <row r="2" spans="1:6" x14ac:dyDescent="0.35">
      <c r="A2" s="43" t="s">
        <v>68</v>
      </c>
      <c r="B2" s="44">
        <v>3</v>
      </c>
      <c r="C2" s="45" t="s">
        <v>253</v>
      </c>
      <c r="E2" s="45" t="s">
        <v>254</v>
      </c>
      <c r="F2" s="46" t="s">
        <v>255</v>
      </c>
    </row>
    <row r="3" spans="1:6" x14ac:dyDescent="0.35">
      <c r="A3" s="45" t="s">
        <v>256</v>
      </c>
      <c r="B3" s="44">
        <v>3</v>
      </c>
      <c r="C3" s="45" t="s">
        <v>257</v>
      </c>
      <c r="E3" s="45" t="s">
        <v>258</v>
      </c>
      <c r="F3" s="46" t="s">
        <v>259</v>
      </c>
    </row>
    <row r="4" spans="1:6" x14ac:dyDescent="0.35">
      <c r="A4" s="45" t="s">
        <v>211</v>
      </c>
      <c r="B4" s="44">
        <v>3</v>
      </c>
      <c r="C4" s="45" t="s">
        <v>260</v>
      </c>
      <c r="E4" s="45" t="s">
        <v>261</v>
      </c>
      <c r="F4" s="46" t="s">
        <v>262</v>
      </c>
    </row>
    <row r="5" spans="1:6" x14ac:dyDescent="0.35">
      <c r="A5" s="45" t="s">
        <v>263</v>
      </c>
      <c r="B5" s="44">
        <v>3</v>
      </c>
      <c r="C5" s="45" t="s">
        <v>264</v>
      </c>
      <c r="E5" s="45" t="s">
        <v>265</v>
      </c>
      <c r="F5" s="46" t="s">
        <v>266</v>
      </c>
    </row>
    <row r="6" spans="1:6" x14ac:dyDescent="0.35">
      <c r="A6" s="43" t="s">
        <v>267</v>
      </c>
      <c r="B6" s="44">
        <v>3</v>
      </c>
      <c r="C6" s="45" t="s">
        <v>268</v>
      </c>
      <c r="E6" s="45" t="s">
        <v>269</v>
      </c>
      <c r="F6" s="46" t="s">
        <v>270</v>
      </c>
    </row>
    <row r="7" spans="1:6" x14ac:dyDescent="0.35">
      <c r="A7" s="45" t="s">
        <v>271</v>
      </c>
      <c r="B7" s="44">
        <v>3</v>
      </c>
      <c r="C7" s="45" t="s">
        <v>272</v>
      </c>
      <c r="E7" s="45" t="s">
        <v>273</v>
      </c>
      <c r="F7" s="46" t="s">
        <v>274</v>
      </c>
    </row>
    <row r="8" spans="1:6" x14ac:dyDescent="0.35">
      <c r="A8" s="45" t="s">
        <v>275</v>
      </c>
      <c r="B8" s="44">
        <v>3</v>
      </c>
      <c r="C8" s="45" t="s">
        <v>276</v>
      </c>
      <c r="E8" s="45" t="s">
        <v>277</v>
      </c>
      <c r="F8" s="46" t="s">
        <v>278</v>
      </c>
    </row>
    <row r="9" spans="1:6" x14ac:dyDescent="0.35">
      <c r="A9" s="45" t="s">
        <v>279</v>
      </c>
      <c r="B9" s="44">
        <v>3</v>
      </c>
      <c r="C9" s="45" t="s">
        <v>280</v>
      </c>
      <c r="E9" s="45" t="s">
        <v>281</v>
      </c>
      <c r="F9" s="46" t="s">
        <v>282</v>
      </c>
    </row>
    <row r="10" spans="1:6" x14ac:dyDescent="0.35">
      <c r="A10" s="45" t="s">
        <v>283</v>
      </c>
      <c r="B10" s="44">
        <v>3</v>
      </c>
      <c r="C10" s="45" t="s">
        <v>284</v>
      </c>
      <c r="E10" s="45" t="s">
        <v>285</v>
      </c>
      <c r="F10" s="46" t="s">
        <v>286</v>
      </c>
    </row>
    <row r="11" spans="1:6" x14ac:dyDescent="0.35">
      <c r="A11" s="45" t="s">
        <v>287</v>
      </c>
      <c r="B11" s="44">
        <v>3</v>
      </c>
      <c r="C11" s="45" t="s">
        <v>288</v>
      </c>
      <c r="E11" s="45" t="s">
        <v>289</v>
      </c>
      <c r="F11" s="46" t="s">
        <v>290</v>
      </c>
    </row>
    <row r="12" spans="1:6" x14ac:dyDescent="0.35">
      <c r="A12" s="45" t="s">
        <v>291</v>
      </c>
      <c r="B12" s="44">
        <v>3</v>
      </c>
      <c r="C12" s="45" t="s">
        <v>292</v>
      </c>
      <c r="E12" s="45" t="s">
        <v>293</v>
      </c>
      <c r="F12" s="46" t="s">
        <v>294</v>
      </c>
    </row>
    <row r="13" spans="1:6" x14ac:dyDescent="0.35">
      <c r="A13" s="45" t="s">
        <v>295</v>
      </c>
      <c r="B13" s="44">
        <v>3</v>
      </c>
      <c r="C13" s="45" t="s">
        <v>296</v>
      </c>
      <c r="E13" s="45" t="s">
        <v>297</v>
      </c>
      <c r="F13" s="46" t="s">
        <v>298</v>
      </c>
    </row>
    <row r="14" spans="1:6" x14ac:dyDescent="0.35">
      <c r="E14" s="45" t="s">
        <v>299</v>
      </c>
      <c r="F14" s="46" t="s">
        <v>300</v>
      </c>
    </row>
    <row r="15" spans="1:6" x14ac:dyDescent="0.35">
      <c r="A15" s="47" t="s">
        <v>301</v>
      </c>
      <c r="E15" s="45" t="s">
        <v>302</v>
      </c>
      <c r="F15" s="46" t="s">
        <v>303</v>
      </c>
    </row>
    <row r="16" spans="1:6" x14ac:dyDescent="0.35">
      <c r="A16" s="47" t="s">
        <v>304</v>
      </c>
      <c r="E16" s="45" t="s">
        <v>305</v>
      </c>
      <c r="F16" s="46" t="s">
        <v>306</v>
      </c>
    </row>
    <row r="17" spans="1:6" x14ac:dyDescent="0.35">
      <c r="A17" s="47" t="s">
        <v>307</v>
      </c>
      <c r="E17" s="45" t="s">
        <v>308</v>
      </c>
      <c r="F17" s="46" t="s">
        <v>309</v>
      </c>
    </row>
    <row r="18" spans="1:6" x14ac:dyDescent="0.35">
      <c r="A18" s="47" t="s">
        <v>310</v>
      </c>
      <c r="E18" s="45" t="s">
        <v>311</v>
      </c>
      <c r="F18" s="46" t="s">
        <v>312</v>
      </c>
    </row>
    <row r="19" spans="1:6" x14ac:dyDescent="0.35">
      <c r="A19" s="47" t="s">
        <v>313</v>
      </c>
      <c r="E19" s="45" t="s">
        <v>314</v>
      </c>
      <c r="F19" s="46" t="s">
        <v>315</v>
      </c>
    </row>
    <row r="20" spans="1:6" x14ac:dyDescent="0.35">
      <c r="E20" s="45" t="s">
        <v>316</v>
      </c>
      <c r="F20" s="46" t="s">
        <v>317</v>
      </c>
    </row>
    <row r="21" spans="1:6" x14ac:dyDescent="0.35">
      <c r="E21" s="45" t="s">
        <v>318</v>
      </c>
      <c r="F21" s="46" t="s">
        <v>319</v>
      </c>
    </row>
    <row r="22" spans="1:6" x14ac:dyDescent="0.35">
      <c r="E22" s="45" t="s">
        <v>130</v>
      </c>
      <c r="F22" s="46" t="s">
        <v>320</v>
      </c>
    </row>
    <row r="23" spans="1:6" x14ac:dyDescent="0.35">
      <c r="E23" s="45" t="s">
        <v>321</v>
      </c>
      <c r="F23" s="46" t="s">
        <v>322</v>
      </c>
    </row>
    <row r="24" spans="1:6" x14ac:dyDescent="0.35">
      <c r="E24" s="45" t="s">
        <v>323</v>
      </c>
      <c r="F24" s="46" t="s">
        <v>324</v>
      </c>
    </row>
    <row r="25" spans="1:6" x14ac:dyDescent="0.35">
      <c r="E25" s="45" t="s">
        <v>325</v>
      </c>
      <c r="F25" s="46" t="s">
        <v>326</v>
      </c>
    </row>
    <row r="26" spans="1:6" x14ac:dyDescent="0.35">
      <c r="E26" s="45" t="s">
        <v>327</v>
      </c>
      <c r="F26" s="46" t="s">
        <v>328</v>
      </c>
    </row>
    <row r="27" spans="1:6" x14ac:dyDescent="0.35">
      <c r="E27" s="45" t="s">
        <v>329</v>
      </c>
      <c r="F27" s="46" t="s">
        <v>330</v>
      </c>
    </row>
    <row r="28" spans="1:6" x14ac:dyDescent="0.35">
      <c r="E28" s="45" t="s">
        <v>331</v>
      </c>
      <c r="F28" s="46" t="s">
        <v>332</v>
      </c>
    </row>
    <row r="29" spans="1:6" x14ac:dyDescent="0.35">
      <c r="E29" s="45" t="s">
        <v>333</v>
      </c>
      <c r="F29" s="46" t="s">
        <v>334</v>
      </c>
    </row>
    <row r="30" spans="1:6" x14ac:dyDescent="0.35">
      <c r="E30" s="45" t="s">
        <v>335</v>
      </c>
      <c r="F30" s="46" t="s">
        <v>336</v>
      </c>
    </row>
    <row r="31" spans="1:6" x14ac:dyDescent="0.35">
      <c r="E31" s="45" t="s">
        <v>337</v>
      </c>
      <c r="F31" s="46" t="s">
        <v>338</v>
      </c>
    </row>
    <row r="32" spans="1:6" x14ac:dyDescent="0.35">
      <c r="E32" s="45" t="s">
        <v>339</v>
      </c>
      <c r="F32" s="46" t="s">
        <v>340</v>
      </c>
    </row>
    <row r="33" spans="5:6" x14ac:dyDescent="0.35">
      <c r="E33" s="45" t="s">
        <v>341</v>
      </c>
      <c r="F33" s="46" t="s">
        <v>342</v>
      </c>
    </row>
    <row r="34" spans="5:6" x14ac:dyDescent="0.35">
      <c r="E34" s="45" t="s">
        <v>343</v>
      </c>
      <c r="F34" s="46" t="s">
        <v>344</v>
      </c>
    </row>
    <row r="35" spans="5:6" x14ac:dyDescent="0.35">
      <c r="E35" s="45" t="s">
        <v>345</v>
      </c>
      <c r="F35" s="46" t="s">
        <v>346</v>
      </c>
    </row>
    <row r="36" spans="5:6" x14ac:dyDescent="0.35">
      <c r="E36" s="45" t="s">
        <v>347</v>
      </c>
      <c r="F36" s="46" t="s">
        <v>348</v>
      </c>
    </row>
    <row r="37" spans="5:6" x14ac:dyDescent="0.35">
      <c r="E37" s="45" t="s">
        <v>349</v>
      </c>
      <c r="F37" s="46" t="s">
        <v>350</v>
      </c>
    </row>
  </sheetData>
  <sheetProtection sheet="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Start Here</vt:lpstr>
      <vt:lpstr>Vendors</vt:lpstr>
      <vt:lpstr>Purchase</vt:lpstr>
      <vt:lpstr>Bills</vt:lpstr>
      <vt:lpstr>Example</vt:lpstr>
      <vt:lpstr>Lists</vt:lpstr>
      <vt:lpstr>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Vishal Nayak</cp:lastModifiedBy>
  <dcterms:created xsi:type="dcterms:W3CDTF">2026-10-22T04:33:42Z</dcterms:created>
  <dcterms:modified xsi:type="dcterms:W3CDTF">2026-10-22T04:33:53Z</dcterms:modified>
</cp:coreProperties>
</file>